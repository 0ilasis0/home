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onitor_onyx\git\Main\202506\0611\Monitor_Factory_Tools\MonitorFactoryTool\report\"/>
    </mc:Choice>
  </mc:AlternateContent>
  <xr:revisionPtr revIDLastSave="0" documentId="13_ncr:1_{C8E746AF-1846-4267-B3FA-AB69ADDD7753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Gamma 1.8" sheetId="8" r:id="rId1"/>
    <sheet name="Gamma 2.0" sheetId="2" r:id="rId2"/>
    <sheet name="Gamma 2.2" sheetId="6" r:id="rId3"/>
    <sheet name="Gamma 2.4" sheetId="9" r:id="rId4"/>
    <sheet name="Gamma 2.6" sheetId="7" r:id="rId5"/>
    <sheet name="DICOM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4" i="5" l="1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23" i="5"/>
  <c r="G17" i="7"/>
  <c r="G17" i="9"/>
  <c r="G17" i="6"/>
  <c r="G17" i="2"/>
  <c r="E12" i="5"/>
  <c r="G12" i="5" s="1"/>
  <c r="E17" i="5"/>
  <c r="E16" i="5" s="1"/>
  <c r="G14" i="5" l="1"/>
  <c r="G13" i="5"/>
  <c r="G16" i="7"/>
  <c r="G15" i="7"/>
  <c r="G14" i="7"/>
  <c r="G13" i="7"/>
  <c r="G16" i="9"/>
  <c r="G15" i="9"/>
  <c r="G14" i="9"/>
  <c r="G13" i="9"/>
  <c r="G16" i="6"/>
  <c r="G15" i="6"/>
  <c r="G14" i="6"/>
  <c r="G13" i="6"/>
  <c r="G16" i="2"/>
  <c r="G15" i="2"/>
  <c r="G14" i="2"/>
  <c r="G13" i="2"/>
  <c r="G17" i="8"/>
  <c r="G16" i="8"/>
  <c r="G15" i="8"/>
  <c r="G14" i="8"/>
  <c r="G13" i="8"/>
  <c r="Q109" i="7"/>
  <c r="P109" i="7"/>
  <c r="Q108" i="7"/>
  <c r="P108" i="7"/>
  <c r="Q107" i="7"/>
  <c r="P107" i="7"/>
  <c r="Q106" i="7"/>
  <c r="P106" i="7"/>
  <c r="Q109" i="9"/>
  <c r="P109" i="9"/>
  <c r="Q108" i="9"/>
  <c r="P108" i="9"/>
  <c r="Q107" i="9"/>
  <c r="P107" i="9"/>
  <c r="Q106" i="9"/>
  <c r="P106" i="9"/>
  <c r="Q109" i="6"/>
  <c r="P109" i="6"/>
  <c r="Q108" i="6"/>
  <c r="P108" i="6"/>
  <c r="Q107" i="6"/>
  <c r="P107" i="6"/>
  <c r="Q106" i="6"/>
  <c r="P106" i="6"/>
  <c r="Q109" i="2"/>
  <c r="P109" i="2"/>
  <c r="Q108" i="2"/>
  <c r="P108" i="2"/>
  <c r="Q107" i="2"/>
  <c r="P107" i="2"/>
  <c r="Q106" i="2"/>
  <c r="P106" i="2"/>
  <c r="Q109" i="8"/>
  <c r="P109" i="8"/>
  <c r="Q108" i="8"/>
  <c r="P108" i="8"/>
  <c r="Q107" i="8"/>
  <c r="P107" i="8"/>
  <c r="Q106" i="8"/>
  <c r="P106" i="8"/>
  <c r="R25" i="5"/>
  <c r="R24" i="5"/>
  <c r="Q39" i="5"/>
  <c r="P39" i="5"/>
  <c r="P38" i="5"/>
  <c r="R38" i="5" s="1"/>
  <c r="P37" i="5"/>
  <c r="Q37" i="5" s="1"/>
  <c r="P36" i="5"/>
  <c r="Q36" i="5" s="1"/>
  <c r="P35" i="5"/>
  <c r="Q35" i="5" s="1"/>
  <c r="P34" i="5"/>
  <c r="Q34" i="5" s="1"/>
  <c r="P33" i="5"/>
  <c r="Q33" i="5" s="1"/>
  <c r="P32" i="5"/>
  <c r="R32" i="5" s="1"/>
  <c r="P31" i="5"/>
  <c r="R31" i="5" s="1"/>
  <c r="P30" i="5"/>
  <c r="Q30" i="5" s="1"/>
  <c r="P29" i="5"/>
  <c r="R29" i="5" s="1"/>
  <c r="P28" i="5"/>
  <c r="R28" i="5" s="1"/>
  <c r="P27" i="5"/>
  <c r="Q27" i="5" s="1"/>
  <c r="P26" i="5"/>
  <c r="P25" i="5"/>
  <c r="Q25" i="5" s="1"/>
  <c r="P24" i="5"/>
  <c r="P23" i="5"/>
  <c r="R23" i="5" s="1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R30" i="5" l="1"/>
  <c r="R36" i="5"/>
  <c r="R37" i="5"/>
  <c r="Q38" i="5"/>
  <c r="R33" i="5"/>
  <c r="R34" i="5"/>
  <c r="R35" i="5"/>
  <c r="Q28" i="5"/>
  <c r="R39" i="5"/>
  <c r="Q29" i="5"/>
  <c r="Q26" i="5"/>
  <c r="R26" i="5"/>
  <c r="R27" i="5"/>
  <c r="Q31" i="5"/>
  <c r="Q32" i="5"/>
  <c r="E15" i="5"/>
  <c r="G15" i="5" s="1"/>
  <c r="Q23" i="5"/>
  <c r="Q24" i="5"/>
  <c r="E12" i="9"/>
  <c r="G12" i="9" s="1"/>
  <c r="E10" i="9"/>
  <c r="E9" i="9"/>
  <c r="E11" i="9" l="1"/>
  <c r="G11" i="9" s="1"/>
  <c r="E12" i="6"/>
  <c r="G12" i="6" s="1"/>
  <c r="E10" i="6"/>
  <c r="E9" i="6"/>
  <c r="E11" i="6" l="1"/>
  <c r="G11" i="6" s="1"/>
  <c r="E10" i="5"/>
  <c r="E9" i="5"/>
  <c r="E9" i="7"/>
  <c r="E12" i="7"/>
  <c r="G12" i="7" s="1"/>
  <c r="E10" i="7"/>
  <c r="E12" i="2"/>
  <c r="G12" i="2" s="1"/>
  <c r="E10" i="2"/>
  <c r="E9" i="2"/>
  <c r="E9" i="8"/>
  <c r="E12" i="8"/>
  <c r="G12" i="8" s="1"/>
  <c r="E10" i="8"/>
  <c r="E11" i="5" l="1"/>
  <c r="G11" i="5" s="1"/>
  <c r="G18" i="5" s="1"/>
  <c r="E11" i="7"/>
  <c r="G11" i="7" s="1"/>
  <c r="E11" i="8"/>
  <c r="G11" i="8" s="1"/>
  <c r="E11" i="2"/>
  <c r="G11" i="2" s="1"/>
</calcChain>
</file>

<file path=xl/sharedStrings.xml><?xml version="1.0" encoding="utf-8"?>
<sst xmlns="http://schemas.openxmlformats.org/spreadsheetml/2006/main" count="501" uniqueCount="69">
  <si>
    <t>Gamma 1.8</t>
    <phoneticPr fontId="6" type="noConversion"/>
  </si>
  <si>
    <t>Model:</t>
    <phoneticPr fontId="6" type="noConversion"/>
  </si>
  <si>
    <t>ONY220D01001</t>
    <phoneticPr fontId="6" type="noConversion"/>
  </si>
  <si>
    <t>Calibration summary</t>
  </si>
  <si>
    <t>Items</t>
  </si>
  <si>
    <t>Target Values</t>
  </si>
  <si>
    <t>Verification Result</t>
  </si>
  <si>
    <t>Results</t>
  </si>
  <si>
    <t>Ambient Light</t>
  </si>
  <si>
    <t>Calibration Type</t>
  </si>
  <si>
    <t>Max Luminance</t>
  </si>
  <si>
    <t>Min Luminance</t>
  </si>
  <si>
    <t>Contrast Ratio</t>
  </si>
  <si>
    <t>Color Temperature</t>
  </si>
  <si>
    <t>DeltaE ab (average)</t>
  </si>
  <si>
    <t>&lt;= 5</t>
  </si>
  <si>
    <t>DeltaE ab (max)</t>
  </si>
  <si>
    <t>&lt;= 7</t>
  </si>
  <si>
    <t>DeltaE L (average)</t>
  </si>
  <si>
    <t>&lt;= 2</t>
  </si>
  <si>
    <t>DeltaE L (max)</t>
  </si>
  <si>
    <t>Calibration Result</t>
  </si>
  <si>
    <t>Target Values</t>
    <phoneticPr fontId="6" type="noConversion"/>
  </si>
  <si>
    <t>DLL</t>
  </si>
  <si>
    <t>x</t>
  </si>
  <si>
    <t>y</t>
  </si>
  <si>
    <t>Y</t>
  </si>
  <si>
    <t>Measure Values</t>
  </si>
  <si>
    <t>Target Values (+0.09)</t>
    <phoneticPr fontId="6" type="noConversion"/>
  </si>
  <si>
    <t>Measure Values (Red)</t>
    <phoneticPr fontId="6" type="noConversion"/>
  </si>
  <si>
    <t>Measure Values (Green)</t>
    <phoneticPr fontId="6" type="noConversion"/>
  </si>
  <si>
    <t>Measure Values (Blue)</t>
    <phoneticPr fontId="6" type="noConversion"/>
  </si>
  <si>
    <t>Gamma 2.0</t>
    <phoneticPr fontId="6" type="noConversion"/>
  </si>
  <si>
    <t>Gamma 2.2</t>
    <phoneticPr fontId="6" type="noConversion"/>
  </si>
  <si>
    <t>Gamma 2.2</t>
  </si>
  <si>
    <t>Gamma 2.4</t>
    <phoneticPr fontId="6" type="noConversion"/>
  </si>
  <si>
    <t>Gamma 2.6</t>
    <phoneticPr fontId="6" type="noConversion"/>
  </si>
  <si>
    <t>Measure Values (White)</t>
    <phoneticPr fontId="6" type="noConversion"/>
  </si>
  <si>
    <t>DICOM + 6500K</t>
    <phoneticPr fontId="6" type="noConversion"/>
  </si>
  <si>
    <t>DICOM</t>
    <phoneticPr fontId="6" type="noConversion"/>
  </si>
  <si>
    <t>GSDF Deviation</t>
  </si>
  <si>
    <t>&lt; 10%</t>
  </si>
  <si>
    <t>JND Standard Deviation</t>
    <phoneticPr fontId="6" type="noConversion"/>
  </si>
  <si>
    <t>JND Average</t>
  </si>
  <si>
    <t>Standard Values</t>
  </si>
  <si>
    <t>JND</t>
  </si>
  <si>
    <t>dL/L</t>
  </si>
  <si>
    <t>dL/Ls</t>
  </si>
  <si>
    <t>Deviation</t>
  </si>
  <si>
    <t>-10% dL/L</t>
  </si>
  <si>
    <t>+10% dL/L</t>
  </si>
  <si>
    <t>0</t>
  </si>
  <si>
    <t>Results</t>
    <phoneticPr fontId="6" type="noConversion"/>
  </si>
  <si>
    <t xml:space="preserve">Date: </t>
    <phoneticPr fontId="6" type="noConversion"/>
  </si>
  <si>
    <t>FW. Version:</t>
    <phoneticPr fontId="6" type="noConversion"/>
  </si>
  <si>
    <t xml:space="preserve"> 20240808E01A</t>
    <phoneticPr fontId="6" type="noConversion"/>
  </si>
  <si>
    <t xml:space="preserve">FW. Version: </t>
    <phoneticPr fontId="6" type="noConversion"/>
  </si>
  <si>
    <t>20240808E01A</t>
    <phoneticPr fontId="6" type="noConversion"/>
  </si>
  <si>
    <t>Reference</t>
    <phoneticPr fontId="21" type="noConversion"/>
  </si>
  <si>
    <t>R</t>
    <phoneticPr fontId="21" type="noConversion"/>
  </si>
  <si>
    <t>G</t>
    <phoneticPr fontId="21" type="noConversion"/>
  </si>
  <si>
    <t>B</t>
    <phoneticPr fontId="21" type="noConversion"/>
  </si>
  <si>
    <t>Sample</t>
    <phoneticPr fontId="21" type="noConversion"/>
  </si>
  <si>
    <t>R1</t>
    <phoneticPr fontId="21" type="noConversion"/>
  </si>
  <si>
    <t>G1</t>
    <phoneticPr fontId="21" type="noConversion"/>
  </si>
  <si>
    <t>B1</t>
    <phoneticPr fontId="21" type="noConversion"/>
  </si>
  <si>
    <t>W</t>
    <phoneticPr fontId="6" type="noConversion"/>
  </si>
  <si>
    <t>W1</t>
    <phoneticPr fontId="6" type="noConversion"/>
  </si>
  <si>
    <t>20240808E01A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</si>
</sst>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25" x14ac:knownFonts="1">
    <font>
      <sz val="12"/>
      <color theme="1"/>
      <name val="新細明體"/>
      <family val="2"/>
      <charset val="136"/>
      <scheme val="minor"/>
    </font>
    <font>
      <sz val="12"/>
      <color rgb="FF000000"/>
      <name val="新細明體"/>
      <family val="1"/>
      <charset val="136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9"/>
      <name val="新細明體"/>
      <family val="2"/>
      <charset val="136"/>
      <scheme val="minor"/>
    </font>
    <font>
      <sz val="12"/>
      <color rgb="FF0000FF"/>
      <name val="Calibri"/>
      <family val="2"/>
    </font>
    <font>
      <b/>
      <sz val="20"/>
      <color theme="1"/>
      <name val="Calibri"/>
      <family val="2"/>
    </font>
    <font>
      <sz val="12"/>
      <color theme="1"/>
      <name val="Times New Roman"/>
      <family val="1"/>
    </font>
    <font>
      <b/>
      <sz val="20"/>
      <color rgb="FF000000"/>
      <name val="Calibri"/>
      <family val="2"/>
    </font>
    <font>
      <b/>
      <sz val="20"/>
      <color rgb="FF0000FF"/>
      <name val="Calibri"/>
      <family val="2"/>
    </font>
    <font>
      <sz val="12"/>
      <color rgb="FF0000FF"/>
      <name val="新細明體"/>
      <family val="1"/>
      <charset val="136"/>
    </font>
    <font>
      <sz val="12"/>
      <color rgb="FF0000FF"/>
      <name val="Corbel"/>
      <family val="2"/>
    </font>
    <font>
      <b/>
      <sz val="18"/>
      <color theme="1"/>
      <name val="Calibri"/>
      <family val="2"/>
    </font>
    <font>
      <b/>
      <sz val="18"/>
      <color rgb="FF0000FF"/>
      <name val="Calibri"/>
      <family val="2"/>
    </font>
    <font>
      <b/>
      <sz val="18"/>
      <name val="Calibri"/>
      <family val="2"/>
    </font>
    <font>
      <sz val="12"/>
      <color rgb="FF9C0006"/>
      <name val="新細明體"/>
      <family val="2"/>
      <charset val="136"/>
      <scheme val="minor"/>
    </font>
    <font>
      <sz val="12"/>
      <color rgb="FF9C0006"/>
      <name val="Calibri"/>
      <family val="2"/>
    </font>
    <font>
      <b/>
      <sz val="16"/>
      <color rgb="FF0000FF"/>
      <name val="Calibri"/>
      <family val="2"/>
    </font>
    <font>
      <b/>
      <sz val="20"/>
      <name val="Calibri"/>
      <family val="2"/>
    </font>
    <font>
      <sz val="9"/>
      <name val="新細明體"/>
      <family val="1"/>
      <charset val="136"/>
    </font>
    <font>
      <sz val="12"/>
      <color theme="1"/>
      <name val="Calibri"/>
      <family val="2"/>
    </font>
    <font>
      <b/>
      <sz val="12"/>
      <color rgb="FFFF0000"/>
      <name val="Calibri"/>
      <family val="2"/>
    </font>
    <font>
      <b/>
      <sz val="12"/>
      <color rgb="FF00206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ACB9CA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double">
        <color rgb="FF000000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rgb="FF000000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rgb="FF000000"/>
      </right>
      <top style="medium">
        <color indexed="64"/>
      </top>
      <bottom style="double">
        <color indexed="64"/>
      </bottom>
      <diagonal/>
    </border>
    <border>
      <left style="medium">
        <color rgb="FF000000"/>
      </left>
      <right/>
      <top style="medium">
        <color indexed="64"/>
      </top>
      <bottom style="double">
        <color indexed="64"/>
      </bottom>
      <diagonal/>
    </border>
    <border>
      <left/>
      <right style="double">
        <color rgb="FF000000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Down="1">
      <left/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Down="1">
      <left style="medium">
        <color indexed="64"/>
      </left>
      <right style="medium">
        <color indexed="64"/>
      </right>
      <top/>
      <bottom style="medium">
        <color indexed="64"/>
      </bottom>
      <diagonal style="thin">
        <color indexed="64"/>
      </diagonal>
    </border>
    <border diagonalDown="1">
      <left/>
      <right style="medium">
        <color indexed="64"/>
      </right>
      <top/>
      <bottom style="medium">
        <color indexed="64"/>
      </bottom>
      <diagonal style="thin">
        <color indexed="64"/>
      </diagonal>
    </border>
    <border diagonalDown="1">
      <left style="medium">
        <color indexed="64"/>
      </left>
      <right style="medium">
        <color indexed="64"/>
      </right>
      <top/>
      <bottom style="double">
        <color indexed="64"/>
      </bottom>
      <diagonal style="thin">
        <color indexed="64"/>
      </diagonal>
    </border>
    <border diagonalDown="1">
      <left/>
      <right style="medium">
        <color indexed="64"/>
      </right>
      <top/>
      <bottom style="double">
        <color indexed="64"/>
      </bottom>
      <diagonal style="thin">
        <color indexed="64"/>
      </diagonal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/>
      <right style="thick">
        <color rgb="FFFF0000"/>
      </right>
      <top/>
      <bottom/>
      <diagonal/>
    </border>
    <border>
      <left/>
      <right/>
      <top/>
      <bottom style="thick">
        <color rgb="FFFF0000"/>
      </bottom>
      <diagonal/>
    </border>
    <border>
      <left/>
      <right/>
      <top style="thick">
        <color rgb="FF002060"/>
      </top>
      <bottom/>
      <diagonal/>
    </border>
    <border>
      <left/>
      <right/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/>
      <diagonal/>
    </border>
    <border>
      <left/>
      <right style="thick">
        <color rgb="FF002060"/>
      </right>
      <top/>
      <bottom/>
      <diagonal/>
    </border>
    <border>
      <left style="thick">
        <color rgb="FF002060"/>
      </left>
      <right/>
      <top style="thick">
        <color rgb="FF002060"/>
      </top>
      <bottom/>
      <diagonal/>
    </border>
    <border>
      <left/>
      <right style="thick">
        <color rgb="FF002060"/>
      </right>
      <top style="thick">
        <color rgb="FF00206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double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 style="double">
        <color rgb="FF000000"/>
      </right>
      <top style="medium">
        <color rgb="FF000000"/>
      </top>
      <bottom style="double">
        <color rgb="FF000000"/>
      </bottom>
      <diagonal/>
    </border>
  </borders>
  <cellStyleXfs count="2">
    <xf numFmtId="0" fontId="0" fillId="0" borderId="0">
      <alignment vertical="center"/>
    </xf>
    <xf numFmtId="0" fontId="17" fillId="5" borderId="0" applyNumberFormat="0" applyBorder="0" applyAlignment="0" applyProtection="0">
      <alignment vertical="center"/>
    </xf>
  </cellStyleXfs>
  <cellXfs count="115">
    <xf numFmtId="0" fontId="0" fillId="0" borderId="0" xfId="0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5" fillId="4" borderId="29" xfId="0" applyFont="1" applyFill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5" fillId="4" borderId="31" xfId="0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/>
    </xf>
    <xf numFmtId="0" fontId="5" fillId="4" borderId="33" xfId="0" applyFont="1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6" fontId="7" fillId="0" borderId="8" xfId="0" applyNumberFormat="1" applyFont="1" applyBorder="1" applyAlignment="1">
      <alignment horizontal="center" vertical="center"/>
    </xf>
    <xf numFmtId="176" fontId="7" fillId="0" borderId="9" xfId="0" applyNumberFormat="1" applyFont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22" fillId="0" borderId="0" xfId="0" applyFont="1">
      <alignment vertical="center"/>
    </xf>
    <xf numFmtId="0" fontId="23" fillId="0" borderId="40" xfId="0" applyFont="1" applyBorder="1" applyProtection="1">
      <alignment vertical="center"/>
      <protection hidden="1"/>
    </xf>
    <xf numFmtId="0" fontId="23" fillId="0" borderId="39" xfId="0" applyFont="1" applyBorder="1" applyProtection="1">
      <alignment vertical="center"/>
      <protection hidden="1"/>
    </xf>
    <xf numFmtId="0" fontId="24" fillId="0" borderId="48" xfId="0" applyFont="1" applyBorder="1" applyProtection="1">
      <alignment vertical="center"/>
      <protection hidden="1"/>
    </xf>
    <xf numFmtId="0" fontId="24" fillId="0" borderId="46" xfId="0" applyFont="1" applyBorder="1">
      <alignment vertical="center"/>
    </xf>
    <xf numFmtId="0" fontId="24" fillId="0" borderId="45" xfId="0" applyFont="1" applyBorder="1">
      <alignment vertical="center"/>
    </xf>
    <xf numFmtId="0" fontId="24" fillId="0" borderId="47" xfId="0" applyFont="1" applyBorder="1">
      <alignment vertical="center"/>
    </xf>
    <xf numFmtId="0" fontId="23" fillId="0" borderId="43" xfId="0" applyFont="1" applyBorder="1">
      <alignment vertical="center"/>
    </xf>
    <xf numFmtId="0" fontId="23" fillId="0" borderId="41" xfId="0" applyFont="1" applyBorder="1">
      <alignment vertical="center"/>
    </xf>
    <xf numFmtId="0" fontId="24" fillId="0" borderId="0" xfId="0" applyFont="1">
      <alignment vertical="center"/>
    </xf>
    <xf numFmtId="0" fontId="24" fillId="0" borderId="49" xfId="0" applyFont="1" applyBorder="1">
      <alignment vertical="center"/>
    </xf>
    <xf numFmtId="0" fontId="23" fillId="0" borderId="0" xfId="0" applyFont="1">
      <alignment vertical="center"/>
    </xf>
    <xf numFmtId="0" fontId="23" fillId="0" borderId="42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14" fillId="2" borderId="1" xfId="0" applyFont="1" applyFill="1" applyBorder="1">
      <alignment vertical="center"/>
    </xf>
    <xf numFmtId="0" fontId="8" fillId="2" borderId="2" xfId="0" applyFont="1" applyFill="1" applyBorder="1">
      <alignment vertical="center"/>
    </xf>
    <xf numFmtId="0" fontId="15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24" fillId="0" borderId="50" xfId="0" applyFont="1" applyBorder="1" applyAlignment="1" applyProtection="1">
      <alignment horizontal="center" vertical="center"/>
      <protection hidden="1"/>
    </xf>
    <xf numFmtId="0" fontId="24" fillId="0" borderId="44" xfId="0" applyFont="1" applyBorder="1" applyAlignment="1" applyProtection="1">
      <alignment horizontal="center" vertical="center"/>
      <protection hidden="1"/>
    </xf>
    <xf numFmtId="0" fontId="24" fillId="0" borderId="51" xfId="0" applyFont="1" applyBorder="1" applyAlignment="1" applyProtection="1">
      <alignment horizontal="center" vertical="center"/>
      <protection hidden="1"/>
    </xf>
    <xf numFmtId="0" fontId="23" fillId="0" borderId="36" xfId="0" applyFont="1" applyBorder="1" applyAlignment="1" applyProtection="1">
      <alignment horizontal="center" vertical="center"/>
      <protection hidden="1"/>
    </xf>
    <xf numFmtId="0" fontId="23" fillId="0" borderId="37" xfId="0" applyFont="1" applyBorder="1" applyAlignment="1" applyProtection="1">
      <alignment horizontal="center" vertical="center"/>
      <protection hidden="1"/>
    </xf>
    <xf numFmtId="0" fontId="23" fillId="0" borderId="38" xfId="0" applyFont="1" applyBorder="1" applyAlignment="1" applyProtection="1">
      <alignment horizontal="center" vertical="center"/>
      <protection hidden="1"/>
    </xf>
    <xf numFmtId="0" fontId="14" fillId="2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8" fillId="2" borderId="35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9" fillId="2" borderId="35" xfId="0" applyFont="1" applyFill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8" fillId="6" borderId="54" xfId="1" applyFont="1" applyFill="1" applyBorder="1" applyAlignment="1">
      <alignment horizontal="center" vertical="center"/>
    </xf>
    <xf numFmtId="0" fontId="18" fillId="6" borderId="55" xfId="1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2" fillId="0" borderId="52" xfId="0" applyFont="1" applyBorder="1" applyAlignment="1">
      <alignment horizontal="center" vertical="center"/>
    </xf>
    <xf numFmtId="0" fontId="12" fillId="0" borderId="53" xfId="0" applyFont="1" applyBorder="1" applyAlignment="1">
      <alignment horizontal="center" vertical="center"/>
    </xf>
    <xf numFmtId="10" fontId="7" fillId="0" borderId="18" xfId="0" applyNumberFormat="1" applyFont="1" applyBorder="1" applyAlignment="1">
      <alignment horizontal="center" vertical="center"/>
    </xf>
    <xf numFmtId="10" fontId="7" fillId="0" borderId="17" xfId="0" applyNumberFormat="1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</cellXfs>
  <cellStyles count="2">
    <cellStyle name="一般" xfId="0" builtinId="0"/>
    <cellStyle name="壞" xfId="1" builtinId="27"/>
  </cellStyles>
  <dxfs count="14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6"/>
          <c:order val="0"/>
          <c:tx>
            <c:v>Reference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('Gamma 1.8'!$L$106,'Gamma 1.8'!$L$107,'Gamma 1.8'!$L$108,'Gamma 1.8'!$L$106)</c:f>
              <c:numCache>
                <c:formatCode>General</c:formatCode>
                <c:ptCount val="4"/>
                <c:pt idx="0">
                  <c:v>0.64</c:v>
                </c:pt>
                <c:pt idx="1">
                  <c:v>0.3</c:v>
                </c:pt>
                <c:pt idx="2">
                  <c:v>0.15</c:v>
                </c:pt>
                <c:pt idx="3">
                  <c:v>0.64</c:v>
                </c:pt>
              </c:numCache>
            </c:numRef>
          </c:xVal>
          <c:yVal>
            <c:numRef>
              <c:f>('Gamma 1.8'!$M$106,'Gamma 1.8'!$M$107,'Gamma 1.8'!$M$108,'Gamma 1.8'!$M$106)</c:f>
              <c:numCache>
                <c:formatCode>General</c:formatCode>
                <c:ptCount val="4"/>
                <c:pt idx="0">
                  <c:v>0.33</c:v>
                </c:pt>
                <c:pt idx="1">
                  <c:v>0.6</c:v>
                </c:pt>
                <c:pt idx="2">
                  <c:v>0.06</c:v>
                </c:pt>
                <c:pt idx="3">
                  <c:v>0.33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A97E-477C-8B65-246ADB7E6B96}"/>
            </c:ext>
          </c:extLst>
        </c:ser>
        <c:ser>
          <c:idx val="2"/>
          <c:order val="1"/>
          <c:tx>
            <c:v>Sample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('Gamma 1.8'!$P$106,'Gamma 1.8'!$P$107,'Gamma 1.8'!$P$108,'Gamma 1.8'!$P$106)</c:f>
            </c:numRef>
          </c:xVal>
          <c:yVal>
            <c:numRef>
              <c:f>('Gamma 1.8'!$Q$106,'Gamma 1.8'!$Q$107,'Gamma 1.8'!$Q$108,'Gamma 1.8'!$Q$106)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7E-477C-8B65-246ADB7E6B96}"/>
            </c:ext>
          </c:extLst>
        </c:ser>
        <c:ser>
          <c:idx val="0"/>
          <c:order val="2"/>
          <c:tx>
            <c:v>D65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004-4761-9307-F9D46B93334C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'Gamma 1.8'!$L$109</c:f>
              <c:numCache>
                <c:formatCode>General</c:formatCode>
                <c:ptCount val="1"/>
                <c:pt idx="0">
                  <c:v>0.313</c:v>
                </c:pt>
              </c:numCache>
            </c:numRef>
          </c:xVal>
          <c:yVal>
            <c:numRef>
              <c:f>'Gamma 1.8'!$M$109</c:f>
              <c:numCache>
                <c:formatCode>General</c:formatCode>
                <c:ptCount val="1"/>
                <c:pt idx="0">
                  <c:v>0.32900000000000001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004-4761-9307-F9D46B93334C}"/>
            </c:ext>
          </c:extLst>
        </c:ser>
        <c:ser>
          <c:idx val="1"/>
          <c:order val="3"/>
          <c:tx>
            <c:v>mWhite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'Gamma 1.8'!$P$109</c:f>
            </c:numRef>
          </c:xVal>
          <c:yVal>
            <c:numRef>
              <c:f>'Gamma 1.8'!$Q$109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004-4761-9307-F9D46B933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764591"/>
        <c:axId val="770763343"/>
        <c:extLst/>
      </c:scatterChart>
      <c:valAx>
        <c:axId val="770764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Cx</a:t>
                </a:r>
                <a:endParaRPr lang="zh-TW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70763343"/>
        <c:crosses val="autoZero"/>
        <c:crossBetween val="midCat"/>
      </c:valAx>
      <c:valAx>
        <c:axId val="77076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Cy</a:t>
                </a:r>
                <a:endParaRPr lang="zh-TW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70764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('Gamma 1.8'!$A$40:$A$55,'Gamma 1.8'!$E$40:$E$55)</c:f>
              <c:numCache>
                <c:formatCode>General</c:formatCode>
                <c:ptCount val="32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25</c:v>
                </c:pt>
                <c:pt idx="4">
                  <c:v>33</c:v>
                </c:pt>
                <c:pt idx="5">
                  <c:v>41</c:v>
                </c:pt>
                <c:pt idx="6">
                  <c:v>49</c:v>
                </c:pt>
                <c:pt idx="7">
                  <c:v>58</c:v>
                </c:pt>
                <c:pt idx="8">
                  <c:v>66</c:v>
                </c:pt>
                <c:pt idx="9">
                  <c:v>74</c:v>
                </c:pt>
                <c:pt idx="10">
                  <c:v>82</c:v>
                </c:pt>
                <c:pt idx="11">
                  <c:v>90</c:v>
                </c:pt>
                <c:pt idx="12">
                  <c:v>99</c:v>
                </c:pt>
                <c:pt idx="13">
                  <c:v>107</c:v>
                </c:pt>
                <c:pt idx="14">
                  <c:v>115</c:v>
                </c:pt>
                <c:pt idx="15">
                  <c:v>123</c:v>
                </c:pt>
                <c:pt idx="16">
                  <c:v>132</c:v>
                </c:pt>
                <c:pt idx="17">
                  <c:v>140</c:v>
                </c:pt>
                <c:pt idx="18">
                  <c:v>148</c:v>
                </c:pt>
                <c:pt idx="19">
                  <c:v>156</c:v>
                </c:pt>
                <c:pt idx="20">
                  <c:v>165</c:v>
                </c:pt>
                <c:pt idx="21">
                  <c:v>173</c:v>
                </c:pt>
                <c:pt idx="22">
                  <c:v>181</c:v>
                </c:pt>
                <c:pt idx="23">
                  <c:v>189</c:v>
                </c:pt>
                <c:pt idx="24">
                  <c:v>197</c:v>
                </c:pt>
                <c:pt idx="25">
                  <c:v>206</c:v>
                </c:pt>
                <c:pt idx="26">
                  <c:v>214</c:v>
                </c:pt>
                <c:pt idx="27">
                  <c:v>222</c:v>
                </c:pt>
                <c:pt idx="28">
                  <c:v>230</c:v>
                </c:pt>
                <c:pt idx="29">
                  <c:v>239</c:v>
                </c:pt>
                <c:pt idx="30">
                  <c:v>247</c:v>
                </c:pt>
                <c:pt idx="31">
                  <c:v>255</c:v>
                </c:pt>
              </c:numCache>
            </c:numRef>
          </c:xVal>
          <c:yVal>
            <c:numRef>
              <c:f>('Gamma 1.8'!$D$40:$D$55,'Gamma 1.8'!$H$40:$H$55)</c:f>
              <c:numCache>
                <c:formatCode>General</c:formatCode>
                <c:ptCount val="3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72-4FC4-93BD-5E1B291D5C79}"/>
            </c:ext>
          </c:extLst>
        </c:ser>
        <c:ser>
          <c:idx val="1"/>
          <c:order val="1"/>
          <c:tx>
            <c:v>1.8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('Gamma 1.8'!$A$21:$A$36,'Gamma 1.8'!$E$21:$E$36)</c:f>
              <c:numCache>
                <c:formatCode>General</c:formatCode>
                <c:ptCount val="32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25</c:v>
                </c:pt>
                <c:pt idx="4">
                  <c:v>33</c:v>
                </c:pt>
                <c:pt idx="5">
                  <c:v>41</c:v>
                </c:pt>
                <c:pt idx="6">
                  <c:v>49</c:v>
                </c:pt>
                <c:pt idx="7">
                  <c:v>58</c:v>
                </c:pt>
                <c:pt idx="8">
                  <c:v>66</c:v>
                </c:pt>
                <c:pt idx="9">
                  <c:v>74</c:v>
                </c:pt>
                <c:pt idx="10">
                  <c:v>82</c:v>
                </c:pt>
                <c:pt idx="11">
                  <c:v>90</c:v>
                </c:pt>
                <c:pt idx="12">
                  <c:v>99</c:v>
                </c:pt>
                <c:pt idx="13">
                  <c:v>107</c:v>
                </c:pt>
                <c:pt idx="14">
                  <c:v>115</c:v>
                </c:pt>
                <c:pt idx="15">
                  <c:v>123</c:v>
                </c:pt>
                <c:pt idx="16">
                  <c:v>132</c:v>
                </c:pt>
                <c:pt idx="17">
                  <c:v>140</c:v>
                </c:pt>
                <c:pt idx="18">
                  <c:v>148</c:v>
                </c:pt>
                <c:pt idx="19">
                  <c:v>156</c:v>
                </c:pt>
                <c:pt idx="20">
                  <c:v>165</c:v>
                </c:pt>
                <c:pt idx="21">
                  <c:v>173</c:v>
                </c:pt>
                <c:pt idx="22">
                  <c:v>181</c:v>
                </c:pt>
                <c:pt idx="23">
                  <c:v>189</c:v>
                </c:pt>
                <c:pt idx="24">
                  <c:v>197</c:v>
                </c:pt>
                <c:pt idx="25">
                  <c:v>206</c:v>
                </c:pt>
                <c:pt idx="26">
                  <c:v>214</c:v>
                </c:pt>
                <c:pt idx="27">
                  <c:v>222</c:v>
                </c:pt>
                <c:pt idx="28">
                  <c:v>230</c:v>
                </c:pt>
                <c:pt idx="29">
                  <c:v>239</c:v>
                </c:pt>
                <c:pt idx="30">
                  <c:v>247</c:v>
                </c:pt>
                <c:pt idx="31">
                  <c:v>255</c:v>
                </c:pt>
              </c:numCache>
            </c:numRef>
          </c:xVal>
          <c:yVal>
            <c:numRef>
              <c:f>('Gamma 1.8'!$D$21:$D$36,'Gamma 1.8'!$H$21:$H$36)</c:f>
              <c:numCache>
                <c:formatCode>General</c:formatCode>
                <c:ptCount val="3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72-4FC4-93BD-5E1B291D5C79}"/>
            </c:ext>
          </c:extLst>
        </c:ser>
        <c:ser>
          <c:idx val="2"/>
          <c:order val="2"/>
          <c:tx>
            <c:v>1.89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('Gamma 1.8'!$A$21:$A$36,'Gamma 1.8'!$E$21:$E$36)</c:f>
              <c:numCache>
                <c:formatCode>General</c:formatCode>
                <c:ptCount val="32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25</c:v>
                </c:pt>
                <c:pt idx="4">
                  <c:v>33</c:v>
                </c:pt>
                <c:pt idx="5">
                  <c:v>41</c:v>
                </c:pt>
                <c:pt idx="6">
                  <c:v>49</c:v>
                </c:pt>
                <c:pt idx="7">
                  <c:v>58</c:v>
                </c:pt>
                <c:pt idx="8">
                  <c:v>66</c:v>
                </c:pt>
                <c:pt idx="9">
                  <c:v>74</c:v>
                </c:pt>
                <c:pt idx="10">
                  <c:v>82</c:v>
                </c:pt>
                <c:pt idx="11">
                  <c:v>90</c:v>
                </c:pt>
                <c:pt idx="12">
                  <c:v>99</c:v>
                </c:pt>
                <c:pt idx="13">
                  <c:v>107</c:v>
                </c:pt>
                <c:pt idx="14">
                  <c:v>115</c:v>
                </c:pt>
                <c:pt idx="15">
                  <c:v>123</c:v>
                </c:pt>
                <c:pt idx="16">
                  <c:v>132</c:v>
                </c:pt>
                <c:pt idx="17">
                  <c:v>140</c:v>
                </c:pt>
                <c:pt idx="18">
                  <c:v>148</c:v>
                </c:pt>
                <c:pt idx="19">
                  <c:v>156</c:v>
                </c:pt>
                <c:pt idx="20">
                  <c:v>165</c:v>
                </c:pt>
                <c:pt idx="21">
                  <c:v>173</c:v>
                </c:pt>
                <c:pt idx="22">
                  <c:v>181</c:v>
                </c:pt>
                <c:pt idx="23">
                  <c:v>189</c:v>
                </c:pt>
                <c:pt idx="24">
                  <c:v>197</c:v>
                </c:pt>
                <c:pt idx="25">
                  <c:v>206</c:v>
                </c:pt>
                <c:pt idx="26">
                  <c:v>214</c:v>
                </c:pt>
                <c:pt idx="27">
                  <c:v>222</c:v>
                </c:pt>
                <c:pt idx="28">
                  <c:v>230</c:v>
                </c:pt>
                <c:pt idx="29">
                  <c:v>239</c:v>
                </c:pt>
                <c:pt idx="30">
                  <c:v>247</c:v>
                </c:pt>
                <c:pt idx="31">
                  <c:v>255</c:v>
                </c:pt>
              </c:numCache>
            </c:numRef>
          </c:xVal>
          <c:yVal>
            <c:numRef>
              <c:f>('Gamma 1.8'!$N$40:$N$55,'Gamma 1.8'!$R$40:$R$55)</c:f>
              <c:numCache>
                <c:formatCode>General</c:formatCode>
                <c:ptCount val="3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99-48B8-9D03-E58E67FBB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764591"/>
        <c:axId val="770763343"/>
      </c:scatterChart>
      <c:valAx>
        <c:axId val="770764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70763343"/>
        <c:crosses val="autoZero"/>
        <c:crossBetween val="midCat"/>
      </c:valAx>
      <c:valAx>
        <c:axId val="77076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70764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2"/>
          <c:order val="0"/>
          <c:tx>
            <c:v>R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('Gamma 1.8'!$A$59:$A$74,'Gamma 1.8'!$E$59:$E$74)</c:f>
              <c:numCache>
                <c:formatCode>General</c:formatCode>
                <c:ptCount val="32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25</c:v>
                </c:pt>
                <c:pt idx="4">
                  <c:v>33</c:v>
                </c:pt>
                <c:pt idx="5">
                  <c:v>41</c:v>
                </c:pt>
                <c:pt idx="6">
                  <c:v>49</c:v>
                </c:pt>
                <c:pt idx="7">
                  <c:v>58</c:v>
                </c:pt>
                <c:pt idx="8">
                  <c:v>66</c:v>
                </c:pt>
                <c:pt idx="9">
                  <c:v>74</c:v>
                </c:pt>
                <c:pt idx="10">
                  <c:v>82</c:v>
                </c:pt>
                <c:pt idx="11">
                  <c:v>90</c:v>
                </c:pt>
                <c:pt idx="12">
                  <c:v>99</c:v>
                </c:pt>
                <c:pt idx="13">
                  <c:v>107</c:v>
                </c:pt>
                <c:pt idx="14">
                  <c:v>115</c:v>
                </c:pt>
                <c:pt idx="15">
                  <c:v>123</c:v>
                </c:pt>
                <c:pt idx="16">
                  <c:v>132</c:v>
                </c:pt>
                <c:pt idx="17">
                  <c:v>140</c:v>
                </c:pt>
                <c:pt idx="18">
                  <c:v>148</c:v>
                </c:pt>
                <c:pt idx="19">
                  <c:v>156</c:v>
                </c:pt>
                <c:pt idx="20">
                  <c:v>165</c:v>
                </c:pt>
                <c:pt idx="21">
                  <c:v>173</c:v>
                </c:pt>
                <c:pt idx="22">
                  <c:v>181</c:v>
                </c:pt>
                <c:pt idx="23">
                  <c:v>189</c:v>
                </c:pt>
                <c:pt idx="24">
                  <c:v>197</c:v>
                </c:pt>
                <c:pt idx="25">
                  <c:v>206</c:v>
                </c:pt>
                <c:pt idx="26">
                  <c:v>214</c:v>
                </c:pt>
                <c:pt idx="27">
                  <c:v>222</c:v>
                </c:pt>
                <c:pt idx="28">
                  <c:v>230</c:v>
                </c:pt>
                <c:pt idx="29">
                  <c:v>239</c:v>
                </c:pt>
                <c:pt idx="30">
                  <c:v>247</c:v>
                </c:pt>
                <c:pt idx="31">
                  <c:v>255</c:v>
                </c:pt>
              </c:numCache>
            </c:numRef>
          </c:xVal>
          <c:yVal>
            <c:numRef>
              <c:f>('Gamma 1.8'!$D$59:$D$74,'Gamma 1.8'!$H$59:$H$74)</c:f>
              <c:numCache>
                <c:formatCode>General</c:formatCode>
                <c:ptCount val="3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6A-4590-8A70-C7E0A9252750}"/>
            </c:ext>
          </c:extLst>
        </c:ser>
        <c:ser>
          <c:idx val="0"/>
          <c:order val="1"/>
          <c:tx>
            <c:v>G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('Gamma 1.8'!$A$78:$A$93,'Gamma 1.8'!$E$78:$E$93)</c:f>
              <c:numCache>
                <c:formatCode>General</c:formatCode>
                <c:ptCount val="32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25</c:v>
                </c:pt>
                <c:pt idx="4">
                  <c:v>33</c:v>
                </c:pt>
                <c:pt idx="5">
                  <c:v>41</c:v>
                </c:pt>
                <c:pt idx="6">
                  <c:v>49</c:v>
                </c:pt>
                <c:pt idx="7">
                  <c:v>58</c:v>
                </c:pt>
                <c:pt idx="8">
                  <c:v>66</c:v>
                </c:pt>
                <c:pt idx="9">
                  <c:v>74</c:v>
                </c:pt>
                <c:pt idx="10">
                  <c:v>82</c:v>
                </c:pt>
                <c:pt idx="11">
                  <c:v>90</c:v>
                </c:pt>
                <c:pt idx="12">
                  <c:v>99</c:v>
                </c:pt>
                <c:pt idx="13">
                  <c:v>107</c:v>
                </c:pt>
                <c:pt idx="14">
                  <c:v>115</c:v>
                </c:pt>
                <c:pt idx="15">
                  <c:v>123</c:v>
                </c:pt>
                <c:pt idx="16">
                  <c:v>132</c:v>
                </c:pt>
                <c:pt idx="17">
                  <c:v>140</c:v>
                </c:pt>
                <c:pt idx="18">
                  <c:v>148</c:v>
                </c:pt>
                <c:pt idx="19">
                  <c:v>156</c:v>
                </c:pt>
                <c:pt idx="20">
                  <c:v>165</c:v>
                </c:pt>
                <c:pt idx="21">
                  <c:v>173</c:v>
                </c:pt>
                <c:pt idx="22">
                  <c:v>181</c:v>
                </c:pt>
                <c:pt idx="23">
                  <c:v>189</c:v>
                </c:pt>
                <c:pt idx="24">
                  <c:v>197</c:v>
                </c:pt>
                <c:pt idx="25">
                  <c:v>206</c:v>
                </c:pt>
                <c:pt idx="26">
                  <c:v>214</c:v>
                </c:pt>
                <c:pt idx="27">
                  <c:v>222</c:v>
                </c:pt>
                <c:pt idx="28">
                  <c:v>230</c:v>
                </c:pt>
                <c:pt idx="29">
                  <c:v>239</c:v>
                </c:pt>
                <c:pt idx="30">
                  <c:v>247</c:v>
                </c:pt>
                <c:pt idx="31">
                  <c:v>255</c:v>
                </c:pt>
              </c:numCache>
            </c:numRef>
          </c:xVal>
          <c:yVal>
            <c:numRef>
              <c:f>('Gamma 1.8'!$D$78:$D$93,'Gamma 1.8'!$H$78:$H$93)</c:f>
              <c:numCache>
                <c:formatCode>General</c:formatCode>
                <c:ptCount val="3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66A-4590-8A70-C7E0A9252750}"/>
            </c:ext>
          </c:extLst>
        </c:ser>
        <c:ser>
          <c:idx val="1"/>
          <c:order val="2"/>
          <c:tx>
            <c:v>B</c:v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('Gamma 1.8'!$A$97:$A$112,'Gamma 1.8'!$E$97:$E$112)</c:f>
              <c:numCache>
                <c:formatCode>General</c:formatCode>
                <c:ptCount val="32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25</c:v>
                </c:pt>
                <c:pt idx="4">
                  <c:v>33</c:v>
                </c:pt>
                <c:pt idx="5">
                  <c:v>41</c:v>
                </c:pt>
                <c:pt idx="6">
                  <c:v>49</c:v>
                </c:pt>
                <c:pt idx="7">
                  <c:v>58</c:v>
                </c:pt>
                <c:pt idx="8">
                  <c:v>66</c:v>
                </c:pt>
                <c:pt idx="9">
                  <c:v>74</c:v>
                </c:pt>
                <c:pt idx="10">
                  <c:v>82</c:v>
                </c:pt>
                <c:pt idx="11">
                  <c:v>90</c:v>
                </c:pt>
                <c:pt idx="12">
                  <c:v>99</c:v>
                </c:pt>
                <c:pt idx="13">
                  <c:v>107</c:v>
                </c:pt>
                <c:pt idx="14">
                  <c:v>115</c:v>
                </c:pt>
                <c:pt idx="15">
                  <c:v>123</c:v>
                </c:pt>
                <c:pt idx="16">
                  <c:v>132</c:v>
                </c:pt>
                <c:pt idx="17">
                  <c:v>140</c:v>
                </c:pt>
                <c:pt idx="18">
                  <c:v>148</c:v>
                </c:pt>
                <c:pt idx="19">
                  <c:v>156</c:v>
                </c:pt>
                <c:pt idx="20">
                  <c:v>165</c:v>
                </c:pt>
                <c:pt idx="21">
                  <c:v>173</c:v>
                </c:pt>
                <c:pt idx="22">
                  <c:v>181</c:v>
                </c:pt>
                <c:pt idx="23">
                  <c:v>189</c:v>
                </c:pt>
                <c:pt idx="24">
                  <c:v>197</c:v>
                </c:pt>
                <c:pt idx="25">
                  <c:v>206</c:v>
                </c:pt>
                <c:pt idx="26">
                  <c:v>214</c:v>
                </c:pt>
                <c:pt idx="27">
                  <c:v>222</c:v>
                </c:pt>
                <c:pt idx="28">
                  <c:v>230</c:v>
                </c:pt>
                <c:pt idx="29">
                  <c:v>239</c:v>
                </c:pt>
                <c:pt idx="30">
                  <c:v>247</c:v>
                </c:pt>
                <c:pt idx="31">
                  <c:v>255</c:v>
                </c:pt>
              </c:numCache>
            </c:numRef>
          </c:xVal>
          <c:yVal>
            <c:numRef>
              <c:f>('Gamma 1.8'!$D$97:$D$112,'Gamma 1.8'!$H$97:$H$112)</c:f>
              <c:numCache>
                <c:formatCode>General</c:formatCode>
                <c:ptCount val="3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66A-4590-8A70-C7E0A9252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764591"/>
        <c:axId val="770763343"/>
      </c:scatterChart>
      <c:valAx>
        <c:axId val="770764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70763343"/>
        <c:crosses val="autoZero"/>
        <c:crossBetween val="midCat"/>
      </c:valAx>
      <c:valAx>
        <c:axId val="77076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70764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2"/>
          <c:order val="0"/>
          <c:tx>
            <c:v>R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('Gamma 2.0'!$A$59:$A$74,'Gamma 2.0'!$E$59:$E$74)</c:f>
              <c:numCache>
                <c:formatCode>General</c:formatCode>
                <c:ptCount val="32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25</c:v>
                </c:pt>
                <c:pt idx="4">
                  <c:v>33</c:v>
                </c:pt>
                <c:pt idx="5">
                  <c:v>41</c:v>
                </c:pt>
                <c:pt idx="6">
                  <c:v>49</c:v>
                </c:pt>
                <c:pt idx="7">
                  <c:v>58</c:v>
                </c:pt>
                <c:pt idx="8">
                  <c:v>66</c:v>
                </c:pt>
                <c:pt idx="9">
                  <c:v>74</c:v>
                </c:pt>
                <c:pt idx="10">
                  <c:v>82</c:v>
                </c:pt>
                <c:pt idx="11">
                  <c:v>90</c:v>
                </c:pt>
                <c:pt idx="12">
                  <c:v>99</c:v>
                </c:pt>
                <c:pt idx="13">
                  <c:v>107</c:v>
                </c:pt>
                <c:pt idx="14">
                  <c:v>115</c:v>
                </c:pt>
                <c:pt idx="15">
                  <c:v>123</c:v>
                </c:pt>
                <c:pt idx="16">
                  <c:v>132</c:v>
                </c:pt>
                <c:pt idx="17">
                  <c:v>140</c:v>
                </c:pt>
                <c:pt idx="18">
                  <c:v>148</c:v>
                </c:pt>
                <c:pt idx="19">
                  <c:v>156</c:v>
                </c:pt>
                <c:pt idx="20">
                  <c:v>165</c:v>
                </c:pt>
                <c:pt idx="21">
                  <c:v>173</c:v>
                </c:pt>
                <c:pt idx="22">
                  <c:v>181</c:v>
                </c:pt>
                <c:pt idx="23">
                  <c:v>189</c:v>
                </c:pt>
                <c:pt idx="24">
                  <c:v>197</c:v>
                </c:pt>
                <c:pt idx="25">
                  <c:v>206</c:v>
                </c:pt>
                <c:pt idx="26">
                  <c:v>214</c:v>
                </c:pt>
                <c:pt idx="27">
                  <c:v>222</c:v>
                </c:pt>
                <c:pt idx="28">
                  <c:v>230</c:v>
                </c:pt>
                <c:pt idx="29">
                  <c:v>239</c:v>
                </c:pt>
                <c:pt idx="30">
                  <c:v>247</c:v>
                </c:pt>
                <c:pt idx="31">
                  <c:v>255</c:v>
                </c:pt>
              </c:numCache>
            </c:numRef>
          </c:xVal>
          <c:yVal>
            <c:numRef>
              <c:f>('Gamma 2.0'!$D$59:$D$74,'Gamma 2.0'!$H$59:$H$74)</c:f>
              <c:numCache>
                <c:formatCode>General</c:formatCode>
                <c:ptCount val="3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D5-495F-8CE6-8AEF133FE31A}"/>
            </c:ext>
          </c:extLst>
        </c:ser>
        <c:ser>
          <c:idx val="0"/>
          <c:order val="1"/>
          <c:tx>
            <c:v>G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('Gamma 2.0'!$A$78:$A$93,'Gamma 2.0'!$E$78:$E$93)</c:f>
              <c:numCache>
                <c:formatCode>General</c:formatCode>
                <c:ptCount val="32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25</c:v>
                </c:pt>
                <c:pt idx="4">
                  <c:v>33</c:v>
                </c:pt>
                <c:pt idx="5">
                  <c:v>41</c:v>
                </c:pt>
                <c:pt idx="6">
                  <c:v>49</c:v>
                </c:pt>
                <c:pt idx="7">
                  <c:v>58</c:v>
                </c:pt>
                <c:pt idx="8">
                  <c:v>66</c:v>
                </c:pt>
                <c:pt idx="9">
                  <c:v>74</c:v>
                </c:pt>
                <c:pt idx="10">
                  <c:v>82</c:v>
                </c:pt>
                <c:pt idx="11">
                  <c:v>90</c:v>
                </c:pt>
                <c:pt idx="12">
                  <c:v>99</c:v>
                </c:pt>
                <c:pt idx="13">
                  <c:v>107</c:v>
                </c:pt>
                <c:pt idx="14">
                  <c:v>115</c:v>
                </c:pt>
                <c:pt idx="15">
                  <c:v>123</c:v>
                </c:pt>
                <c:pt idx="16">
                  <c:v>132</c:v>
                </c:pt>
                <c:pt idx="17">
                  <c:v>140</c:v>
                </c:pt>
                <c:pt idx="18">
                  <c:v>148</c:v>
                </c:pt>
                <c:pt idx="19">
                  <c:v>156</c:v>
                </c:pt>
                <c:pt idx="20">
                  <c:v>165</c:v>
                </c:pt>
                <c:pt idx="21">
                  <c:v>173</c:v>
                </c:pt>
                <c:pt idx="22">
                  <c:v>181</c:v>
                </c:pt>
                <c:pt idx="23">
                  <c:v>189</c:v>
                </c:pt>
                <c:pt idx="24">
                  <c:v>197</c:v>
                </c:pt>
                <c:pt idx="25">
                  <c:v>206</c:v>
                </c:pt>
                <c:pt idx="26">
                  <c:v>214</c:v>
                </c:pt>
                <c:pt idx="27">
                  <c:v>222</c:v>
                </c:pt>
                <c:pt idx="28">
                  <c:v>230</c:v>
                </c:pt>
                <c:pt idx="29">
                  <c:v>239</c:v>
                </c:pt>
                <c:pt idx="30">
                  <c:v>247</c:v>
                </c:pt>
                <c:pt idx="31">
                  <c:v>255</c:v>
                </c:pt>
              </c:numCache>
            </c:numRef>
          </c:xVal>
          <c:yVal>
            <c:numRef>
              <c:f>('Gamma 2.0'!$D$78:$D$93,'Gamma 2.0'!$H$78:$H$93)</c:f>
              <c:numCache>
                <c:formatCode>General</c:formatCode>
                <c:ptCount val="3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7D5-495F-8CE6-8AEF133FE31A}"/>
            </c:ext>
          </c:extLst>
        </c:ser>
        <c:ser>
          <c:idx val="1"/>
          <c:order val="2"/>
          <c:tx>
            <c:v>B</c:v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('Gamma 2.0'!$A$97:$A$112,'Gamma 2.0'!$E$97:$E$112)</c:f>
              <c:numCache>
                <c:formatCode>General</c:formatCode>
                <c:ptCount val="32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25</c:v>
                </c:pt>
                <c:pt idx="4">
                  <c:v>33</c:v>
                </c:pt>
                <c:pt idx="5">
                  <c:v>41</c:v>
                </c:pt>
                <c:pt idx="6">
                  <c:v>49</c:v>
                </c:pt>
                <c:pt idx="7">
                  <c:v>58</c:v>
                </c:pt>
                <c:pt idx="8">
                  <c:v>66</c:v>
                </c:pt>
                <c:pt idx="9">
                  <c:v>74</c:v>
                </c:pt>
                <c:pt idx="10">
                  <c:v>82</c:v>
                </c:pt>
                <c:pt idx="11">
                  <c:v>90</c:v>
                </c:pt>
                <c:pt idx="12">
                  <c:v>99</c:v>
                </c:pt>
                <c:pt idx="13">
                  <c:v>107</c:v>
                </c:pt>
                <c:pt idx="14">
                  <c:v>115</c:v>
                </c:pt>
                <c:pt idx="15">
                  <c:v>123</c:v>
                </c:pt>
                <c:pt idx="16">
                  <c:v>132</c:v>
                </c:pt>
                <c:pt idx="17">
                  <c:v>140</c:v>
                </c:pt>
                <c:pt idx="18">
                  <c:v>148</c:v>
                </c:pt>
                <c:pt idx="19">
                  <c:v>156</c:v>
                </c:pt>
                <c:pt idx="20">
                  <c:v>165</c:v>
                </c:pt>
                <c:pt idx="21">
                  <c:v>173</c:v>
                </c:pt>
                <c:pt idx="22">
                  <c:v>181</c:v>
                </c:pt>
                <c:pt idx="23">
                  <c:v>189</c:v>
                </c:pt>
                <c:pt idx="24">
                  <c:v>197</c:v>
                </c:pt>
                <c:pt idx="25">
                  <c:v>206</c:v>
                </c:pt>
                <c:pt idx="26">
                  <c:v>214</c:v>
                </c:pt>
                <c:pt idx="27">
                  <c:v>222</c:v>
                </c:pt>
                <c:pt idx="28">
                  <c:v>230</c:v>
                </c:pt>
                <c:pt idx="29">
                  <c:v>239</c:v>
                </c:pt>
                <c:pt idx="30">
                  <c:v>247</c:v>
                </c:pt>
                <c:pt idx="31">
                  <c:v>255</c:v>
                </c:pt>
              </c:numCache>
            </c:numRef>
          </c:xVal>
          <c:yVal>
            <c:numRef>
              <c:f>('Gamma 2.0'!$D$97:$D$112,'Gamma 2.0'!$H$97:$H$112)</c:f>
              <c:numCache>
                <c:formatCode>General</c:formatCode>
                <c:ptCount val="3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7D5-495F-8CE6-8AEF133FE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764591"/>
        <c:axId val="770763343"/>
      </c:scatterChart>
      <c:valAx>
        <c:axId val="770764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70763343"/>
        <c:crosses val="autoZero"/>
        <c:crossBetween val="midCat"/>
      </c:valAx>
      <c:valAx>
        <c:axId val="77076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70764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('Gamma 2.0'!$A$40:$A$55,'Gamma 2.0'!$E$40:$E$55)</c:f>
              <c:numCache>
                <c:formatCode>General</c:formatCode>
                <c:ptCount val="32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25</c:v>
                </c:pt>
                <c:pt idx="4">
                  <c:v>33</c:v>
                </c:pt>
                <c:pt idx="5">
                  <c:v>41</c:v>
                </c:pt>
                <c:pt idx="6">
                  <c:v>49</c:v>
                </c:pt>
                <c:pt idx="7">
                  <c:v>58</c:v>
                </c:pt>
                <c:pt idx="8">
                  <c:v>66</c:v>
                </c:pt>
                <c:pt idx="9">
                  <c:v>74</c:v>
                </c:pt>
                <c:pt idx="10">
                  <c:v>82</c:v>
                </c:pt>
                <c:pt idx="11">
                  <c:v>90</c:v>
                </c:pt>
                <c:pt idx="12">
                  <c:v>99</c:v>
                </c:pt>
                <c:pt idx="13">
                  <c:v>107</c:v>
                </c:pt>
                <c:pt idx="14">
                  <c:v>115</c:v>
                </c:pt>
                <c:pt idx="15">
                  <c:v>123</c:v>
                </c:pt>
                <c:pt idx="16">
                  <c:v>132</c:v>
                </c:pt>
                <c:pt idx="17">
                  <c:v>140</c:v>
                </c:pt>
                <c:pt idx="18">
                  <c:v>148</c:v>
                </c:pt>
                <c:pt idx="19">
                  <c:v>156</c:v>
                </c:pt>
                <c:pt idx="20">
                  <c:v>165</c:v>
                </c:pt>
                <c:pt idx="21">
                  <c:v>173</c:v>
                </c:pt>
                <c:pt idx="22">
                  <c:v>181</c:v>
                </c:pt>
                <c:pt idx="23">
                  <c:v>189</c:v>
                </c:pt>
                <c:pt idx="24">
                  <c:v>197</c:v>
                </c:pt>
                <c:pt idx="25">
                  <c:v>206</c:v>
                </c:pt>
                <c:pt idx="26">
                  <c:v>214</c:v>
                </c:pt>
                <c:pt idx="27">
                  <c:v>222</c:v>
                </c:pt>
                <c:pt idx="28">
                  <c:v>230</c:v>
                </c:pt>
                <c:pt idx="29">
                  <c:v>239</c:v>
                </c:pt>
                <c:pt idx="30">
                  <c:v>247</c:v>
                </c:pt>
                <c:pt idx="31">
                  <c:v>255</c:v>
                </c:pt>
              </c:numCache>
            </c:numRef>
          </c:xVal>
          <c:yVal>
            <c:numRef>
              <c:f>('Gamma 2.0'!$D$40:$D$55,'Gamma 2.0'!$H$40:$H$55)</c:f>
              <c:numCache>
                <c:formatCode>General</c:formatCode>
                <c:ptCount val="3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B1-443B-AABE-8C2D5F0699E2}"/>
            </c:ext>
          </c:extLst>
        </c:ser>
        <c:ser>
          <c:idx val="1"/>
          <c:order val="1"/>
          <c:tx>
            <c:v>2.0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('Gamma 2.0'!$A$21:$A$36,'Gamma 2.0'!$E$21:$E$36)</c:f>
              <c:numCache>
                <c:formatCode>General</c:formatCode>
                <c:ptCount val="32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25</c:v>
                </c:pt>
                <c:pt idx="4">
                  <c:v>33</c:v>
                </c:pt>
                <c:pt idx="5">
                  <c:v>41</c:v>
                </c:pt>
                <c:pt idx="6">
                  <c:v>49</c:v>
                </c:pt>
                <c:pt idx="7">
                  <c:v>58</c:v>
                </c:pt>
                <c:pt idx="8">
                  <c:v>66</c:v>
                </c:pt>
                <c:pt idx="9">
                  <c:v>74</c:v>
                </c:pt>
                <c:pt idx="10">
                  <c:v>82</c:v>
                </c:pt>
                <c:pt idx="11">
                  <c:v>90</c:v>
                </c:pt>
                <c:pt idx="12">
                  <c:v>99</c:v>
                </c:pt>
                <c:pt idx="13">
                  <c:v>107</c:v>
                </c:pt>
                <c:pt idx="14">
                  <c:v>115</c:v>
                </c:pt>
                <c:pt idx="15">
                  <c:v>123</c:v>
                </c:pt>
                <c:pt idx="16">
                  <c:v>132</c:v>
                </c:pt>
                <c:pt idx="17">
                  <c:v>140</c:v>
                </c:pt>
                <c:pt idx="18">
                  <c:v>148</c:v>
                </c:pt>
                <c:pt idx="19">
                  <c:v>156</c:v>
                </c:pt>
                <c:pt idx="20">
                  <c:v>165</c:v>
                </c:pt>
                <c:pt idx="21">
                  <c:v>173</c:v>
                </c:pt>
                <c:pt idx="22">
                  <c:v>181</c:v>
                </c:pt>
                <c:pt idx="23">
                  <c:v>189</c:v>
                </c:pt>
                <c:pt idx="24">
                  <c:v>197</c:v>
                </c:pt>
                <c:pt idx="25">
                  <c:v>206</c:v>
                </c:pt>
                <c:pt idx="26">
                  <c:v>214</c:v>
                </c:pt>
                <c:pt idx="27">
                  <c:v>222</c:v>
                </c:pt>
                <c:pt idx="28">
                  <c:v>230</c:v>
                </c:pt>
                <c:pt idx="29">
                  <c:v>239</c:v>
                </c:pt>
                <c:pt idx="30">
                  <c:v>247</c:v>
                </c:pt>
                <c:pt idx="31">
                  <c:v>255</c:v>
                </c:pt>
              </c:numCache>
            </c:numRef>
          </c:xVal>
          <c:yVal>
            <c:numRef>
              <c:f>('Gamma 2.0'!$D$21:$D$36,'Gamma 2.0'!$H$21:$H$36)</c:f>
              <c:numCache>
                <c:formatCode>General</c:formatCode>
                <c:ptCount val="3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3B1-443B-AABE-8C2D5F0699E2}"/>
            </c:ext>
          </c:extLst>
        </c:ser>
        <c:ser>
          <c:idx val="2"/>
          <c:order val="2"/>
          <c:tx>
            <c:v>2.09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('Gamma 2.0'!$A$21:$A$36,'Gamma 2.0'!$E$21:$E$36)</c:f>
              <c:numCache>
                <c:formatCode>General</c:formatCode>
                <c:ptCount val="32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25</c:v>
                </c:pt>
                <c:pt idx="4">
                  <c:v>33</c:v>
                </c:pt>
                <c:pt idx="5">
                  <c:v>41</c:v>
                </c:pt>
                <c:pt idx="6">
                  <c:v>49</c:v>
                </c:pt>
                <c:pt idx="7">
                  <c:v>58</c:v>
                </c:pt>
                <c:pt idx="8">
                  <c:v>66</c:v>
                </c:pt>
                <c:pt idx="9">
                  <c:v>74</c:v>
                </c:pt>
                <c:pt idx="10">
                  <c:v>82</c:v>
                </c:pt>
                <c:pt idx="11">
                  <c:v>90</c:v>
                </c:pt>
                <c:pt idx="12">
                  <c:v>99</c:v>
                </c:pt>
                <c:pt idx="13">
                  <c:v>107</c:v>
                </c:pt>
                <c:pt idx="14">
                  <c:v>115</c:v>
                </c:pt>
                <c:pt idx="15">
                  <c:v>123</c:v>
                </c:pt>
                <c:pt idx="16">
                  <c:v>132</c:v>
                </c:pt>
                <c:pt idx="17">
                  <c:v>140</c:v>
                </c:pt>
                <c:pt idx="18">
                  <c:v>148</c:v>
                </c:pt>
                <c:pt idx="19">
                  <c:v>156</c:v>
                </c:pt>
                <c:pt idx="20">
                  <c:v>165</c:v>
                </c:pt>
                <c:pt idx="21">
                  <c:v>173</c:v>
                </c:pt>
                <c:pt idx="22">
                  <c:v>181</c:v>
                </c:pt>
                <c:pt idx="23">
                  <c:v>189</c:v>
                </c:pt>
                <c:pt idx="24">
                  <c:v>197</c:v>
                </c:pt>
                <c:pt idx="25">
                  <c:v>206</c:v>
                </c:pt>
                <c:pt idx="26">
                  <c:v>214</c:v>
                </c:pt>
                <c:pt idx="27">
                  <c:v>222</c:v>
                </c:pt>
                <c:pt idx="28">
                  <c:v>230</c:v>
                </c:pt>
                <c:pt idx="29">
                  <c:v>239</c:v>
                </c:pt>
                <c:pt idx="30">
                  <c:v>247</c:v>
                </c:pt>
                <c:pt idx="31">
                  <c:v>255</c:v>
                </c:pt>
              </c:numCache>
            </c:numRef>
          </c:xVal>
          <c:yVal>
            <c:numRef>
              <c:f>('Gamma 2.0'!$N$40:$N$55,'Gamma 2.0'!$R$40:$R$55)</c:f>
              <c:numCache>
                <c:formatCode>General</c:formatCode>
                <c:ptCount val="3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13-4E3E-8E33-7E443A923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764591"/>
        <c:axId val="770763343"/>
      </c:scatterChart>
      <c:valAx>
        <c:axId val="770764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70763343"/>
        <c:crosses val="autoZero"/>
        <c:crossBetween val="midCat"/>
      </c:valAx>
      <c:valAx>
        <c:axId val="77076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70764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6"/>
          <c:order val="0"/>
          <c:tx>
            <c:v>Reference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('Gamma 2.0'!$L$106,'Gamma 2.0'!$L$107,'Gamma 2.0'!$L$108,'Gamma 2.0'!$L$106)</c:f>
              <c:numCache>
                <c:formatCode>General</c:formatCode>
                <c:ptCount val="4"/>
                <c:pt idx="0">
                  <c:v>0.64</c:v>
                </c:pt>
                <c:pt idx="1">
                  <c:v>0.3</c:v>
                </c:pt>
                <c:pt idx="2">
                  <c:v>0.15</c:v>
                </c:pt>
                <c:pt idx="3">
                  <c:v>0.64</c:v>
                </c:pt>
              </c:numCache>
            </c:numRef>
          </c:xVal>
          <c:yVal>
            <c:numRef>
              <c:f>('Gamma 2.0'!$M$106,'Gamma 2.0'!$M$107,'Gamma 2.0'!$M$108,'Gamma 2.0'!$M$106)</c:f>
              <c:numCache>
                <c:formatCode>General</c:formatCode>
                <c:ptCount val="4"/>
                <c:pt idx="0">
                  <c:v>0.33</c:v>
                </c:pt>
                <c:pt idx="1">
                  <c:v>0.6</c:v>
                </c:pt>
                <c:pt idx="2">
                  <c:v>0.06</c:v>
                </c:pt>
                <c:pt idx="3">
                  <c:v>0.33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165A-4502-BCD3-716FDDD29957}"/>
            </c:ext>
          </c:extLst>
        </c:ser>
        <c:ser>
          <c:idx val="2"/>
          <c:order val="1"/>
          <c:tx>
            <c:v>Sample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('Gamma 2.0'!$P$106,'Gamma 2.0'!$P$107,'Gamma 2.0'!$P$108,'Gamma 2.0'!$P$106)</c:f>
            </c:numRef>
          </c:xVal>
          <c:yVal>
            <c:numRef>
              <c:f>('Gamma 2.0'!$Q$106,'Gamma 2.0'!$Q$107,'Gamma 2.0'!$Q$108,'Gamma 2.0'!$Q$106)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5A-4502-BCD3-716FDDD29957}"/>
            </c:ext>
          </c:extLst>
        </c:ser>
        <c:ser>
          <c:idx val="0"/>
          <c:order val="2"/>
          <c:tx>
            <c:v>D65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65A-4502-BCD3-716FDDD29957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'Gamma 2.0'!$L$109</c:f>
              <c:numCache>
                <c:formatCode>General</c:formatCode>
                <c:ptCount val="1"/>
                <c:pt idx="0">
                  <c:v>0.313</c:v>
                </c:pt>
              </c:numCache>
            </c:numRef>
          </c:xVal>
          <c:yVal>
            <c:numRef>
              <c:f>'Gamma 2.0'!$M$109</c:f>
              <c:numCache>
                <c:formatCode>General</c:formatCode>
                <c:ptCount val="1"/>
                <c:pt idx="0">
                  <c:v>0.32900000000000001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65A-4502-BCD3-716FDDD29957}"/>
            </c:ext>
          </c:extLst>
        </c:ser>
        <c:ser>
          <c:idx val="1"/>
          <c:order val="3"/>
          <c:tx>
            <c:v>mWhite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'Gamma 2.0'!$P$109</c:f>
            </c:numRef>
          </c:xVal>
          <c:yVal>
            <c:numRef>
              <c:f>'Gamma 2.0'!$Q$109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65A-4502-BCD3-716FDDD29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764591"/>
        <c:axId val="770763343"/>
        <c:extLst/>
      </c:scatterChart>
      <c:valAx>
        <c:axId val="770764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Cx</a:t>
                </a:r>
                <a:endParaRPr lang="zh-TW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70763343"/>
        <c:crosses val="autoZero"/>
        <c:crossBetween val="midCat"/>
      </c:valAx>
      <c:valAx>
        <c:axId val="77076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Cy</a:t>
                </a:r>
                <a:endParaRPr lang="zh-TW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70764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2"/>
          <c:order val="0"/>
          <c:tx>
            <c:v>R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('Gamma 2.2'!$A$59:$A$74,'Gamma 2.2'!$E$59:$E$74)</c:f>
              <c:numCache>
                <c:formatCode>General</c:formatCode>
                <c:ptCount val="32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25</c:v>
                </c:pt>
                <c:pt idx="4">
                  <c:v>33</c:v>
                </c:pt>
                <c:pt idx="5">
                  <c:v>41</c:v>
                </c:pt>
                <c:pt idx="6">
                  <c:v>49</c:v>
                </c:pt>
                <c:pt idx="7">
                  <c:v>58</c:v>
                </c:pt>
                <c:pt idx="8">
                  <c:v>66</c:v>
                </c:pt>
                <c:pt idx="9">
                  <c:v>74</c:v>
                </c:pt>
                <c:pt idx="10">
                  <c:v>82</c:v>
                </c:pt>
                <c:pt idx="11">
                  <c:v>90</c:v>
                </c:pt>
                <c:pt idx="12">
                  <c:v>99</c:v>
                </c:pt>
                <c:pt idx="13">
                  <c:v>107</c:v>
                </c:pt>
                <c:pt idx="14">
                  <c:v>115</c:v>
                </c:pt>
                <c:pt idx="15">
                  <c:v>123</c:v>
                </c:pt>
                <c:pt idx="16">
                  <c:v>132</c:v>
                </c:pt>
                <c:pt idx="17">
                  <c:v>140</c:v>
                </c:pt>
                <c:pt idx="18">
                  <c:v>148</c:v>
                </c:pt>
                <c:pt idx="19">
                  <c:v>156</c:v>
                </c:pt>
                <c:pt idx="20">
                  <c:v>165</c:v>
                </c:pt>
                <c:pt idx="21">
                  <c:v>173</c:v>
                </c:pt>
                <c:pt idx="22">
                  <c:v>181</c:v>
                </c:pt>
                <c:pt idx="23">
                  <c:v>189</c:v>
                </c:pt>
                <c:pt idx="24">
                  <c:v>197</c:v>
                </c:pt>
                <c:pt idx="25">
                  <c:v>206</c:v>
                </c:pt>
                <c:pt idx="26">
                  <c:v>214</c:v>
                </c:pt>
                <c:pt idx="27">
                  <c:v>222</c:v>
                </c:pt>
                <c:pt idx="28">
                  <c:v>230</c:v>
                </c:pt>
                <c:pt idx="29">
                  <c:v>239</c:v>
                </c:pt>
                <c:pt idx="30">
                  <c:v>247</c:v>
                </c:pt>
                <c:pt idx="31">
                  <c:v>255</c:v>
                </c:pt>
              </c:numCache>
            </c:numRef>
          </c:xVal>
          <c:yVal>
            <c:numRef>
              <c:f>('Gamma 2.2'!$D$59:$D$74,'Gamma 2.2'!$H$59:$H$74)</c:f>
              <c:numCache>
                <c:formatCode>General</c:formatCode>
                <c:ptCount val="3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45-4E8F-B42C-51345462E2C1}"/>
            </c:ext>
          </c:extLst>
        </c:ser>
        <c:ser>
          <c:idx val="0"/>
          <c:order val="1"/>
          <c:tx>
            <c:v>G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('Gamma 2.2'!$A$78:$A$93,'Gamma 2.2'!$E$78:$E$93)</c:f>
              <c:numCache>
                <c:formatCode>General</c:formatCode>
                <c:ptCount val="32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25</c:v>
                </c:pt>
                <c:pt idx="4">
                  <c:v>33</c:v>
                </c:pt>
                <c:pt idx="5">
                  <c:v>41</c:v>
                </c:pt>
                <c:pt idx="6">
                  <c:v>49</c:v>
                </c:pt>
                <c:pt idx="7">
                  <c:v>58</c:v>
                </c:pt>
                <c:pt idx="8">
                  <c:v>66</c:v>
                </c:pt>
                <c:pt idx="9">
                  <c:v>74</c:v>
                </c:pt>
                <c:pt idx="10">
                  <c:v>82</c:v>
                </c:pt>
                <c:pt idx="11">
                  <c:v>90</c:v>
                </c:pt>
                <c:pt idx="12">
                  <c:v>99</c:v>
                </c:pt>
                <c:pt idx="13">
                  <c:v>107</c:v>
                </c:pt>
                <c:pt idx="14">
                  <c:v>115</c:v>
                </c:pt>
                <c:pt idx="15">
                  <c:v>123</c:v>
                </c:pt>
                <c:pt idx="16">
                  <c:v>132</c:v>
                </c:pt>
                <c:pt idx="17">
                  <c:v>140</c:v>
                </c:pt>
                <c:pt idx="18">
                  <c:v>148</c:v>
                </c:pt>
                <c:pt idx="19">
                  <c:v>156</c:v>
                </c:pt>
                <c:pt idx="20">
                  <c:v>165</c:v>
                </c:pt>
                <c:pt idx="21">
                  <c:v>173</c:v>
                </c:pt>
                <c:pt idx="22">
                  <c:v>181</c:v>
                </c:pt>
                <c:pt idx="23">
                  <c:v>189</c:v>
                </c:pt>
                <c:pt idx="24">
                  <c:v>197</c:v>
                </c:pt>
                <c:pt idx="25">
                  <c:v>206</c:v>
                </c:pt>
                <c:pt idx="26">
                  <c:v>214</c:v>
                </c:pt>
                <c:pt idx="27">
                  <c:v>222</c:v>
                </c:pt>
                <c:pt idx="28">
                  <c:v>230</c:v>
                </c:pt>
                <c:pt idx="29">
                  <c:v>239</c:v>
                </c:pt>
                <c:pt idx="30">
                  <c:v>247</c:v>
                </c:pt>
                <c:pt idx="31">
                  <c:v>255</c:v>
                </c:pt>
              </c:numCache>
            </c:numRef>
          </c:xVal>
          <c:yVal>
            <c:numRef>
              <c:f>('Gamma 2.2'!$D$78:$D$93,'Gamma 2.2'!$H$78:$H$93)</c:f>
              <c:numCache>
                <c:formatCode>General</c:formatCode>
                <c:ptCount val="3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545-4E8F-B42C-51345462E2C1}"/>
            </c:ext>
          </c:extLst>
        </c:ser>
        <c:ser>
          <c:idx val="1"/>
          <c:order val="2"/>
          <c:tx>
            <c:v>B</c:v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('Gamma 2.2'!$A$97:$A$112,'Gamma 2.2'!$E$97:$E$112)</c:f>
              <c:numCache>
                <c:formatCode>General</c:formatCode>
                <c:ptCount val="32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25</c:v>
                </c:pt>
                <c:pt idx="4">
                  <c:v>33</c:v>
                </c:pt>
                <c:pt idx="5">
                  <c:v>41</c:v>
                </c:pt>
                <c:pt idx="6">
                  <c:v>49</c:v>
                </c:pt>
                <c:pt idx="7">
                  <c:v>58</c:v>
                </c:pt>
                <c:pt idx="8">
                  <c:v>66</c:v>
                </c:pt>
                <c:pt idx="9">
                  <c:v>74</c:v>
                </c:pt>
                <c:pt idx="10">
                  <c:v>82</c:v>
                </c:pt>
                <c:pt idx="11">
                  <c:v>90</c:v>
                </c:pt>
                <c:pt idx="12">
                  <c:v>99</c:v>
                </c:pt>
                <c:pt idx="13">
                  <c:v>107</c:v>
                </c:pt>
                <c:pt idx="14">
                  <c:v>115</c:v>
                </c:pt>
                <c:pt idx="15">
                  <c:v>123</c:v>
                </c:pt>
                <c:pt idx="16">
                  <c:v>132</c:v>
                </c:pt>
                <c:pt idx="17">
                  <c:v>140</c:v>
                </c:pt>
                <c:pt idx="18">
                  <c:v>148</c:v>
                </c:pt>
                <c:pt idx="19">
                  <c:v>156</c:v>
                </c:pt>
                <c:pt idx="20">
                  <c:v>165</c:v>
                </c:pt>
                <c:pt idx="21">
                  <c:v>173</c:v>
                </c:pt>
                <c:pt idx="22">
                  <c:v>181</c:v>
                </c:pt>
                <c:pt idx="23">
                  <c:v>189</c:v>
                </c:pt>
                <c:pt idx="24">
                  <c:v>197</c:v>
                </c:pt>
                <c:pt idx="25">
                  <c:v>206</c:v>
                </c:pt>
                <c:pt idx="26">
                  <c:v>214</c:v>
                </c:pt>
                <c:pt idx="27">
                  <c:v>222</c:v>
                </c:pt>
                <c:pt idx="28">
                  <c:v>230</c:v>
                </c:pt>
                <c:pt idx="29">
                  <c:v>239</c:v>
                </c:pt>
                <c:pt idx="30">
                  <c:v>247</c:v>
                </c:pt>
                <c:pt idx="31">
                  <c:v>255</c:v>
                </c:pt>
              </c:numCache>
            </c:numRef>
          </c:xVal>
          <c:yVal>
            <c:numRef>
              <c:f>('Gamma 2.2'!$D$97:$D$112,'Gamma 2.2'!$H$97:$H$112)</c:f>
              <c:numCache>
                <c:formatCode>General</c:formatCode>
                <c:ptCount val="3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545-4E8F-B42C-51345462E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764591"/>
        <c:axId val="770763343"/>
      </c:scatterChart>
      <c:valAx>
        <c:axId val="770764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70763343"/>
        <c:crosses val="autoZero"/>
        <c:crossBetween val="midCat"/>
      </c:valAx>
      <c:valAx>
        <c:axId val="77076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70764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('Gamma 2.2'!$A$40:$A$55,'Gamma 2.2'!$E$40:$E$55)</c:f>
              <c:numCache>
                <c:formatCode>General</c:formatCode>
                <c:ptCount val="32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25</c:v>
                </c:pt>
                <c:pt idx="4">
                  <c:v>33</c:v>
                </c:pt>
                <c:pt idx="5">
                  <c:v>41</c:v>
                </c:pt>
                <c:pt idx="6">
                  <c:v>49</c:v>
                </c:pt>
                <c:pt idx="7">
                  <c:v>58</c:v>
                </c:pt>
                <c:pt idx="8">
                  <c:v>66</c:v>
                </c:pt>
                <c:pt idx="9">
                  <c:v>74</c:v>
                </c:pt>
                <c:pt idx="10">
                  <c:v>82</c:v>
                </c:pt>
                <c:pt idx="11">
                  <c:v>90</c:v>
                </c:pt>
                <c:pt idx="12">
                  <c:v>99</c:v>
                </c:pt>
                <c:pt idx="13">
                  <c:v>107</c:v>
                </c:pt>
                <c:pt idx="14">
                  <c:v>115</c:v>
                </c:pt>
                <c:pt idx="15">
                  <c:v>123</c:v>
                </c:pt>
                <c:pt idx="16">
                  <c:v>132</c:v>
                </c:pt>
                <c:pt idx="17">
                  <c:v>140</c:v>
                </c:pt>
                <c:pt idx="18">
                  <c:v>148</c:v>
                </c:pt>
                <c:pt idx="19">
                  <c:v>156</c:v>
                </c:pt>
                <c:pt idx="20">
                  <c:v>165</c:v>
                </c:pt>
                <c:pt idx="21">
                  <c:v>173</c:v>
                </c:pt>
                <c:pt idx="22">
                  <c:v>181</c:v>
                </c:pt>
                <c:pt idx="23">
                  <c:v>189</c:v>
                </c:pt>
                <c:pt idx="24">
                  <c:v>197</c:v>
                </c:pt>
                <c:pt idx="25">
                  <c:v>206</c:v>
                </c:pt>
                <c:pt idx="26">
                  <c:v>214</c:v>
                </c:pt>
                <c:pt idx="27">
                  <c:v>222</c:v>
                </c:pt>
                <c:pt idx="28">
                  <c:v>230</c:v>
                </c:pt>
                <c:pt idx="29">
                  <c:v>239</c:v>
                </c:pt>
                <c:pt idx="30">
                  <c:v>247</c:v>
                </c:pt>
                <c:pt idx="31">
                  <c:v>255</c:v>
                </c:pt>
              </c:numCache>
            </c:numRef>
          </c:xVal>
          <c:yVal>
            <c:numRef>
              <c:f>('Gamma 2.2'!$D$40:$D$55,'Gamma 2.2'!$H$40:$H$55)</c:f>
              <c:numCache>
                <c:formatCode>General</c:formatCode>
                <c:ptCount val="3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5D-4FE2-8678-F2C4FF94D370}"/>
            </c:ext>
          </c:extLst>
        </c:ser>
        <c:ser>
          <c:idx val="1"/>
          <c:order val="1"/>
          <c:tx>
            <c:v>2.2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('Gamma 2.2'!$A$21:$A$36,'Gamma 2.2'!$E$21:$E$36)</c:f>
              <c:numCache>
                <c:formatCode>General</c:formatCode>
                <c:ptCount val="32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25</c:v>
                </c:pt>
                <c:pt idx="4">
                  <c:v>33</c:v>
                </c:pt>
                <c:pt idx="5">
                  <c:v>41</c:v>
                </c:pt>
                <c:pt idx="6">
                  <c:v>49</c:v>
                </c:pt>
                <c:pt idx="7">
                  <c:v>58</c:v>
                </c:pt>
                <c:pt idx="8">
                  <c:v>66</c:v>
                </c:pt>
                <c:pt idx="9">
                  <c:v>74</c:v>
                </c:pt>
                <c:pt idx="10">
                  <c:v>82</c:v>
                </c:pt>
                <c:pt idx="11">
                  <c:v>90</c:v>
                </c:pt>
                <c:pt idx="12">
                  <c:v>99</c:v>
                </c:pt>
                <c:pt idx="13">
                  <c:v>107</c:v>
                </c:pt>
                <c:pt idx="14">
                  <c:v>115</c:v>
                </c:pt>
                <c:pt idx="15">
                  <c:v>123</c:v>
                </c:pt>
                <c:pt idx="16">
                  <c:v>132</c:v>
                </c:pt>
                <c:pt idx="17">
                  <c:v>140</c:v>
                </c:pt>
                <c:pt idx="18">
                  <c:v>148</c:v>
                </c:pt>
                <c:pt idx="19">
                  <c:v>156</c:v>
                </c:pt>
                <c:pt idx="20">
                  <c:v>165</c:v>
                </c:pt>
                <c:pt idx="21">
                  <c:v>173</c:v>
                </c:pt>
                <c:pt idx="22">
                  <c:v>181</c:v>
                </c:pt>
                <c:pt idx="23">
                  <c:v>189</c:v>
                </c:pt>
                <c:pt idx="24">
                  <c:v>197</c:v>
                </c:pt>
                <c:pt idx="25">
                  <c:v>206</c:v>
                </c:pt>
                <c:pt idx="26">
                  <c:v>214</c:v>
                </c:pt>
                <c:pt idx="27">
                  <c:v>222</c:v>
                </c:pt>
                <c:pt idx="28">
                  <c:v>230</c:v>
                </c:pt>
                <c:pt idx="29">
                  <c:v>239</c:v>
                </c:pt>
                <c:pt idx="30">
                  <c:v>247</c:v>
                </c:pt>
                <c:pt idx="31">
                  <c:v>255</c:v>
                </c:pt>
              </c:numCache>
            </c:numRef>
          </c:xVal>
          <c:yVal>
            <c:numRef>
              <c:f>('Gamma 2.2'!$D$21:$D$36,'Gamma 2.2'!$H$21:$H$36)</c:f>
              <c:numCache>
                <c:formatCode>General</c:formatCode>
                <c:ptCount val="3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C5D-4FE2-8678-F2C4FF94D370}"/>
            </c:ext>
          </c:extLst>
        </c:ser>
        <c:ser>
          <c:idx val="2"/>
          <c:order val="2"/>
          <c:tx>
            <c:v>2.29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('Gamma 2.2'!$A$21:$A$36,'Gamma 2.2'!$E$21:$E$36)</c:f>
              <c:numCache>
                <c:formatCode>General</c:formatCode>
                <c:ptCount val="32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25</c:v>
                </c:pt>
                <c:pt idx="4">
                  <c:v>33</c:v>
                </c:pt>
                <c:pt idx="5">
                  <c:v>41</c:v>
                </c:pt>
                <c:pt idx="6">
                  <c:v>49</c:v>
                </c:pt>
                <c:pt idx="7">
                  <c:v>58</c:v>
                </c:pt>
                <c:pt idx="8">
                  <c:v>66</c:v>
                </c:pt>
                <c:pt idx="9">
                  <c:v>74</c:v>
                </c:pt>
                <c:pt idx="10">
                  <c:v>82</c:v>
                </c:pt>
                <c:pt idx="11">
                  <c:v>90</c:v>
                </c:pt>
                <c:pt idx="12">
                  <c:v>99</c:v>
                </c:pt>
                <c:pt idx="13">
                  <c:v>107</c:v>
                </c:pt>
                <c:pt idx="14">
                  <c:v>115</c:v>
                </c:pt>
                <c:pt idx="15">
                  <c:v>123</c:v>
                </c:pt>
                <c:pt idx="16">
                  <c:v>132</c:v>
                </c:pt>
                <c:pt idx="17">
                  <c:v>140</c:v>
                </c:pt>
                <c:pt idx="18">
                  <c:v>148</c:v>
                </c:pt>
                <c:pt idx="19">
                  <c:v>156</c:v>
                </c:pt>
                <c:pt idx="20">
                  <c:v>165</c:v>
                </c:pt>
                <c:pt idx="21">
                  <c:v>173</c:v>
                </c:pt>
                <c:pt idx="22">
                  <c:v>181</c:v>
                </c:pt>
                <c:pt idx="23">
                  <c:v>189</c:v>
                </c:pt>
                <c:pt idx="24">
                  <c:v>197</c:v>
                </c:pt>
                <c:pt idx="25">
                  <c:v>206</c:v>
                </c:pt>
                <c:pt idx="26">
                  <c:v>214</c:v>
                </c:pt>
                <c:pt idx="27">
                  <c:v>222</c:v>
                </c:pt>
                <c:pt idx="28">
                  <c:v>230</c:v>
                </c:pt>
                <c:pt idx="29">
                  <c:v>239</c:v>
                </c:pt>
                <c:pt idx="30">
                  <c:v>247</c:v>
                </c:pt>
                <c:pt idx="31">
                  <c:v>255</c:v>
                </c:pt>
              </c:numCache>
            </c:numRef>
          </c:xVal>
          <c:yVal>
            <c:numRef>
              <c:f>('Gamma 2.2'!$N$40:$N$55,'Gamma 2.2'!$R$40:$R$55)</c:f>
              <c:numCache>
                <c:formatCode>General</c:formatCode>
                <c:ptCount val="3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89-4E62-9635-CA45F8352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764591"/>
        <c:axId val="770763343"/>
      </c:scatterChart>
      <c:valAx>
        <c:axId val="770764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70763343"/>
        <c:crosses val="autoZero"/>
        <c:crossBetween val="midCat"/>
      </c:valAx>
      <c:valAx>
        <c:axId val="77076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70764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6"/>
          <c:order val="0"/>
          <c:tx>
            <c:v>Reference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('Gamma 2.2'!$L$106,'Gamma 2.2'!$L$107,'Gamma 2.2'!$L$108,'Gamma 2.2'!$L$106)</c:f>
              <c:numCache>
                <c:formatCode>General</c:formatCode>
                <c:ptCount val="4"/>
                <c:pt idx="0">
                  <c:v>0.64</c:v>
                </c:pt>
                <c:pt idx="1">
                  <c:v>0.3</c:v>
                </c:pt>
                <c:pt idx="2">
                  <c:v>0.15</c:v>
                </c:pt>
                <c:pt idx="3">
                  <c:v>0.64</c:v>
                </c:pt>
              </c:numCache>
            </c:numRef>
          </c:xVal>
          <c:yVal>
            <c:numRef>
              <c:f>('Gamma 2.2'!$M$106,'Gamma 2.2'!$M$107,'Gamma 2.2'!$M$108,'Gamma 2.2'!$M$106)</c:f>
              <c:numCache>
                <c:formatCode>General</c:formatCode>
                <c:ptCount val="4"/>
                <c:pt idx="0">
                  <c:v>0.33</c:v>
                </c:pt>
                <c:pt idx="1">
                  <c:v>0.6</c:v>
                </c:pt>
                <c:pt idx="2">
                  <c:v>0.06</c:v>
                </c:pt>
                <c:pt idx="3">
                  <c:v>0.33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D982-4153-AB57-4FAD11B8E3DD}"/>
            </c:ext>
          </c:extLst>
        </c:ser>
        <c:ser>
          <c:idx val="2"/>
          <c:order val="1"/>
          <c:tx>
            <c:v>Sample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('Gamma 2.2'!$P$106,'Gamma 2.2'!$P$107,'Gamma 2.2'!$P$108,'Gamma 2.2'!$P$106)</c:f>
            </c:numRef>
          </c:xVal>
          <c:yVal>
            <c:numRef>
              <c:f>('Gamma 2.2'!$Q$106,'Gamma 2.2'!$Q$107,'Gamma 2.2'!$Q$108,'Gamma 2.2'!$Q$106)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82-4153-AB57-4FAD11B8E3DD}"/>
            </c:ext>
          </c:extLst>
        </c:ser>
        <c:ser>
          <c:idx val="0"/>
          <c:order val="2"/>
          <c:tx>
            <c:v>D65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982-4153-AB57-4FAD11B8E3DD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'Gamma 2.2'!$L$109</c:f>
              <c:numCache>
                <c:formatCode>General</c:formatCode>
                <c:ptCount val="1"/>
                <c:pt idx="0">
                  <c:v>0.313</c:v>
                </c:pt>
              </c:numCache>
            </c:numRef>
          </c:xVal>
          <c:yVal>
            <c:numRef>
              <c:f>'Gamma 2.2'!$M$109</c:f>
              <c:numCache>
                <c:formatCode>General</c:formatCode>
                <c:ptCount val="1"/>
                <c:pt idx="0">
                  <c:v>0.32900000000000001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982-4153-AB57-4FAD11B8E3DD}"/>
            </c:ext>
          </c:extLst>
        </c:ser>
        <c:ser>
          <c:idx val="1"/>
          <c:order val="3"/>
          <c:tx>
            <c:v>mWhite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'Gamma 2.2'!$P$109</c:f>
            </c:numRef>
          </c:xVal>
          <c:yVal>
            <c:numRef>
              <c:f>'Gamma 2.2'!$Q$109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982-4153-AB57-4FAD11B8E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764591"/>
        <c:axId val="770763343"/>
        <c:extLst/>
      </c:scatterChart>
      <c:valAx>
        <c:axId val="770764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Cx</a:t>
                </a:r>
                <a:endParaRPr lang="zh-TW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70763343"/>
        <c:crosses val="autoZero"/>
        <c:crossBetween val="midCat"/>
      </c:valAx>
      <c:valAx>
        <c:axId val="77076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Cy</a:t>
                </a:r>
                <a:endParaRPr lang="zh-TW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70764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2"/>
          <c:order val="0"/>
          <c:tx>
            <c:v>R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('Gamma 2.4'!$A$59:$A$74,'Gamma 2.4'!$E$59:$E$74)</c:f>
              <c:numCache>
                <c:formatCode>General</c:formatCode>
                <c:ptCount val="32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25</c:v>
                </c:pt>
                <c:pt idx="4">
                  <c:v>33</c:v>
                </c:pt>
                <c:pt idx="5">
                  <c:v>41</c:v>
                </c:pt>
                <c:pt idx="6">
                  <c:v>49</c:v>
                </c:pt>
                <c:pt idx="7">
                  <c:v>58</c:v>
                </c:pt>
                <c:pt idx="8">
                  <c:v>66</c:v>
                </c:pt>
                <c:pt idx="9">
                  <c:v>74</c:v>
                </c:pt>
                <c:pt idx="10">
                  <c:v>82</c:v>
                </c:pt>
                <c:pt idx="11">
                  <c:v>90</c:v>
                </c:pt>
                <c:pt idx="12">
                  <c:v>99</c:v>
                </c:pt>
                <c:pt idx="13">
                  <c:v>107</c:v>
                </c:pt>
                <c:pt idx="14">
                  <c:v>115</c:v>
                </c:pt>
                <c:pt idx="15">
                  <c:v>123</c:v>
                </c:pt>
                <c:pt idx="16">
                  <c:v>132</c:v>
                </c:pt>
                <c:pt idx="17">
                  <c:v>140</c:v>
                </c:pt>
                <c:pt idx="18">
                  <c:v>148</c:v>
                </c:pt>
                <c:pt idx="19">
                  <c:v>156</c:v>
                </c:pt>
                <c:pt idx="20">
                  <c:v>165</c:v>
                </c:pt>
                <c:pt idx="21">
                  <c:v>173</c:v>
                </c:pt>
                <c:pt idx="22">
                  <c:v>181</c:v>
                </c:pt>
                <c:pt idx="23">
                  <c:v>189</c:v>
                </c:pt>
                <c:pt idx="24">
                  <c:v>197</c:v>
                </c:pt>
                <c:pt idx="25">
                  <c:v>206</c:v>
                </c:pt>
                <c:pt idx="26">
                  <c:v>214</c:v>
                </c:pt>
                <c:pt idx="27">
                  <c:v>222</c:v>
                </c:pt>
                <c:pt idx="28">
                  <c:v>230</c:v>
                </c:pt>
                <c:pt idx="29">
                  <c:v>239</c:v>
                </c:pt>
                <c:pt idx="30">
                  <c:v>247</c:v>
                </c:pt>
                <c:pt idx="31">
                  <c:v>255</c:v>
                </c:pt>
              </c:numCache>
            </c:numRef>
          </c:xVal>
          <c:yVal>
            <c:numRef>
              <c:f>('Gamma 2.4'!$D$59:$D$74,'Gamma 2.4'!$H$59:$H$74)</c:f>
              <c:numCache>
                <c:formatCode>General</c:formatCode>
                <c:ptCount val="3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1B-4C91-A4E6-98202FF20033}"/>
            </c:ext>
          </c:extLst>
        </c:ser>
        <c:ser>
          <c:idx val="0"/>
          <c:order val="1"/>
          <c:tx>
            <c:v>G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('Gamma 2.4'!$A$78:$A$93,'Gamma 2.4'!$E$78:$E$93)</c:f>
              <c:numCache>
                <c:formatCode>General</c:formatCode>
                <c:ptCount val="32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25</c:v>
                </c:pt>
                <c:pt idx="4">
                  <c:v>33</c:v>
                </c:pt>
                <c:pt idx="5">
                  <c:v>41</c:v>
                </c:pt>
                <c:pt idx="6">
                  <c:v>49</c:v>
                </c:pt>
                <c:pt idx="7">
                  <c:v>58</c:v>
                </c:pt>
                <c:pt idx="8">
                  <c:v>66</c:v>
                </c:pt>
                <c:pt idx="9">
                  <c:v>74</c:v>
                </c:pt>
                <c:pt idx="10">
                  <c:v>82</c:v>
                </c:pt>
                <c:pt idx="11">
                  <c:v>90</c:v>
                </c:pt>
                <c:pt idx="12">
                  <c:v>99</c:v>
                </c:pt>
                <c:pt idx="13">
                  <c:v>107</c:v>
                </c:pt>
                <c:pt idx="14">
                  <c:v>115</c:v>
                </c:pt>
                <c:pt idx="15">
                  <c:v>123</c:v>
                </c:pt>
                <c:pt idx="16">
                  <c:v>132</c:v>
                </c:pt>
                <c:pt idx="17">
                  <c:v>140</c:v>
                </c:pt>
                <c:pt idx="18">
                  <c:v>148</c:v>
                </c:pt>
                <c:pt idx="19">
                  <c:v>156</c:v>
                </c:pt>
                <c:pt idx="20">
                  <c:v>165</c:v>
                </c:pt>
                <c:pt idx="21">
                  <c:v>173</c:v>
                </c:pt>
                <c:pt idx="22">
                  <c:v>181</c:v>
                </c:pt>
                <c:pt idx="23">
                  <c:v>189</c:v>
                </c:pt>
                <c:pt idx="24">
                  <c:v>197</c:v>
                </c:pt>
                <c:pt idx="25">
                  <c:v>206</c:v>
                </c:pt>
                <c:pt idx="26">
                  <c:v>214</c:v>
                </c:pt>
                <c:pt idx="27">
                  <c:v>222</c:v>
                </c:pt>
                <c:pt idx="28">
                  <c:v>230</c:v>
                </c:pt>
                <c:pt idx="29">
                  <c:v>239</c:v>
                </c:pt>
                <c:pt idx="30">
                  <c:v>247</c:v>
                </c:pt>
                <c:pt idx="31">
                  <c:v>255</c:v>
                </c:pt>
              </c:numCache>
            </c:numRef>
          </c:xVal>
          <c:yVal>
            <c:numRef>
              <c:f>('Gamma 2.4'!$D$78:$D$93,'Gamma 2.4'!$H$78:$H$93)</c:f>
              <c:numCache>
                <c:formatCode>General</c:formatCode>
                <c:ptCount val="3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91B-4C91-A4E6-98202FF20033}"/>
            </c:ext>
          </c:extLst>
        </c:ser>
        <c:ser>
          <c:idx val="1"/>
          <c:order val="2"/>
          <c:tx>
            <c:v>B</c:v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('Gamma 2.4'!$A$97:$A$112,'Gamma 2.4'!$E$97:$E$112)</c:f>
              <c:numCache>
                <c:formatCode>General</c:formatCode>
                <c:ptCount val="32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25</c:v>
                </c:pt>
                <c:pt idx="4">
                  <c:v>33</c:v>
                </c:pt>
                <c:pt idx="5">
                  <c:v>41</c:v>
                </c:pt>
                <c:pt idx="6">
                  <c:v>49</c:v>
                </c:pt>
                <c:pt idx="7">
                  <c:v>58</c:v>
                </c:pt>
                <c:pt idx="8">
                  <c:v>66</c:v>
                </c:pt>
                <c:pt idx="9">
                  <c:v>74</c:v>
                </c:pt>
                <c:pt idx="10">
                  <c:v>82</c:v>
                </c:pt>
                <c:pt idx="11">
                  <c:v>90</c:v>
                </c:pt>
                <c:pt idx="12">
                  <c:v>99</c:v>
                </c:pt>
                <c:pt idx="13">
                  <c:v>107</c:v>
                </c:pt>
                <c:pt idx="14">
                  <c:v>115</c:v>
                </c:pt>
                <c:pt idx="15">
                  <c:v>123</c:v>
                </c:pt>
                <c:pt idx="16">
                  <c:v>132</c:v>
                </c:pt>
                <c:pt idx="17">
                  <c:v>140</c:v>
                </c:pt>
                <c:pt idx="18">
                  <c:v>148</c:v>
                </c:pt>
                <c:pt idx="19">
                  <c:v>156</c:v>
                </c:pt>
                <c:pt idx="20">
                  <c:v>165</c:v>
                </c:pt>
                <c:pt idx="21">
                  <c:v>173</c:v>
                </c:pt>
                <c:pt idx="22">
                  <c:v>181</c:v>
                </c:pt>
                <c:pt idx="23">
                  <c:v>189</c:v>
                </c:pt>
                <c:pt idx="24">
                  <c:v>197</c:v>
                </c:pt>
                <c:pt idx="25">
                  <c:v>206</c:v>
                </c:pt>
                <c:pt idx="26">
                  <c:v>214</c:v>
                </c:pt>
                <c:pt idx="27">
                  <c:v>222</c:v>
                </c:pt>
                <c:pt idx="28">
                  <c:v>230</c:v>
                </c:pt>
                <c:pt idx="29">
                  <c:v>239</c:v>
                </c:pt>
                <c:pt idx="30">
                  <c:v>247</c:v>
                </c:pt>
                <c:pt idx="31">
                  <c:v>255</c:v>
                </c:pt>
              </c:numCache>
            </c:numRef>
          </c:xVal>
          <c:yVal>
            <c:numRef>
              <c:f>('Gamma 2.4'!$D$97:$D$112,'Gamma 2.4'!$H$97:$H$112)</c:f>
              <c:numCache>
                <c:formatCode>General</c:formatCode>
                <c:ptCount val="3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91B-4C91-A4E6-98202FF20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764591"/>
        <c:axId val="770763343"/>
      </c:scatterChart>
      <c:valAx>
        <c:axId val="770764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70763343"/>
        <c:crosses val="autoZero"/>
        <c:crossBetween val="midCat"/>
      </c:valAx>
      <c:valAx>
        <c:axId val="77076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70764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('Gamma 2.4'!$A$40:$A$55,'Gamma 2.4'!$E$40:$E$55)</c:f>
              <c:numCache>
                <c:formatCode>General</c:formatCode>
                <c:ptCount val="32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25</c:v>
                </c:pt>
                <c:pt idx="4">
                  <c:v>33</c:v>
                </c:pt>
                <c:pt idx="5">
                  <c:v>41</c:v>
                </c:pt>
                <c:pt idx="6">
                  <c:v>49</c:v>
                </c:pt>
                <c:pt idx="7">
                  <c:v>58</c:v>
                </c:pt>
                <c:pt idx="8">
                  <c:v>66</c:v>
                </c:pt>
                <c:pt idx="9">
                  <c:v>74</c:v>
                </c:pt>
                <c:pt idx="10">
                  <c:v>82</c:v>
                </c:pt>
                <c:pt idx="11">
                  <c:v>90</c:v>
                </c:pt>
                <c:pt idx="12">
                  <c:v>99</c:v>
                </c:pt>
                <c:pt idx="13">
                  <c:v>107</c:v>
                </c:pt>
                <c:pt idx="14">
                  <c:v>115</c:v>
                </c:pt>
                <c:pt idx="15">
                  <c:v>123</c:v>
                </c:pt>
                <c:pt idx="16">
                  <c:v>132</c:v>
                </c:pt>
                <c:pt idx="17">
                  <c:v>140</c:v>
                </c:pt>
                <c:pt idx="18">
                  <c:v>148</c:v>
                </c:pt>
                <c:pt idx="19">
                  <c:v>156</c:v>
                </c:pt>
                <c:pt idx="20">
                  <c:v>165</c:v>
                </c:pt>
                <c:pt idx="21">
                  <c:v>173</c:v>
                </c:pt>
                <c:pt idx="22">
                  <c:v>181</c:v>
                </c:pt>
                <c:pt idx="23">
                  <c:v>189</c:v>
                </c:pt>
                <c:pt idx="24">
                  <c:v>197</c:v>
                </c:pt>
                <c:pt idx="25">
                  <c:v>206</c:v>
                </c:pt>
                <c:pt idx="26">
                  <c:v>214</c:v>
                </c:pt>
                <c:pt idx="27">
                  <c:v>222</c:v>
                </c:pt>
                <c:pt idx="28">
                  <c:v>230</c:v>
                </c:pt>
                <c:pt idx="29">
                  <c:v>239</c:v>
                </c:pt>
                <c:pt idx="30">
                  <c:v>247</c:v>
                </c:pt>
                <c:pt idx="31">
                  <c:v>255</c:v>
                </c:pt>
              </c:numCache>
            </c:numRef>
          </c:xVal>
          <c:yVal>
            <c:numRef>
              <c:f>('Gamma 2.4'!$D$40:$D$55,'Gamma 2.4'!$H$40:$H$55)</c:f>
              <c:numCache>
                <c:formatCode>General</c:formatCode>
                <c:ptCount val="3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A9-4BBB-847F-6CD7CE5FD892}"/>
            </c:ext>
          </c:extLst>
        </c:ser>
        <c:ser>
          <c:idx val="1"/>
          <c:order val="1"/>
          <c:tx>
            <c:v>2.2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('Gamma 2.4'!$A$21:$A$36,'Gamma 2.4'!$E$21:$E$36)</c:f>
              <c:numCache>
                <c:formatCode>General</c:formatCode>
                <c:ptCount val="32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25</c:v>
                </c:pt>
                <c:pt idx="4">
                  <c:v>33</c:v>
                </c:pt>
                <c:pt idx="5">
                  <c:v>41</c:v>
                </c:pt>
                <c:pt idx="6">
                  <c:v>49</c:v>
                </c:pt>
                <c:pt idx="7">
                  <c:v>58</c:v>
                </c:pt>
                <c:pt idx="8">
                  <c:v>66</c:v>
                </c:pt>
                <c:pt idx="9">
                  <c:v>74</c:v>
                </c:pt>
                <c:pt idx="10">
                  <c:v>82</c:v>
                </c:pt>
                <c:pt idx="11">
                  <c:v>90</c:v>
                </c:pt>
                <c:pt idx="12">
                  <c:v>99</c:v>
                </c:pt>
                <c:pt idx="13">
                  <c:v>107</c:v>
                </c:pt>
                <c:pt idx="14">
                  <c:v>115</c:v>
                </c:pt>
                <c:pt idx="15">
                  <c:v>123</c:v>
                </c:pt>
                <c:pt idx="16">
                  <c:v>132</c:v>
                </c:pt>
                <c:pt idx="17">
                  <c:v>140</c:v>
                </c:pt>
                <c:pt idx="18">
                  <c:v>148</c:v>
                </c:pt>
                <c:pt idx="19">
                  <c:v>156</c:v>
                </c:pt>
                <c:pt idx="20">
                  <c:v>165</c:v>
                </c:pt>
                <c:pt idx="21">
                  <c:v>173</c:v>
                </c:pt>
                <c:pt idx="22">
                  <c:v>181</c:v>
                </c:pt>
                <c:pt idx="23">
                  <c:v>189</c:v>
                </c:pt>
                <c:pt idx="24">
                  <c:v>197</c:v>
                </c:pt>
                <c:pt idx="25">
                  <c:v>206</c:v>
                </c:pt>
                <c:pt idx="26">
                  <c:v>214</c:v>
                </c:pt>
                <c:pt idx="27">
                  <c:v>222</c:v>
                </c:pt>
                <c:pt idx="28">
                  <c:v>230</c:v>
                </c:pt>
                <c:pt idx="29">
                  <c:v>239</c:v>
                </c:pt>
                <c:pt idx="30">
                  <c:v>247</c:v>
                </c:pt>
                <c:pt idx="31">
                  <c:v>255</c:v>
                </c:pt>
              </c:numCache>
            </c:numRef>
          </c:xVal>
          <c:yVal>
            <c:numRef>
              <c:f>('Gamma 2.4'!$D$21:$D$36,'Gamma 2.4'!$H$21:$H$36)</c:f>
              <c:numCache>
                <c:formatCode>General</c:formatCode>
                <c:ptCount val="3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3A9-4BBB-847F-6CD7CE5FD892}"/>
            </c:ext>
          </c:extLst>
        </c:ser>
        <c:ser>
          <c:idx val="2"/>
          <c:order val="2"/>
          <c:tx>
            <c:v>2.29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('Gamma 2.4'!$A$21:$A$36,'Gamma 2.4'!$E$21:$E$36)</c:f>
              <c:numCache>
                <c:formatCode>General</c:formatCode>
                <c:ptCount val="32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25</c:v>
                </c:pt>
                <c:pt idx="4">
                  <c:v>33</c:v>
                </c:pt>
                <c:pt idx="5">
                  <c:v>41</c:v>
                </c:pt>
                <c:pt idx="6">
                  <c:v>49</c:v>
                </c:pt>
                <c:pt idx="7">
                  <c:v>58</c:v>
                </c:pt>
                <c:pt idx="8">
                  <c:v>66</c:v>
                </c:pt>
                <c:pt idx="9">
                  <c:v>74</c:v>
                </c:pt>
                <c:pt idx="10">
                  <c:v>82</c:v>
                </c:pt>
                <c:pt idx="11">
                  <c:v>90</c:v>
                </c:pt>
                <c:pt idx="12">
                  <c:v>99</c:v>
                </c:pt>
                <c:pt idx="13">
                  <c:v>107</c:v>
                </c:pt>
                <c:pt idx="14">
                  <c:v>115</c:v>
                </c:pt>
                <c:pt idx="15">
                  <c:v>123</c:v>
                </c:pt>
                <c:pt idx="16">
                  <c:v>132</c:v>
                </c:pt>
                <c:pt idx="17">
                  <c:v>140</c:v>
                </c:pt>
                <c:pt idx="18">
                  <c:v>148</c:v>
                </c:pt>
                <c:pt idx="19">
                  <c:v>156</c:v>
                </c:pt>
                <c:pt idx="20">
                  <c:v>165</c:v>
                </c:pt>
                <c:pt idx="21">
                  <c:v>173</c:v>
                </c:pt>
                <c:pt idx="22">
                  <c:v>181</c:v>
                </c:pt>
                <c:pt idx="23">
                  <c:v>189</c:v>
                </c:pt>
                <c:pt idx="24">
                  <c:v>197</c:v>
                </c:pt>
                <c:pt idx="25">
                  <c:v>206</c:v>
                </c:pt>
                <c:pt idx="26">
                  <c:v>214</c:v>
                </c:pt>
                <c:pt idx="27">
                  <c:v>222</c:v>
                </c:pt>
                <c:pt idx="28">
                  <c:v>230</c:v>
                </c:pt>
                <c:pt idx="29">
                  <c:v>239</c:v>
                </c:pt>
                <c:pt idx="30">
                  <c:v>247</c:v>
                </c:pt>
                <c:pt idx="31">
                  <c:v>255</c:v>
                </c:pt>
              </c:numCache>
            </c:numRef>
          </c:xVal>
          <c:yVal>
            <c:numRef>
              <c:f>('Gamma 2.4'!$N$40:$N$55,'Gamma 2.4'!$R$40:$R$55)</c:f>
              <c:numCache>
                <c:formatCode>General</c:formatCode>
                <c:ptCount val="3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3A9-4BBB-847F-6CD7CE5FD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764591"/>
        <c:axId val="770763343"/>
      </c:scatterChart>
      <c:valAx>
        <c:axId val="770764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70763343"/>
        <c:crosses val="autoZero"/>
        <c:crossBetween val="midCat"/>
      </c:valAx>
      <c:valAx>
        <c:axId val="77076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70764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6"/>
          <c:order val="0"/>
          <c:tx>
            <c:v>Reference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('Gamma 2.4'!$L$106,'Gamma 2.4'!$L$107,'Gamma 2.4'!$L$108,'Gamma 2.4'!$L$106)</c:f>
              <c:numCache>
                <c:formatCode>General</c:formatCode>
                <c:ptCount val="4"/>
                <c:pt idx="0">
                  <c:v>0.64</c:v>
                </c:pt>
                <c:pt idx="1">
                  <c:v>0.3</c:v>
                </c:pt>
                <c:pt idx="2">
                  <c:v>0.15</c:v>
                </c:pt>
                <c:pt idx="3">
                  <c:v>0.64</c:v>
                </c:pt>
              </c:numCache>
            </c:numRef>
          </c:xVal>
          <c:yVal>
            <c:numRef>
              <c:f>('Gamma 2.4'!$M$106,'Gamma 2.4'!$M$107,'Gamma 2.4'!$M$108,'Gamma 2.4'!$M$106)</c:f>
              <c:numCache>
                <c:formatCode>General</c:formatCode>
                <c:ptCount val="4"/>
                <c:pt idx="0">
                  <c:v>0.33</c:v>
                </c:pt>
                <c:pt idx="1">
                  <c:v>0.6</c:v>
                </c:pt>
                <c:pt idx="2">
                  <c:v>0.06</c:v>
                </c:pt>
                <c:pt idx="3">
                  <c:v>0.33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16B1-4267-91AA-D5F53A4D078C}"/>
            </c:ext>
          </c:extLst>
        </c:ser>
        <c:ser>
          <c:idx val="2"/>
          <c:order val="1"/>
          <c:tx>
            <c:v>Sample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('Gamma 2.4'!$P$106,'Gamma 2.4'!$P$107,'Gamma 2.4'!$P$108,'Gamma 2.4'!$P$106)</c:f>
            </c:numRef>
          </c:xVal>
          <c:yVal>
            <c:numRef>
              <c:f>('Gamma 2.4'!$Q$106,'Gamma 2.4'!$Q$107,'Gamma 2.4'!$Q$108,'Gamma 2.4'!$Q$106)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B1-4267-91AA-D5F53A4D078C}"/>
            </c:ext>
          </c:extLst>
        </c:ser>
        <c:ser>
          <c:idx val="0"/>
          <c:order val="2"/>
          <c:tx>
            <c:v>D65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6B1-4267-91AA-D5F53A4D078C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'Gamma 2.4'!$L$109</c:f>
              <c:numCache>
                <c:formatCode>General</c:formatCode>
                <c:ptCount val="1"/>
                <c:pt idx="0">
                  <c:v>0.313</c:v>
                </c:pt>
              </c:numCache>
            </c:numRef>
          </c:xVal>
          <c:yVal>
            <c:numRef>
              <c:f>'Gamma 2.4'!$M$109</c:f>
              <c:numCache>
                <c:formatCode>General</c:formatCode>
                <c:ptCount val="1"/>
                <c:pt idx="0">
                  <c:v>0.32900000000000001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6B1-4267-91AA-D5F53A4D078C}"/>
            </c:ext>
          </c:extLst>
        </c:ser>
        <c:ser>
          <c:idx val="1"/>
          <c:order val="3"/>
          <c:tx>
            <c:v>mWhite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'Gamma 2.4'!$P$109</c:f>
            </c:numRef>
          </c:xVal>
          <c:yVal>
            <c:numRef>
              <c:f>'Gamma 2.4'!$Q$109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6B1-4267-91AA-D5F53A4D0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764591"/>
        <c:axId val="770763343"/>
        <c:extLst/>
      </c:scatterChart>
      <c:valAx>
        <c:axId val="770764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Cx</a:t>
                </a:r>
                <a:endParaRPr lang="zh-TW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70763343"/>
        <c:crosses val="autoZero"/>
        <c:crossBetween val="midCat"/>
      </c:valAx>
      <c:valAx>
        <c:axId val="77076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Cy</a:t>
                </a:r>
                <a:endParaRPr lang="zh-TW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70764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2"/>
          <c:order val="0"/>
          <c:tx>
            <c:v>R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('Gamma 2.6'!$A$59:$A$74,'Gamma 2.6'!$E$59:$E$74)</c:f>
              <c:numCache>
                <c:formatCode>General</c:formatCode>
                <c:ptCount val="32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25</c:v>
                </c:pt>
                <c:pt idx="4">
                  <c:v>33</c:v>
                </c:pt>
                <c:pt idx="5">
                  <c:v>41</c:v>
                </c:pt>
                <c:pt idx="6">
                  <c:v>49</c:v>
                </c:pt>
                <c:pt idx="7">
                  <c:v>58</c:v>
                </c:pt>
                <c:pt idx="8">
                  <c:v>66</c:v>
                </c:pt>
                <c:pt idx="9">
                  <c:v>74</c:v>
                </c:pt>
                <c:pt idx="10">
                  <c:v>82</c:v>
                </c:pt>
                <c:pt idx="11">
                  <c:v>90</c:v>
                </c:pt>
                <c:pt idx="12">
                  <c:v>99</c:v>
                </c:pt>
                <c:pt idx="13">
                  <c:v>107</c:v>
                </c:pt>
                <c:pt idx="14">
                  <c:v>115</c:v>
                </c:pt>
                <c:pt idx="15">
                  <c:v>123</c:v>
                </c:pt>
                <c:pt idx="16">
                  <c:v>132</c:v>
                </c:pt>
                <c:pt idx="17">
                  <c:v>140</c:v>
                </c:pt>
                <c:pt idx="18">
                  <c:v>148</c:v>
                </c:pt>
                <c:pt idx="19">
                  <c:v>156</c:v>
                </c:pt>
                <c:pt idx="20">
                  <c:v>165</c:v>
                </c:pt>
                <c:pt idx="21">
                  <c:v>173</c:v>
                </c:pt>
                <c:pt idx="22">
                  <c:v>181</c:v>
                </c:pt>
                <c:pt idx="23">
                  <c:v>189</c:v>
                </c:pt>
                <c:pt idx="24">
                  <c:v>197</c:v>
                </c:pt>
                <c:pt idx="25">
                  <c:v>206</c:v>
                </c:pt>
                <c:pt idx="26">
                  <c:v>214</c:v>
                </c:pt>
                <c:pt idx="27">
                  <c:v>222</c:v>
                </c:pt>
                <c:pt idx="28">
                  <c:v>230</c:v>
                </c:pt>
                <c:pt idx="29">
                  <c:v>239</c:v>
                </c:pt>
                <c:pt idx="30">
                  <c:v>247</c:v>
                </c:pt>
                <c:pt idx="31">
                  <c:v>255</c:v>
                </c:pt>
              </c:numCache>
            </c:numRef>
          </c:xVal>
          <c:yVal>
            <c:numRef>
              <c:f>('Gamma 2.6'!$D$59:$D$74,'Gamma 2.6'!$H$59:$H$74)</c:f>
              <c:numCache>
                <c:formatCode>General</c:formatCode>
                <c:ptCount val="3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A7-4ED2-B3C9-B82504044154}"/>
            </c:ext>
          </c:extLst>
        </c:ser>
        <c:ser>
          <c:idx val="0"/>
          <c:order val="1"/>
          <c:tx>
            <c:v>G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('Gamma 2.6'!$A$78:$A$93,'Gamma 2.6'!$E$78:$E$93)</c:f>
              <c:numCache>
                <c:formatCode>General</c:formatCode>
                <c:ptCount val="32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25</c:v>
                </c:pt>
                <c:pt idx="4">
                  <c:v>33</c:v>
                </c:pt>
                <c:pt idx="5">
                  <c:v>41</c:v>
                </c:pt>
                <c:pt idx="6">
                  <c:v>49</c:v>
                </c:pt>
                <c:pt idx="7">
                  <c:v>58</c:v>
                </c:pt>
                <c:pt idx="8">
                  <c:v>66</c:v>
                </c:pt>
                <c:pt idx="9">
                  <c:v>74</c:v>
                </c:pt>
                <c:pt idx="10">
                  <c:v>82</c:v>
                </c:pt>
                <c:pt idx="11">
                  <c:v>90</c:v>
                </c:pt>
                <c:pt idx="12">
                  <c:v>99</c:v>
                </c:pt>
                <c:pt idx="13">
                  <c:v>107</c:v>
                </c:pt>
                <c:pt idx="14">
                  <c:v>115</c:v>
                </c:pt>
                <c:pt idx="15">
                  <c:v>123</c:v>
                </c:pt>
                <c:pt idx="16">
                  <c:v>132</c:v>
                </c:pt>
                <c:pt idx="17">
                  <c:v>140</c:v>
                </c:pt>
                <c:pt idx="18">
                  <c:v>148</c:v>
                </c:pt>
                <c:pt idx="19">
                  <c:v>156</c:v>
                </c:pt>
                <c:pt idx="20">
                  <c:v>165</c:v>
                </c:pt>
                <c:pt idx="21">
                  <c:v>173</c:v>
                </c:pt>
                <c:pt idx="22">
                  <c:v>181</c:v>
                </c:pt>
                <c:pt idx="23">
                  <c:v>189</c:v>
                </c:pt>
                <c:pt idx="24">
                  <c:v>197</c:v>
                </c:pt>
                <c:pt idx="25">
                  <c:v>206</c:v>
                </c:pt>
                <c:pt idx="26">
                  <c:v>214</c:v>
                </c:pt>
                <c:pt idx="27">
                  <c:v>222</c:v>
                </c:pt>
                <c:pt idx="28">
                  <c:v>230</c:v>
                </c:pt>
                <c:pt idx="29">
                  <c:v>239</c:v>
                </c:pt>
                <c:pt idx="30">
                  <c:v>247</c:v>
                </c:pt>
                <c:pt idx="31">
                  <c:v>255</c:v>
                </c:pt>
              </c:numCache>
            </c:numRef>
          </c:xVal>
          <c:yVal>
            <c:numRef>
              <c:f>('Gamma 2.6'!$D$78:$D$93,'Gamma 2.6'!$H$78:$H$93)</c:f>
              <c:numCache>
                <c:formatCode>General</c:formatCode>
                <c:ptCount val="3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6A7-4ED2-B3C9-B82504044154}"/>
            </c:ext>
          </c:extLst>
        </c:ser>
        <c:ser>
          <c:idx val="1"/>
          <c:order val="2"/>
          <c:tx>
            <c:v>B</c:v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('Gamma 2.6'!$A$97:$A$112,'Gamma 2.6'!$E$97:$E$112)</c:f>
              <c:numCache>
                <c:formatCode>General</c:formatCode>
                <c:ptCount val="32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25</c:v>
                </c:pt>
                <c:pt idx="4">
                  <c:v>33</c:v>
                </c:pt>
                <c:pt idx="5">
                  <c:v>41</c:v>
                </c:pt>
                <c:pt idx="6">
                  <c:v>49</c:v>
                </c:pt>
                <c:pt idx="7">
                  <c:v>58</c:v>
                </c:pt>
                <c:pt idx="8">
                  <c:v>66</c:v>
                </c:pt>
                <c:pt idx="9">
                  <c:v>74</c:v>
                </c:pt>
                <c:pt idx="10">
                  <c:v>82</c:v>
                </c:pt>
                <c:pt idx="11">
                  <c:v>90</c:v>
                </c:pt>
                <c:pt idx="12">
                  <c:v>99</c:v>
                </c:pt>
                <c:pt idx="13">
                  <c:v>107</c:v>
                </c:pt>
                <c:pt idx="14">
                  <c:v>115</c:v>
                </c:pt>
                <c:pt idx="15">
                  <c:v>123</c:v>
                </c:pt>
                <c:pt idx="16">
                  <c:v>132</c:v>
                </c:pt>
                <c:pt idx="17">
                  <c:v>140</c:v>
                </c:pt>
                <c:pt idx="18">
                  <c:v>148</c:v>
                </c:pt>
                <c:pt idx="19">
                  <c:v>156</c:v>
                </c:pt>
                <c:pt idx="20">
                  <c:v>165</c:v>
                </c:pt>
                <c:pt idx="21">
                  <c:v>173</c:v>
                </c:pt>
                <c:pt idx="22">
                  <c:v>181</c:v>
                </c:pt>
                <c:pt idx="23">
                  <c:v>189</c:v>
                </c:pt>
                <c:pt idx="24">
                  <c:v>197</c:v>
                </c:pt>
                <c:pt idx="25">
                  <c:v>206</c:v>
                </c:pt>
                <c:pt idx="26">
                  <c:v>214</c:v>
                </c:pt>
                <c:pt idx="27">
                  <c:v>222</c:v>
                </c:pt>
                <c:pt idx="28">
                  <c:v>230</c:v>
                </c:pt>
                <c:pt idx="29">
                  <c:v>239</c:v>
                </c:pt>
                <c:pt idx="30">
                  <c:v>247</c:v>
                </c:pt>
                <c:pt idx="31">
                  <c:v>255</c:v>
                </c:pt>
              </c:numCache>
            </c:numRef>
          </c:xVal>
          <c:yVal>
            <c:numRef>
              <c:f>('Gamma 2.6'!$D$97:$D$112,'Gamma 2.6'!$H$97:$H$112)</c:f>
              <c:numCache>
                <c:formatCode>General</c:formatCode>
                <c:ptCount val="3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6A7-4ED2-B3C9-B82504044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764591"/>
        <c:axId val="770763343"/>
      </c:scatterChart>
      <c:valAx>
        <c:axId val="770764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70763343"/>
        <c:crosses val="autoZero"/>
        <c:crossBetween val="midCat"/>
      </c:valAx>
      <c:valAx>
        <c:axId val="77076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70764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('Gamma 2.6'!$A$40:$A$55,'Gamma 2.6'!$E$40:$E$55)</c:f>
              <c:numCache>
                <c:formatCode>General</c:formatCode>
                <c:ptCount val="32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25</c:v>
                </c:pt>
                <c:pt idx="4">
                  <c:v>33</c:v>
                </c:pt>
                <c:pt idx="5">
                  <c:v>41</c:v>
                </c:pt>
                <c:pt idx="6">
                  <c:v>49</c:v>
                </c:pt>
                <c:pt idx="7">
                  <c:v>58</c:v>
                </c:pt>
                <c:pt idx="8">
                  <c:v>66</c:v>
                </c:pt>
                <c:pt idx="9">
                  <c:v>74</c:v>
                </c:pt>
                <c:pt idx="10">
                  <c:v>82</c:v>
                </c:pt>
                <c:pt idx="11">
                  <c:v>90</c:v>
                </c:pt>
                <c:pt idx="12">
                  <c:v>99</c:v>
                </c:pt>
                <c:pt idx="13">
                  <c:v>107</c:v>
                </c:pt>
                <c:pt idx="14">
                  <c:v>115</c:v>
                </c:pt>
                <c:pt idx="15">
                  <c:v>123</c:v>
                </c:pt>
                <c:pt idx="16">
                  <c:v>132</c:v>
                </c:pt>
                <c:pt idx="17">
                  <c:v>140</c:v>
                </c:pt>
                <c:pt idx="18">
                  <c:v>148</c:v>
                </c:pt>
                <c:pt idx="19">
                  <c:v>156</c:v>
                </c:pt>
                <c:pt idx="20">
                  <c:v>165</c:v>
                </c:pt>
                <c:pt idx="21">
                  <c:v>173</c:v>
                </c:pt>
                <c:pt idx="22">
                  <c:v>181</c:v>
                </c:pt>
                <c:pt idx="23">
                  <c:v>189</c:v>
                </c:pt>
                <c:pt idx="24">
                  <c:v>197</c:v>
                </c:pt>
                <c:pt idx="25">
                  <c:v>206</c:v>
                </c:pt>
                <c:pt idx="26">
                  <c:v>214</c:v>
                </c:pt>
                <c:pt idx="27">
                  <c:v>222</c:v>
                </c:pt>
                <c:pt idx="28">
                  <c:v>230</c:v>
                </c:pt>
                <c:pt idx="29">
                  <c:v>239</c:v>
                </c:pt>
                <c:pt idx="30">
                  <c:v>247</c:v>
                </c:pt>
                <c:pt idx="31">
                  <c:v>255</c:v>
                </c:pt>
              </c:numCache>
            </c:numRef>
          </c:xVal>
          <c:yVal>
            <c:numRef>
              <c:f>('Gamma 2.6'!$D$40:$D$55,'Gamma 2.6'!$H$40:$H$55)</c:f>
              <c:numCache>
                <c:formatCode>General</c:formatCode>
                <c:ptCount val="3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E9-4796-A820-E4CDEBCEF036}"/>
            </c:ext>
          </c:extLst>
        </c:ser>
        <c:ser>
          <c:idx val="1"/>
          <c:order val="1"/>
          <c:tx>
            <c:v>2.6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('Gamma 2.6'!$A$21:$A$36,'Gamma 2.6'!$E$21:$E$36)</c:f>
              <c:numCache>
                <c:formatCode>General</c:formatCode>
                <c:ptCount val="32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25</c:v>
                </c:pt>
                <c:pt idx="4">
                  <c:v>33</c:v>
                </c:pt>
                <c:pt idx="5">
                  <c:v>41</c:v>
                </c:pt>
                <c:pt idx="6">
                  <c:v>49</c:v>
                </c:pt>
                <c:pt idx="7">
                  <c:v>58</c:v>
                </c:pt>
                <c:pt idx="8">
                  <c:v>66</c:v>
                </c:pt>
                <c:pt idx="9">
                  <c:v>74</c:v>
                </c:pt>
                <c:pt idx="10">
                  <c:v>82</c:v>
                </c:pt>
                <c:pt idx="11">
                  <c:v>90</c:v>
                </c:pt>
                <c:pt idx="12">
                  <c:v>99</c:v>
                </c:pt>
                <c:pt idx="13">
                  <c:v>107</c:v>
                </c:pt>
                <c:pt idx="14">
                  <c:v>115</c:v>
                </c:pt>
                <c:pt idx="15">
                  <c:v>123</c:v>
                </c:pt>
                <c:pt idx="16">
                  <c:v>132</c:v>
                </c:pt>
                <c:pt idx="17">
                  <c:v>140</c:v>
                </c:pt>
                <c:pt idx="18">
                  <c:v>148</c:v>
                </c:pt>
                <c:pt idx="19">
                  <c:v>156</c:v>
                </c:pt>
                <c:pt idx="20">
                  <c:v>165</c:v>
                </c:pt>
                <c:pt idx="21">
                  <c:v>173</c:v>
                </c:pt>
                <c:pt idx="22">
                  <c:v>181</c:v>
                </c:pt>
                <c:pt idx="23">
                  <c:v>189</c:v>
                </c:pt>
                <c:pt idx="24">
                  <c:v>197</c:v>
                </c:pt>
                <c:pt idx="25">
                  <c:v>206</c:v>
                </c:pt>
                <c:pt idx="26">
                  <c:v>214</c:v>
                </c:pt>
                <c:pt idx="27">
                  <c:v>222</c:v>
                </c:pt>
                <c:pt idx="28">
                  <c:v>230</c:v>
                </c:pt>
                <c:pt idx="29">
                  <c:v>239</c:v>
                </c:pt>
                <c:pt idx="30">
                  <c:v>247</c:v>
                </c:pt>
                <c:pt idx="31">
                  <c:v>255</c:v>
                </c:pt>
              </c:numCache>
            </c:numRef>
          </c:xVal>
          <c:yVal>
            <c:numRef>
              <c:f>('Gamma 2.6'!$D$21:$D$36,'Gamma 2.6'!$H$21:$H$36)</c:f>
              <c:numCache>
                <c:formatCode>General</c:formatCode>
                <c:ptCount val="3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2E9-4796-A820-E4CDEBCEF036}"/>
            </c:ext>
          </c:extLst>
        </c:ser>
        <c:ser>
          <c:idx val="2"/>
          <c:order val="2"/>
          <c:tx>
            <c:v>2.69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('Gamma 2.6'!$K$40:$K$55,'Gamma 2.6'!$O$40:$O$55)</c:f>
              <c:numCache>
                <c:formatCode>General</c:formatCode>
                <c:ptCount val="32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25</c:v>
                </c:pt>
                <c:pt idx="4">
                  <c:v>33</c:v>
                </c:pt>
                <c:pt idx="5">
                  <c:v>41</c:v>
                </c:pt>
                <c:pt idx="6">
                  <c:v>49</c:v>
                </c:pt>
                <c:pt idx="7">
                  <c:v>58</c:v>
                </c:pt>
                <c:pt idx="8">
                  <c:v>66</c:v>
                </c:pt>
                <c:pt idx="9">
                  <c:v>74</c:v>
                </c:pt>
                <c:pt idx="10">
                  <c:v>82</c:v>
                </c:pt>
                <c:pt idx="11">
                  <c:v>90</c:v>
                </c:pt>
                <c:pt idx="12">
                  <c:v>99</c:v>
                </c:pt>
                <c:pt idx="13">
                  <c:v>107</c:v>
                </c:pt>
                <c:pt idx="14">
                  <c:v>115</c:v>
                </c:pt>
                <c:pt idx="15">
                  <c:v>123</c:v>
                </c:pt>
                <c:pt idx="16">
                  <c:v>132</c:v>
                </c:pt>
                <c:pt idx="17">
                  <c:v>140</c:v>
                </c:pt>
                <c:pt idx="18">
                  <c:v>148</c:v>
                </c:pt>
                <c:pt idx="19">
                  <c:v>156</c:v>
                </c:pt>
                <c:pt idx="20">
                  <c:v>165</c:v>
                </c:pt>
                <c:pt idx="21">
                  <c:v>173</c:v>
                </c:pt>
                <c:pt idx="22">
                  <c:v>181</c:v>
                </c:pt>
                <c:pt idx="23">
                  <c:v>189</c:v>
                </c:pt>
                <c:pt idx="24">
                  <c:v>197</c:v>
                </c:pt>
                <c:pt idx="25">
                  <c:v>206</c:v>
                </c:pt>
                <c:pt idx="26">
                  <c:v>214</c:v>
                </c:pt>
                <c:pt idx="27">
                  <c:v>222</c:v>
                </c:pt>
                <c:pt idx="28">
                  <c:v>230</c:v>
                </c:pt>
                <c:pt idx="29">
                  <c:v>239</c:v>
                </c:pt>
                <c:pt idx="30">
                  <c:v>247</c:v>
                </c:pt>
                <c:pt idx="31">
                  <c:v>255</c:v>
                </c:pt>
              </c:numCache>
            </c:numRef>
          </c:xVal>
          <c:yVal>
            <c:numRef>
              <c:f>('Gamma 2.6'!$N$40:$N$55,'Gamma 2.6'!$R$40:$R$55)</c:f>
              <c:numCache>
                <c:formatCode>General</c:formatCode>
                <c:ptCount val="3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85-40A9-B63C-242412CB7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764591"/>
        <c:axId val="770763343"/>
      </c:scatterChart>
      <c:valAx>
        <c:axId val="770764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70763343"/>
        <c:crosses val="autoZero"/>
        <c:crossBetween val="midCat"/>
      </c:valAx>
      <c:valAx>
        <c:axId val="77076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70764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6"/>
          <c:order val="0"/>
          <c:tx>
            <c:v>Reference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('Gamma 2.6'!$L$106,'Gamma 2.6'!$L$107,'Gamma 2.6'!$L$108,'Gamma 2.6'!$L$106)</c:f>
              <c:numCache>
                <c:formatCode>General</c:formatCode>
                <c:ptCount val="4"/>
                <c:pt idx="0">
                  <c:v>0.64</c:v>
                </c:pt>
                <c:pt idx="1">
                  <c:v>0.3</c:v>
                </c:pt>
                <c:pt idx="2">
                  <c:v>0.15</c:v>
                </c:pt>
                <c:pt idx="3">
                  <c:v>0.64</c:v>
                </c:pt>
              </c:numCache>
            </c:numRef>
          </c:xVal>
          <c:yVal>
            <c:numRef>
              <c:f>('Gamma 2.6'!$M$106,'Gamma 2.6'!$M$107,'Gamma 2.6'!$M$108,'Gamma 2.6'!$M$106)</c:f>
              <c:numCache>
                <c:formatCode>General</c:formatCode>
                <c:ptCount val="4"/>
                <c:pt idx="0">
                  <c:v>0.33</c:v>
                </c:pt>
                <c:pt idx="1">
                  <c:v>0.6</c:v>
                </c:pt>
                <c:pt idx="2">
                  <c:v>0.06</c:v>
                </c:pt>
                <c:pt idx="3">
                  <c:v>0.33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D354-428F-8582-448B62AB66B6}"/>
            </c:ext>
          </c:extLst>
        </c:ser>
        <c:ser>
          <c:idx val="2"/>
          <c:order val="1"/>
          <c:tx>
            <c:v>Sample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('Gamma 2.6'!$P$106,'Gamma 2.6'!$P$107,'Gamma 2.6'!$P$108,'Gamma 2.6'!$P$106)</c:f>
            </c:numRef>
          </c:xVal>
          <c:yVal>
            <c:numRef>
              <c:f>('Gamma 2.6'!$Q$106,'Gamma 2.6'!$Q$107,'Gamma 2.6'!$Q$108,'Gamma 2.6'!$Q$106)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54-428F-8582-448B62AB66B6}"/>
            </c:ext>
          </c:extLst>
        </c:ser>
        <c:ser>
          <c:idx val="0"/>
          <c:order val="2"/>
          <c:tx>
            <c:v>D65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354-428F-8582-448B62AB66B6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'Gamma 2.6'!$L$109</c:f>
              <c:numCache>
                <c:formatCode>General</c:formatCode>
                <c:ptCount val="1"/>
                <c:pt idx="0">
                  <c:v>0.313</c:v>
                </c:pt>
              </c:numCache>
            </c:numRef>
          </c:xVal>
          <c:yVal>
            <c:numRef>
              <c:f>'Gamma 2.6'!$M$109</c:f>
              <c:numCache>
                <c:formatCode>General</c:formatCode>
                <c:ptCount val="1"/>
                <c:pt idx="0">
                  <c:v>0.32900000000000001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354-428F-8582-448B62AB66B6}"/>
            </c:ext>
          </c:extLst>
        </c:ser>
        <c:ser>
          <c:idx val="1"/>
          <c:order val="3"/>
          <c:tx>
            <c:v>mWhite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'Gamma 2.6'!$P$109</c:f>
            </c:numRef>
          </c:xVal>
          <c:yVal>
            <c:numRef>
              <c:f>'Gamma 2.6'!$Q$109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354-428F-8582-448B62AB6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764591"/>
        <c:axId val="770763343"/>
        <c:extLst/>
      </c:scatterChart>
      <c:valAx>
        <c:axId val="770764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Cx</a:t>
                </a:r>
                <a:endParaRPr lang="zh-TW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70763343"/>
        <c:crosses val="autoZero"/>
        <c:crossBetween val="midCat"/>
      </c:valAx>
      <c:valAx>
        <c:axId val="77076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Cy</a:t>
                </a:r>
                <a:endParaRPr lang="zh-TW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70764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tx>
            <c:v>Measure Data</c:v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DICOM!$K$22:$K$39</c:f>
              <c:numCache>
                <c:formatCode>General</c:formatCode>
                <c:ptCount val="18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</c:numCache>
            </c:numRef>
          </c:xVal>
          <c:yVal>
            <c:numRef>
              <c:f>DICOM!$F$22:$F$39</c:f>
              <c:numCache>
                <c:formatCode>0.0000_ </c:formatCode>
                <c:ptCount val="18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EE-433F-A757-2B01E8CC020B}"/>
            </c:ext>
          </c:extLst>
        </c:ser>
        <c:ser>
          <c:idx val="2"/>
          <c:order val="1"/>
          <c:tx>
            <c:v>-10% dL/L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DICOM!$K$22:$K$39</c:f>
              <c:numCache>
                <c:formatCode>General</c:formatCode>
                <c:ptCount val="18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</c:numCache>
            </c:numRef>
          </c:xVal>
          <c:yVal>
            <c:numRef>
              <c:f>DICOM!$Q$22:$Q$39</c:f>
              <c:numCache>
                <c:formatCode>0.0000_ </c:formatCode>
                <c:ptCount val="18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EE-433F-A757-2B01E8CC020B}"/>
            </c:ext>
          </c:extLst>
        </c:ser>
        <c:ser>
          <c:idx val="0"/>
          <c:order val="2"/>
          <c:tx>
            <c:v>+10% dL/L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DICOM!$K$22:$K$39</c:f>
              <c:numCache>
                <c:formatCode>General</c:formatCode>
                <c:ptCount val="18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</c:numCache>
            </c:numRef>
          </c:xVal>
          <c:yVal>
            <c:numRef>
              <c:f>DICOM!$R$22:$R$39</c:f>
              <c:numCache>
                <c:formatCode>0.0000_ </c:formatCode>
                <c:ptCount val="18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EEE-433F-A757-2B01E8CC0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764591"/>
        <c:axId val="770763343"/>
      </c:scatterChart>
      <c:valAx>
        <c:axId val="770764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70763343"/>
        <c:crosses val="autoZero"/>
        <c:crossBetween val="midCat"/>
      </c:valAx>
      <c:valAx>
        <c:axId val="77076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70764591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81</xdr:row>
      <xdr:rowOff>0</xdr:rowOff>
    </xdr:from>
    <xdr:to>
      <xdr:col>19</xdr:col>
      <xdr:colOff>400050</xdr:colOff>
      <xdr:row>102</xdr:row>
      <xdr:rowOff>195263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4BBDF03E-A6B0-4970-A648-D746A4EDFB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13</xdr:row>
      <xdr:rowOff>4761</xdr:rowOff>
    </xdr:from>
    <xdr:to>
      <xdr:col>19</xdr:col>
      <xdr:colOff>400050</xdr:colOff>
      <xdr:row>34</xdr:row>
      <xdr:rowOff>200024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57</xdr:row>
      <xdr:rowOff>0</xdr:rowOff>
    </xdr:from>
    <xdr:to>
      <xdr:col>19</xdr:col>
      <xdr:colOff>400050</xdr:colOff>
      <xdr:row>78</xdr:row>
      <xdr:rowOff>185738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57</xdr:row>
      <xdr:rowOff>0</xdr:rowOff>
    </xdr:from>
    <xdr:to>
      <xdr:col>19</xdr:col>
      <xdr:colOff>400050</xdr:colOff>
      <xdr:row>78</xdr:row>
      <xdr:rowOff>185738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13</xdr:row>
      <xdr:rowOff>0</xdr:rowOff>
    </xdr:from>
    <xdr:to>
      <xdr:col>19</xdr:col>
      <xdr:colOff>400050</xdr:colOff>
      <xdr:row>34</xdr:row>
      <xdr:rowOff>195263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81</xdr:row>
      <xdr:rowOff>0</xdr:rowOff>
    </xdr:from>
    <xdr:to>
      <xdr:col>19</xdr:col>
      <xdr:colOff>400050</xdr:colOff>
      <xdr:row>102</xdr:row>
      <xdr:rowOff>195263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206744C3-0BCB-410D-BB04-4A8896C50B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57</xdr:row>
      <xdr:rowOff>0</xdr:rowOff>
    </xdr:from>
    <xdr:to>
      <xdr:col>19</xdr:col>
      <xdr:colOff>400050</xdr:colOff>
      <xdr:row>78</xdr:row>
      <xdr:rowOff>185738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13</xdr:row>
      <xdr:rowOff>0</xdr:rowOff>
    </xdr:from>
    <xdr:to>
      <xdr:col>19</xdr:col>
      <xdr:colOff>400050</xdr:colOff>
      <xdr:row>34</xdr:row>
      <xdr:rowOff>195263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81</xdr:row>
      <xdr:rowOff>0</xdr:rowOff>
    </xdr:from>
    <xdr:to>
      <xdr:col>19</xdr:col>
      <xdr:colOff>400050</xdr:colOff>
      <xdr:row>102</xdr:row>
      <xdr:rowOff>195263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BC3E8C5A-D4DA-475B-BE8C-D6F78E1F42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57</xdr:row>
      <xdr:rowOff>0</xdr:rowOff>
    </xdr:from>
    <xdr:to>
      <xdr:col>19</xdr:col>
      <xdr:colOff>400050</xdr:colOff>
      <xdr:row>78</xdr:row>
      <xdr:rowOff>185738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13</xdr:row>
      <xdr:rowOff>0</xdr:rowOff>
    </xdr:from>
    <xdr:to>
      <xdr:col>19</xdr:col>
      <xdr:colOff>400050</xdr:colOff>
      <xdr:row>34</xdr:row>
      <xdr:rowOff>195263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81</xdr:row>
      <xdr:rowOff>0</xdr:rowOff>
    </xdr:from>
    <xdr:to>
      <xdr:col>19</xdr:col>
      <xdr:colOff>400050</xdr:colOff>
      <xdr:row>102</xdr:row>
      <xdr:rowOff>195263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5F8A1D4E-3CA5-4844-8973-1D438FFD56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57</xdr:row>
      <xdr:rowOff>0</xdr:rowOff>
    </xdr:from>
    <xdr:to>
      <xdr:col>19</xdr:col>
      <xdr:colOff>400050</xdr:colOff>
      <xdr:row>78</xdr:row>
      <xdr:rowOff>185738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13</xdr:row>
      <xdr:rowOff>0</xdr:rowOff>
    </xdr:from>
    <xdr:to>
      <xdr:col>19</xdr:col>
      <xdr:colOff>400050</xdr:colOff>
      <xdr:row>34</xdr:row>
      <xdr:rowOff>195263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81</xdr:row>
      <xdr:rowOff>0</xdr:rowOff>
    </xdr:from>
    <xdr:to>
      <xdr:col>19</xdr:col>
      <xdr:colOff>400050</xdr:colOff>
      <xdr:row>102</xdr:row>
      <xdr:rowOff>195263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ECC8A4D-6163-46A0-8143-3540D70C59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</xdr:colOff>
      <xdr:row>0</xdr:row>
      <xdr:rowOff>9526</xdr:rowOff>
    </xdr:from>
    <xdr:to>
      <xdr:col>18</xdr:col>
      <xdr:colOff>9525</xdr:colOff>
      <xdr:row>18</xdr:row>
      <xdr:rowOff>66675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3"/>
  <sheetViews>
    <sheetView zoomScaleNormal="100" workbookViewId="0">
      <selection activeCell="F3" sqref="F3:H3"/>
    </sheetView>
  </sheetViews>
  <sheetFormatPr defaultRowHeight="16.2" x14ac:dyDescent="0.3"/>
  <cols>
    <col min="8" max="8" width="9" customWidth="1"/>
  </cols>
  <sheetData>
    <row r="1" spans="1:8" ht="27" thickTop="1" thickBot="1" x14ac:dyDescent="0.35">
      <c r="A1" s="57" t="s">
        <v>0</v>
      </c>
      <c r="B1" s="58"/>
      <c r="C1" s="58"/>
      <c r="D1" s="58"/>
      <c r="E1" s="58"/>
      <c r="F1" s="58"/>
      <c r="G1" s="58"/>
      <c r="H1" s="59"/>
    </row>
    <row r="2" spans="1:8" ht="27" thickTop="1" thickBot="1" x14ac:dyDescent="0.35">
      <c r="A2" s="60" t="s">
        <v>1</v>
      </c>
      <c r="B2" s="61"/>
      <c r="C2" s="61"/>
      <c r="D2" s="61"/>
      <c r="E2" s="62" t="s">
        <v>2</v>
      </c>
      <c r="F2" s="63"/>
      <c r="G2" s="63"/>
      <c r="H2" s="64"/>
    </row>
    <row r="3" spans="1:8" ht="27" thickTop="1" thickBot="1" x14ac:dyDescent="0.35">
      <c r="A3" s="84" t="s">
        <v>56</v>
      </c>
      <c r="B3" s="85"/>
      <c r="C3" s="86" t="s">
        <v>68</v>
      </c>
      <c r="D3" s="87"/>
      <c r="E3" s="40" t="s">
        <v>53</v>
      </c>
      <c r="F3" s="86"/>
      <c r="G3" s="86"/>
      <c r="H3" s="88"/>
    </row>
    <row r="4" spans="1:8" ht="17.399999999999999" thickTop="1" thickBot="1" x14ac:dyDescent="0.35">
      <c r="A4" s="1"/>
      <c r="B4" s="2"/>
      <c r="C4" s="2"/>
      <c r="D4" s="2"/>
      <c r="E4" s="2"/>
      <c r="F4" s="2"/>
      <c r="G4" s="2"/>
      <c r="H4" s="3"/>
    </row>
    <row r="5" spans="1:8" ht="17.399999999999999" thickTop="1" thickBot="1" x14ac:dyDescent="0.35">
      <c r="A5" s="54" t="s">
        <v>3</v>
      </c>
      <c r="B5" s="55"/>
      <c r="C5" s="55"/>
      <c r="D5" s="55"/>
      <c r="E5" s="55"/>
      <c r="F5" s="55"/>
      <c r="G5" s="55"/>
      <c r="H5" s="56"/>
    </row>
    <row r="6" spans="1:8" ht="17.399999999999999" thickTop="1" thickBot="1" x14ac:dyDescent="0.35">
      <c r="A6" s="65" t="s">
        <v>4</v>
      </c>
      <c r="B6" s="66"/>
      <c r="C6" s="67" t="s">
        <v>5</v>
      </c>
      <c r="D6" s="66"/>
      <c r="E6" s="67" t="s">
        <v>6</v>
      </c>
      <c r="F6" s="66"/>
      <c r="G6" s="67" t="s">
        <v>7</v>
      </c>
      <c r="H6" s="68"/>
    </row>
    <row r="7" spans="1:8" ht="16.8" thickBot="1" x14ac:dyDescent="0.35">
      <c r="A7" s="69" t="s">
        <v>8</v>
      </c>
      <c r="B7" s="70"/>
      <c r="C7" s="71"/>
      <c r="D7" s="72"/>
      <c r="E7" s="73"/>
      <c r="F7" s="74"/>
      <c r="G7" s="71"/>
      <c r="H7" s="75"/>
    </row>
    <row r="8" spans="1:8" ht="16.8" thickBot="1" x14ac:dyDescent="0.35">
      <c r="A8" s="69" t="s">
        <v>9</v>
      </c>
      <c r="B8" s="70"/>
      <c r="C8" s="76" t="s">
        <v>0</v>
      </c>
      <c r="D8" s="70"/>
      <c r="E8" s="73"/>
      <c r="F8" s="74"/>
      <c r="G8" s="71"/>
      <c r="H8" s="75"/>
    </row>
    <row r="9" spans="1:8" ht="16.8" thickBot="1" x14ac:dyDescent="0.35">
      <c r="A9" s="69" t="s">
        <v>10</v>
      </c>
      <c r="B9" s="70"/>
      <c r="C9" s="71"/>
      <c r="D9" s="72"/>
      <c r="E9" s="73" t="str">
        <f>IF(H55="","",H55)</f>
        <v/>
      </c>
      <c r="F9" s="74"/>
      <c r="G9" s="71"/>
      <c r="H9" s="75"/>
    </row>
    <row r="10" spans="1:8" ht="16.8" thickBot="1" x14ac:dyDescent="0.35">
      <c r="A10" s="69" t="s">
        <v>11</v>
      </c>
      <c r="B10" s="70"/>
      <c r="C10" s="71"/>
      <c r="D10" s="72"/>
      <c r="E10" s="73" t="str">
        <f>IF(D40="","",D40)</f>
        <v/>
      </c>
      <c r="F10" s="74"/>
      <c r="G10" s="71"/>
      <c r="H10" s="75"/>
    </row>
    <row r="11" spans="1:8" ht="16.8" thickBot="1" x14ac:dyDescent="0.35">
      <c r="A11" s="69" t="s">
        <v>12</v>
      </c>
      <c r="B11" s="70"/>
      <c r="C11" s="71"/>
      <c r="D11" s="72"/>
      <c r="E11" s="73" t="str">
        <f>IF(OR(E9="",E10=""),"",E9/E10)</f>
        <v/>
      </c>
      <c r="F11" s="74"/>
      <c r="G11" s="73" t="str">
        <f>IF(E11="","",IF(AND(E11&gt;=1000),"PASS","FAILED"))</f>
        <v/>
      </c>
      <c r="H11" s="77"/>
    </row>
    <row r="12" spans="1:8" ht="16.8" thickBot="1" x14ac:dyDescent="0.35">
      <c r="A12" s="69" t="s">
        <v>13</v>
      </c>
      <c r="B12" s="70"/>
      <c r="C12" s="71"/>
      <c r="D12" s="72"/>
      <c r="E12" s="73" t="str">
        <f>IF(H55="","",(-437)*POWER((F55-0.332)/(G55-0.1858),3)+3601*POWER((F55-0.332)/(G55-0.1858),2)-6831*((F55-0.332)/(G55-0.1858))+5517)</f>
        <v/>
      </c>
      <c r="F12" s="74"/>
      <c r="G12" s="73" t="str">
        <f>IF(E12="","",IF(AND(AND(F55&gt;=0.263,F55&lt;=0.363),AND(G55&gt;=0.279,G55&lt;=0.379)),"PASS","FAILED"))</f>
        <v/>
      </c>
      <c r="H12" s="77"/>
    </row>
    <row r="13" spans="1:8" ht="16.8" thickBot="1" x14ac:dyDescent="0.35">
      <c r="A13" s="69" t="s">
        <v>14</v>
      </c>
      <c r="B13" s="70"/>
      <c r="C13" s="76" t="s">
        <v>15</v>
      </c>
      <c r="D13" s="70"/>
      <c r="E13" s="73"/>
      <c r="F13" s="74"/>
      <c r="G13" s="73" t="str">
        <f>IF(E13="","",IF(AND(E13&lt;=5),"PASS","FAILED"))</f>
        <v/>
      </c>
      <c r="H13" s="77"/>
    </row>
    <row r="14" spans="1:8" ht="16.8" thickBot="1" x14ac:dyDescent="0.35">
      <c r="A14" s="69" t="s">
        <v>16</v>
      </c>
      <c r="B14" s="70"/>
      <c r="C14" s="76" t="s">
        <v>17</v>
      </c>
      <c r="D14" s="70"/>
      <c r="E14" s="73"/>
      <c r="F14" s="74"/>
      <c r="G14" s="73" t="str">
        <f>IF(E14="","",IF(AND(E14&lt;=7),"PASS","FAILED"))</f>
        <v/>
      </c>
      <c r="H14" s="77"/>
    </row>
    <row r="15" spans="1:8" ht="16.8" thickBot="1" x14ac:dyDescent="0.35">
      <c r="A15" s="69" t="s">
        <v>18</v>
      </c>
      <c r="B15" s="70"/>
      <c r="C15" s="76" t="s">
        <v>19</v>
      </c>
      <c r="D15" s="70"/>
      <c r="E15" s="73"/>
      <c r="F15" s="74"/>
      <c r="G15" s="73" t="str">
        <f>IF(E15="","",IF(AND(E15&lt;=2),"PASS","FAILED"))</f>
        <v/>
      </c>
      <c r="H15" s="77"/>
    </row>
    <row r="16" spans="1:8" ht="16.8" thickBot="1" x14ac:dyDescent="0.35">
      <c r="A16" s="69" t="s">
        <v>20</v>
      </c>
      <c r="B16" s="70"/>
      <c r="C16" s="76" t="s">
        <v>15</v>
      </c>
      <c r="D16" s="70"/>
      <c r="E16" s="73"/>
      <c r="F16" s="74"/>
      <c r="G16" s="73" t="str">
        <f>IF(E16="","",IF(AND(E16&lt;=5),"PASS","FAILED"))</f>
        <v/>
      </c>
      <c r="H16" s="77"/>
    </row>
    <row r="17" spans="1:8" ht="16.8" thickBot="1" x14ac:dyDescent="0.35">
      <c r="A17" s="89" t="s">
        <v>21</v>
      </c>
      <c r="B17" s="90"/>
      <c r="C17" s="91"/>
      <c r="D17" s="92"/>
      <c r="E17" s="93"/>
      <c r="F17" s="94"/>
      <c r="G17" s="93" t="str">
        <f>IF(E17="","",IF(AND(E17&gt;=1.8,E17&lt;=1.89),"PASS","FAILED"))</f>
        <v/>
      </c>
      <c r="H17" s="95"/>
    </row>
    <row r="18" spans="1:8" ht="17.399999999999999" thickTop="1" thickBot="1" x14ac:dyDescent="0.35">
      <c r="A18" s="1"/>
      <c r="B18" s="2"/>
      <c r="C18" s="2"/>
      <c r="D18" s="2"/>
      <c r="E18" s="2"/>
      <c r="F18" s="2"/>
      <c r="G18" s="2"/>
      <c r="H18" s="3"/>
    </row>
    <row r="19" spans="1:8" ht="17.399999999999999" thickTop="1" thickBot="1" x14ac:dyDescent="0.35">
      <c r="A19" s="54" t="s">
        <v>22</v>
      </c>
      <c r="B19" s="55"/>
      <c r="C19" s="55"/>
      <c r="D19" s="55"/>
      <c r="E19" s="55"/>
      <c r="F19" s="55"/>
      <c r="G19" s="55"/>
      <c r="H19" s="56"/>
    </row>
    <row r="20" spans="1:8" ht="17.399999999999999" thickTop="1" thickBot="1" x14ac:dyDescent="0.35">
      <c r="A20" s="4" t="s">
        <v>23</v>
      </c>
      <c r="B20" s="5" t="s">
        <v>24</v>
      </c>
      <c r="C20" s="5" t="s">
        <v>25</v>
      </c>
      <c r="D20" s="5" t="s">
        <v>26</v>
      </c>
      <c r="E20" s="5" t="s">
        <v>23</v>
      </c>
      <c r="F20" s="5" t="s">
        <v>24</v>
      </c>
      <c r="G20" s="5" t="s">
        <v>25</v>
      </c>
      <c r="H20" s="6" t="s">
        <v>26</v>
      </c>
    </row>
    <row r="21" spans="1:8" ht="16.8" thickBot="1" x14ac:dyDescent="0.35">
      <c r="A21" s="7">
        <v>0</v>
      </c>
      <c r="B21" s="31"/>
      <c r="C21" s="32"/>
      <c r="D21" s="11"/>
      <c r="E21" s="8">
        <v>132</v>
      </c>
      <c r="F21" s="31"/>
      <c r="G21" s="32"/>
      <c r="H21" s="13"/>
    </row>
    <row r="22" spans="1:8" ht="16.8" thickBot="1" x14ac:dyDescent="0.35">
      <c r="A22" s="7">
        <v>8</v>
      </c>
      <c r="B22" s="33"/>
      <c r="C22" s="34"/>
      <c r="D22" s="11"/>
      <c r="E22" s="8">
        <v>140</v>
      </c>
      <c r="F22" s="33"/>
      <c r="G22" s="34"/>
      <c r="H22" s="13"/>
    </row>
    <row r="23" spans="1:8" ht="16.8" thickBot="1" x14ac:dyDescent="0.35">
      <c r="A23" s="7">
        <v>16</v>
      </c>
      <c r="B23" s="33"/>
      <c r="C23" s="34"/>
      <c r="D23" s="11"/>
      <c r="E23" s="8">
        <v>148</v>
      </c>
      <c r="F23" s="33"/>
      <c r="G23" s="34"/>
      <c r="H23" s="13"/>
    </row>
    <row r="24" spans="1:8" ht="16.8" thickBot="1" x14ac:dyDescent="0.35">
      <c r="A24" s="7">
        <v>25</v>
      </c>
      <c r="B24" s="33"/>
      <c r="C24" s="34"/>
      <c r="D24" s="11"/>
      <c r="E24" s="8">
        <v>156</v>
      </c>
      <c r="F24" s="33"/>
      <c r="G24" s="34"/>
      <c r="H24" s="13"/>
    </row>
    <row r="25" spans="1:8" ht="16.8" thickBot="1" x14ac:dyDescent="0.35">
      <c r="A25" s="7">
        <v>33</v>
      </c>
      <c r="B25" s="33"/>
      <c r="C25" s="34"/>
      <c r="D25" s="11"/>
      <c r="E25" s="8">
        <v>165</v>
      </c>
      <c r="F25" s="33"/>
      <c r="G25" s="34"/>
      <c r="H25" s="13"/>
    </row>
    <row r="26" spans="1:8" ht="16.8" thickBot="1" x14ac:dyDescent="0.35">
      <c r="A26" s="7">
        <v>41</v>
      </c>
      <c r="B26" s="33"/>
      <c r="C26" s="34"/>
      <c r="D26" s="11"/>
      <c r="E26" s="8">
        <v>173</v>
      </c>
      <c r="F26" s="33"/>
      <c r="G26" s="34"/>
      <c r="H26" s="13"/>
    </row>
    <row r="27" spans="1:8" ht="16.8" thickBot="1" x14ac:dyDescent="0.35">
      <c r="A27" s="7">
        <v>49</v>
      </c>
      <c r="B27" s="33"/>
      <c r="C27" s="34"/>
      <c r="D27" s="11"/>
      <c r="E27" s="8">
        <v>181</v>
      </c>
      <c r="F27" s="33"/>
      <c r="G27" s="34"/>
      <c r="H27" s="13"/>
    </row>
    <row r="28" spans="1:8" ht="16.8" thickBot="1" x14ac:dyDescent="0.35">
      <c r="A28" s="7">
        <v>58</v>
      </c>
      <c r="B28" s="33"/>
      <c r="C28" s="34"/>
      <c r="D28" s="11"/>
      <c r="E28" s="8">
        <v>189</v>
      </c>
      <c r="F28" s="33"/>
      <c r="G28" s="34"/>
      <c r="H28" s="13"/>
    </row>
    <row r="29" spans="1:8" ht="16.8" thickBot="1" x14ac:dyDescent="0.35">
      <c r="A29" s="7">
        <v>66</v>
      </c>
      <c r="B29" s="33"/>
      <c r="C29" s="34"/>
      <c r="D29" s="11"/>
      <c r="E29" s="8">
        <v>197</v>
      </c>
      <c r="F29" s="33"/>
      <c r="G29" s="34"/>
      <c r="H29" s="13"/>
    </row>
    <row r="30" spans="1:8" ht="16.8" thickBot="1" x14ac:dyDescent="0.35">
      <c r="A30" s="7">
        <v>74</v>
      </c>
      <c r="B30" s="33"/>
      <c r="C30" s="34"/>
      <c r="D30" s="11"/>
      <c r="E30" s="8">
        <v>206</v>
      </c>
      <c r="F30" s="33"/>
      <c r="G30" s="34"/>
      <c r="H30" s="13"/>
    </row>
    <row r="31" spans="1:8" ht="16.8" thickBot="1" x14ac:dyDescent="0.35">
      <c r="A31" s="7">
        <v>82</v>
      </c>
      <c r="B31" s="33"/>
      <c r="C31" s="34"/>
      <c r="D31" s="11"/>
      <c r="E31" s="8">
        <v>214</v>
      </c>
      <c r="F31" s="33"/>
      <c r="G31" s="34"/>
      <c r="H31" s="13"/>
    </row>
    <row r="32" spans="1:8" ht="16.8" thickBot="1" x14ac:dyDescent="0.35">
      <c r="A32" s="7">
        <v>90</v>
      </c>
      <c r="B32" s="33"/>
      <c r="C32" s="34"/>
      <c r="D32" s="11"/>
      <c r="E32" s="8">
        <v>222</v>
      </c>
      <c r="F32" s="33"/>
      <c r="G32" s="34"/>
      <c r="H32" s="13"/>
    </row>
    <row r="33" spans="1:18" ht="16.8" thickBot="1" x14ac:dyDescent="0.35">
      <c r="A33" s="7">
        <v>99</v>
      </c>
      <c r="B33" s="33"/>
      <c r="C33" s="34"/>
      <c r="D33" s="11"/>
      <c r="E33" s="8">
        <v>230</v>
      </c>
      <c r="F33" s="33"/>
      <c r="G33" s="34"/>
      <c r="H33" s="13"/>
    </row>
    <row r="34" spans="1:18" ht="16.8" thickBot="1" x14ac:dyDescent="0.35">
      <c r="A34" s="7">
        <v>107</v>
      </c>
      <c r="B34" s="33"/>
      <c r="C34" s="34"/>
      <c r="D34" s="11"/>
      <c r="E34" s="8">
        <v>239</v>
      </c>
      <c r="F34" s="33"/>
      <c r="G34" s="34"/>
      <c r="H34" s="13"/>
    </row>
    <row r="35" spans="1:18" ht="16.8" thickBot="1" x14ac:dyDescent="0.35">
      <c r="A35" s="7">
        <v>115</v>
      </c>
      <c r="B35" s="33"/>
      <c r="C35" s="34"/>
      <c r="D35" s="11"/>
      <c r="E35" s="8">
        <v>247</v>
      </c>
      <c r="F35" s="33"/>
      <c r="G35" s="34"/>
      <c r="H35" s="13"/>
    </row>
    <row r="36" spans="1:18" ht="16.8" thickBot="1" x14ac:dyDescent="0.35">
      <c r="A36" s="9">
        <v>123</v>
      </c>
      <c r="B36" s="35"/>
      <c r="C36" s="36"/>
      <c r="D36" s="12"/>
      <c r="E36" s="10">
        <v>255</v>
      </c>
      <c r="F36" s="35"/>
      <c r="G36" s="36"/>
      <c r="H36" s="14"/>
    </row>
    <row r="37" spans="1:18" ht="17.399999999999999" thickTop="1" thickBot="1" x14ac:dyDescent="0.35"/>
    <row r="38" spans="1:18" ht="17.399999999999999" thickTop="1" thickBot="1" x14ac:dyDescent="0.35">
      <c r="A38" s="54" t="s">
        <v>27</v>
      </c>
      <c r="B38" s="55"/>
      <c r="C38" s="55"/>
      <c r="D38" s="55"/>
      <c r="E38" s="55"/>
      <c r="F38" s="55"/>
      <c r="G38" s="55"/>
      <c r="H38" s="56"/>
      <c r="K38" s="54" t="s">
        <v>28</v>
      </c>
      <c r="L38" s="55"/>
      <c r="M38" s="55"/>
      <c r="N38" s="55"/>
      <c r="O38" s="55"/>
      <c r="P38" s="55"/>
      <c r="Q38" s="55"/>
      <c r="R38" s="56"/>
    </row>
    <row r="39" spans="1:18" ht="17.399999999999999" thickTop="1" thickBot="1" x14ac:dyDescent="0.35">
      <c r="A39" s="4" t="s">
        <v>23</v>
      </c>
      <c r="B39" s="5" t="s">
        <v>24</v>
      </c>
      <c r="C39" s="5" t="s">
        <v>25</v>
      </c>
      <c r="D39" s="5" t="s">
        <v>26</v>
      </c>
      <c r="E39" s="5" t="s">
        <v>23</v>
      </c>
      <c r="F39" s="5" t="s">
        <v>24</v>
      </c>
      <c r="G39" s="5" t="s">
        <v>25</v>
      </c>
      <c r="H39" s="6" t="s">
        <v>26</v>
      </c>
      <c r="K39" s="4" t="s">
        <v>23</v>
      </c>
      <c r="L39" s="5" t="s">
        <v>24</v>
      </c>
      <c r="M39" s="5" t="s">
        <v>25</v>
      </c>
      <c r="N39" s="5" t="s">
        <v>26</v>
      </c>
      <c r="O39" s="5" t="s">
        <v>23</v>
      </c>
      <c r="P39" s="5" t="s">
        <v>24</v>
      </c>
      <c r="Q39" s="5" t="s">
        <v>25</v>
      </c>
      <c r="R39" s="6" t="s">
        <v>26</v>
      </c>
    </row>
    <row r="40" spans="1:18" ht="16.8" thickBot="1" x14ac:dyDescent="0.35">
      <c r="A40" s="7">
        <v>0</v>
      </c>
      <c r="B40" s="11"/>
      <c r="C40" s="11"/>
      <c r="D40" s="11"/>
      <c r="E40" s="8">
        <v>132</v>
      </c>
      <c r="F40" s="11"/>
      <c r="G40" s="11"/>
      <c r="H40" s="13"/>
      <c r="K40" s="7">
        <v>0</v>
      </c>
      <c r="L40" s="31"/>
      <c r="M40" s="32"/>
      <c r="N40" s="11"/>
      <c r="O40" s="8">
        <v>132</v>
      </c>
      <c r="P40" s="31"/>
      <c r="Q40" s="32"/>
      <c r="R40" s="13"/>
    </row>
    <row r="41" spans="1:18" ht="16.8" thickBot="1" x14ac:dyDescent="0.35">
      <c r="A41" s="7">
        <v>8</v>
      </c>
      <c r="B41" s="11"/>
      <c r="C41" s="11"/>
      <c r="D41" s="11"/>
      <c r="E41" s="8">
        <v>140</v>
      </c>
      <c r="F41" s="11"/>
      <c r="G41" s="11"/>
      <c r="H41" s="13"/>
      <c r="K41" s="7">
        <v>8</v>
      </c>
      <c r="L41" s="33"/>
      <c r="M41" s="34"/>
      <c r="N41" s="11"/>
      <c r="O41" s="8">
        <v>140</v>
      </c>
      <c r="P41" s="33"/>
      <c r="Q41" s="34"/>
      <c r="R41" s="13"/>
    </row>
    <row r="42" spans="1:18" ht="16.8" thickBot="1" x14ac:dyDescent="0.35">
      <c r="A42" s="7">
        <v>16</v>
      </c>
      <c r="B42" s="11"/>
      <c r="C42" s="11"/>
      <c r="D42" s="11"/>
      <c r="E42" s="8">
        <v>148</v>
      </c>
      <c r="F42" s="11"/>
      <c r="G42" s="11"/>
      <c r="H42" s="13"/>
      <c r="K42" s="7">
        <v>16</v>
      </c>
      <c r="L42" s="33"/>
      <c r="M42" s="34"/>
      <c r="N42" s="11"/>
      <c r="O42" s="8">
        <v>148</v>
      </c>
      <c r="P42" s="33"/>
      <c r="Q42" s="34"/>
      <c r="R42" s="13"/>
    </row>
    <row r="43" spans="1:18" ht="16.8" thickBot="1" x14ac:dyDescent="0.35">
      <c r="A43" s="7">
        <v>25</v>
      </c>
      <c r="B43" s="11"/>
      <c r="C43" s="11"/>
      <c r="D43" s="11"/>
      <c r="E43" s="8">
        <v>156</v>
      </c>
      <c r="F43" s="11"/>
      <c r="G43" s="11"/>
      <c r="H43" s="13"/>
      <c r="K43" s="7">
        <v>25</v>
      </c>
      <c r="L43" s="33"/>
      <c r="M43" s="34"/>
      <c r="N43" s="11"/>
      <c r="O43" s="8">
        <v>156</v>
      </c>
      <c r="P43" s="33"/>
      <c r="Q43" s="34"/>
      <c r="R43" s="13"/>
    </row>
    <row r="44" spans="1:18" ht="16.8" thickBot="1" x14ac:dyDescent="0.35">
      <c r="A44" s="7">
        <v>33</v>
      </c>
      <c r="B44" s="11"/>
      <c r="C44" s="11"/>
      <c r="D44" s="11"/>
      <c r="E44" s="8">
        <v>165</v>
      </c>
      <c r="F44" s="11"/>
      <c r="G44" s="11"/>
      <c r="H44" s="13"/>
      <c r="K44" s="7">
        <v>33</v>
      </c>
      <c r="L44" s="33"/>
      <c r="M44" s="34"/>
      <c r="N44" s="11"/>
      <c r="O44" s="8">
        <v>165</v>
      </c>
      <c r="P44" s="33"/>
      <c r="Q44" s="34"/>
      <c r="R44" s="13"/>
    </row>
    <row r="45" spans="1:18" ht="16.8" thickBot="1" x14ac:dyDescent="0.35">
      <c r="A45" s="7">
        <v>41</v>
      </c>
      <c r="B45" s="11"/>
      <c r="C45" s="11"/>
      <c r="D45" s="11"/>
      <c r="E45" s="8">
        <v>173</v>
      </c>
      <c r="F45" s="11"/>
      <c r="G45" s="11"/>
      <c r="H45" s="13"/>
      <c r="K45" s="7">
        <v>41</v>
      </c>
      <c r="L45" s="33"/>
      <c r="M45" s="34"/>
      <c r="N45" s="11"/>
      <c r="O45" s="8">
        <v>173</v>
      </c>
      <c r="P45" s="33"/>
      <c r="Q45" s="34"/>
      <c r="R45" s="13"/>
    </row>
    <row r="46" spans="1:18" ht="16.8" thickBot="1" x14ac:dyDescent="0.35">
      <c r="A46" s="7">
        <v>49</v>
      </c>
      <c r="B46" s="11"/>
      <c r="C46" s="11"/>
      <c r="D46" s="11"/>
      <c r="E46" s="8">
        <v>181</v>
      </c>
      <c r="F46" s="11"/>
      <c r="G46" s="11"/>
      <c r="H46" s="13"/>
      <c r="K46" s="7">
        <v>49</v>
      </c>
      <c r="L46" s="33"/>
      <c r="M46" s="34"/>
      <c r="N46" s="11"/>
      <c r="O46" s="8">
        <v>181</v>
      </c>
      <c r="P46" s="33"/>
      <c r="Q46" s="34"/>
      <c r="R46" s="13"/>
    </row>
    <row r="47" spans="1:18" ht="16.8" thickBot="1" x14ac:dyDescent="0.35">
      <c r="A47" s="7">
        <v>58</v>
      </c>
      <c r="B47" s="11"/>
      <c r="C47" s="11"/>
      <c r="D47" s="11"/>
      <c r="E47" s="8">
        <v>189</v>
      </c>
      <c r="F47" s="11"/>
      <c r="G47" s="11"/>
      <c r="H47" s="13"/>
      <c r="K47" s="7">
        <v>58</v>
      </c>
      <c r="L47" s="33"/>
      <c r="M47" s="34"/>
      <c r="N47" s="11"/>
      <c r="O47" s="8">
        <v>189</v>
      </c>
      <c r="P47" s="33"/>
      <c r="Q47" s="34"/>
      <c r="R47" s="13"/>
    </row>
    <row r="48" spans="1:18" ht="16.8" thickBot="1" x14ac:dyDescent="0.35">
      <c r="A48" s="7">
        <v>66</v>
      </c>
      <c r="B48" s="11"/>
      <c r="C48" s="11"/>
      <c r="D48" s="11"/>
      <c r="E48" s="8">
        <v>197</v>
      </c>
      <c r="F48" s="11"/>
      <c r="G48" s="11"/>
      <c r="H48" s="13"/>
      <c r="K48" s="7">
        <v>66</v>
      </c>
      <c r="L48" s="33"/>
      <c r="M48" s="34"/>
      <c r="N48" s="11"/>
      <c r="O48" s="8">
        <v>197</v>
      </c>
      <c r="P48" s="33"/>
      <c r="Q48" s="34"/>
      <c r="R48" s="13"/>
    </row>
    <row r="49" spans="1:18" ht="16.8" thickBot="1" x14ac:dyDescent="0.35">
      <c r="A49" s="7">
        <v>74</v>
      </c>
      <c r="B49" s="11"/>
      <c r="C49" s="11"/>
      <c r="D49" s="11"/>
      <c r="E49" s="8">
        <v>206</v>
      </c>
      <c r="F49" s="11"/>
      <c r="G49" s="11"/>
      <c r="H49" s="13"/>
      <c r="K49" s="7">
        <v>74</v>
      </c>
      <c r="L49" s="33"/>
      <c r="M49" s="34"/>
      <c r="N49" s="11"/>
      <c r="O49" s="8">
        <v>206</v>
      </c>
      <c r="P49" s="33"/>
      <c r="Q49" s="34"/>
      <c r="R49" s="13"/>
    </row>
    <row r="50" spans="1:18" ht="16.8" thickBot="1" x14ac:dyDescent="0.35">
      <c r="A50" s="7">
        <v>82</v>
      </c>
      <c r="B50" s="11"/>
      <c r="C50" s="11"/>
      <c r="D50" s="11"/>
      <c r="E50" s="8">
        <v>214</v>
      </c>
      <c r="F50" s="11"/>
      <c r="G50" s="11"/>
      <c r="H50" s="13"/>
      <c r="K50" s="7">
        <v>82</v>
      </c>
      <c r="L50" s="33"/>
      <c r="M50" s="34"/>
      <c r="N50" s="11"/>
      <c r="O50" s="8">
        <v>214</v>
      </c>
      <c r="P50" s="33"/>
      <c r="Q50" s="34"/>
      <c r="R50" s="13"/>
    </row>
    <row r="51" spans="1:18" ht="16.8" thickBot="1" x14ac:dyDescent="0.35">
      <c r="A51" s="7">
        <v>90</v>
      </c>
      <c r="B51" s="11"/>
      <c r="C51" s="11"/>
      <c r="D51" s="11"/>
      <c r="E51" s="8">
        <v>222</v>
      </c>
      <c r="F51" s="11"/>
      <c r="G51" s="11"/>
      <c r="H51" s="13"/>
      <c r="K51" s="7">
        <v>90</v>
      </c>
      <c r="L51" s="33"/>
      <c r="M51" s="34"/>
      <c r="N51" s="11"/>
      <c r="O51" s="8">
        <v>222</v>
      </c>
      <c r="P51" s="33"/>
      <c r="Q51" s="34"/>
      <c r="R51" s="13"/>
    </row>
    <row r="52" spans="1:18" ht="16.8" thickBot="1" x14ac:dyDescent="0.35">
      <c r="A52" s="7">
        <v>99</v>
      </c>
      <c r="B52" s="11"/>
      <c r="C52" s="11"/>
      <c r="D52" s="11"/>
      <c r="E52" s="8">
        <v>230</v>
      </c>
      <c r="F52" s="11"/>
      <c r="G52" s="11"/>
      <c r="H52" s="13"/>
      <c r="K52" s="7">
        <v>99</v>
      </c>
      <c r="L52" s="33"/>
      <c r="M52" s="34"/>
      <c r="N52" s="11"/>
      <c r="O52" s="8">
        <v>230</v>
      </c>
      <c r="P52" s="33"/>
      <c r="Q52" s="34"/>
      <c r="R52" s="13"/>
    </row>
    <row r="53" spans="1:18" ht="16.8" thickBot="1" x14ac:dyDescent="0.35">
      <c r="A53" s="7">
        <v>107</v>
      </c>
      <c r="B53" s="11"/>
      <c r="C53" s="11"/>
      <c r="D53" s="11"/>
      <c r="E53" s="8">
        <v>239</v>
      </c>
      <c r="F53" s="11"/>
      <c r="G53" s="11"/>
      <c r="H53" s="13"/>
      <c r="K53" s="7">
        <v>107</v>
      </c>
      <c r="L53" s="33"/>
      <c r="M53" s="34"/>
      <c r="N53" s="11"/>
      <c r="O53" s="8">
        <v>239</v>
      </c>
      <c r="P53" s="33"/>
      <c r="Q53" s="34"/>
      <c r="R53" s="13"/>
    </row>
    <row r="54" spans="1:18" ht="16.8" thickBot="1" x14ac:dyDescent="0.35">
      <c r="A54" s="7">
        <v>115</v>
      </c>
      <c r="B54" s="11"/>
      <c r="C54" s="11"/>
      <c r="D54" s="11"/>
      <c r="E54" s="8">
        <v>247</v>
      </c>
      <c r="F54" s="11"/>
      <c r="G54" s="11"/>
      <c r="H54" s="13"/>
      <c r="K54" s="7">
        <v>115</v>
      </c>
      <c r="L54" s="33"/>
      <c r="M54" s="34"/>
      <c r="N54" s="11"/>
      <c r="O54" s="8">
        <v>247</v>
      </c>
      <c r="P54" s="33"/>
      <c r="Q54" s="34"/>
      <c r="R54" s="13"/>
    </row>
    <row r="55" spans="1:18" ht="16.8" thickBot="1" x14ac:dyDescent="0.35">
      <c r="A55" s="9">
        <v>123</v>
      </c>
      <c r="B55" s="12"/>
      <c r="C55" s="12"/>
      <c r="D55" s="12"/>
      <c r="E55" s="10">
        <v>255</v>
      </c>
      <c r="F55" s="12"/>
      <c r="G55" s="12"/>
      <c r="H55" s="14"/>
      <c r="K55" s="9">
        <v>123</v>
      </c>
      <c r="L55" s="35"/>
      <c r="M55" s="36"/>
      <c r="N55" s="12"/>
      <c r="O55" s="10">
        <v>255</v>
      </c>
      <c r="P55" s="35"/>
      <c r="Q55" s="36"/>
      <c r="R55" s="14"/>
    </row>
    <row r="56" spans="1:18" ht="17.399999999999999" thickTop="1" thickBot="1" x14ac:dyDescent="0.35"/>
    <row r="57" spans="1:18" ht="17.399999999999999" thickTop="1" thickBot="1" x14ac:dyDescent="0.35">
      <c r="A57" s="54" t="s">
        <v>29</v>
      </c>
      <c r="B57" s="55"/>
      <c r="C57" s="55"/>
      <c r="D57" s="55"/>
      <c r="E57" s="55"/>
      <c r="F57" s="55"/>
      <c r="G57" s="55"/>
      <c r="H57" s="56"/>
    </row>
    <row r="58" spans="1:18" ht="17.399999999999999" thickTop="1" thickBot="1" x14ac:dyDescent="0.35">
      <c r="A58" s="4" t="s">
        <v>23</v>
      </c>
      <c r="B58" s="5" t="s">
        <v>24</v>
      </c>
      <c r="C58" s="5" t="s">
        <v>25</v>
      </c>
      <c r="D58" s="5" t="s">
        <v>26</v>
      </c>
      <c r="E58" s="5" t="s">
        <v>23</v>
      </c>
      <c r="F58" s="5" t="s">
        <v>24</v>
      </c>
      <c r="G58" s="5" t="s">
        <v>25</v>
      </c>
      <c r="H58" s="6" t="s">
        <v>26</v>
      </c>
    </row>
    <row r="59" spans="1:18" ht="16.8" thickBot="1" x14ac:dyDescent="0.35">
      <c r="A59" s="7">
        <v>0</v>
      </c>
      <c r="B59" s="11"/>
      <c r="C59" s="11"/>
      <c r="D59" s="11"/>
      <c r="E59" s="8">
        <v>132</v>
      </c>
      <c r="F59" s="11"/>
      <c r="G59" s="11"/>
      <c r="H59" s="13"/>
    </row>
    <row r="60" spans="1:18" ht="16.8" thickBot="1" x14ac:dyDescent="0.35">
      <c r="A60" s="7">
        <v>8</v>
      </c>
      <c r="B60" s="11"/>
      <c r="C60" s="11"/>
      <c r="D60" s="11"/>
      <c r="E60" s="8">
        <v>140</v>
      </c>
      <c r="F60" s="11"/>
      <c r="G60" s="11"/>
      <c r="H60" s="13"/>
    </row>
    <row r="61" spans="1:18" ht="16.8" thickBot="1" x14ac:dyDescent="0.35">
      <c r="A61" s="7">
        <v>16</v>
      </c>
      <c r="B61" s="11"/>
      <c r="C61" s="11"/>
      <c r="D61" s="11"/>
      <c r="E61" s="8">
        <v>148</v>
      </c>
      <c r="F61" s="11"/>
      <c r="G61" s="11"/>
      <c r="H61" s="13"/>
    </row>
    <row r="62" spans="1:18" ht="16.8" thickBot="1" x14ac:dyDescent="0.35">
      <c r="A62" s="7">
        <v>25</v>
      </c>
      <c r="B62" s="11"/>
      <c r="C62" s="11"/>
      <c r="D62" s="11"/>
      <c r="E62" s="8">
        <v>156</v>
      </c>
      <c r="F62" s="11"/>
      <c r="G62" s="11"/>
      <c r="H62" s="13"/>
    </row>
    <row r="63" spans="1:18" ht="16.8" thickBot="1" x14ac:dyDescent="0.35">
      <c r="A63" s="7">
        <v>33</v>
      </c>
      <c r="B63" s="11"/>
      <c r="C63" s="11"/>
      <c r="D63" s="11"/>
      <c r="E63" s="8">
        <v>165</v>
      </c>
      <c r="F63" s="11"/>
      <c r="G63" s="11"/>
      <c r="H63" s="13"/>
    </row>
    <row r="64" spans="1:18" ht="16.8" thickBot="1" x14ac:dyDescent="0.35">
      <c r="A64" s="7">
        <v>41</v>
      </c>
      <c r="B64" s="11"/>
      <c r="C64" s="11"/>
      <c r="D64" s="11"/>
      <c r="E64" s="8">
        <v>173</v>
      </c>
      <c r="F64" s="11"/>
      <c r="G64" s="11"/>
      <c r="H64" s="13"/>
    </row>
    <row r="65" spans="1:8" ht="16.8" thickBot="1" x14ac:dyDescent="0.35">
      <c r="A65" s="7">
        <v>49</v>
      </c>
      <c r="B65" s="11"/>
      <c r="C65" s="11"/>
      <c r="D65" s="11"/>
      <c r="E65" s="8">
        <v>181</v>
      </c>
      <c r="F65" s="11"/>
      <c r="G65" s="11"/>
      <c r="H65" s="13"/>
    </row>
    <row r="66" spans="1:8" ht="16.8" thickBot="1" x14ac:dyDescent="0.35">
      <c r="A66" s="7">
        <v>58</v>
      </c>
      <c r="B66" s="11"/>
      <c r="C66" s="11"/>
      <c r="D66" s="11"/>
      <c r="E66" s="8">
        <v>189</v>
      </c>
      <c r="F66" s="11"/>
      <c r="G66" s="11"/>
      <c r="H66" s="13"/>
    </row>
    <row r="67" spans="1:8" ht="16.8" thickBot="1" x14ac:dyDescent="0.35">
      <c r="A67" s="7">
        <v>66</v>
      </c>
      <c r="B67" s="11"/>
      <c r="C67" s="11"/>
      <c r="D67" s="11"/>
      <c r="E67" s="8">
        <v>197</v>
      </c>
      <c r="F67" s="11"/>
      <c r="G67" s="11"/>
      <c r="H67" s="13"/>
    </row>
    <row r="68" spans="1:8" ht="16.8" thickBot="1" x14ac:dyDescent="0.35">
      <c r="A68" s="7">
        <v>74</v>
      </c>
      <c r="B68" s="11"/>
      <c r="C68" s="11"/>
      <c r="D68" s="11"/>
      <c r="E68" s="8">
        <v>206</v>
      </c>
      <c r="F68" s="11"/>
      <c r="G68" s="11"/>
      <c r="H68" s="13"/>
    </row>
    <row r="69" spans="1:8" ht="16.8" thickBot="1" x14ac:dyDescent="0.35">
      <c r="A69" s="7">
        <v>82</v>
      </c>
      <c r="B69" s="11"/>
      <c r="C69" s="11"/>
      <c r="D69" s="11"/>
      <c r="E69" s="8">
        <v>214</v>
      </c>
      <c r="F69" s="11"/>
      <c r="G69" s="11"/>
      <c r="H69" s="13"/>
    </row>
    <row r="70" spans="1:8" ht="16.8" thickBot="1" x14ac:dyDescent="0.35">
      <c r="A70" s="7">
        <v>90</v>
      </c>
      <c r="B70" s="11"/>
      <c r="C70" s="11"/>
      <c r="D70" s="11"/>
      <c r="E70" s="8">
        <v>222</v>
      </c>
      <c r="F70" s="11"/>
      <c r="G70" s="11"/>
      <c r="H70" s="13"/>
    </row>
    <row r="71" spans="1:8" ht="16.8" thickBot="1" x14ac:dyDescent="0.35">
      <c r="A71" s="7">
        <v>99</v>
      </c>
      <c r="B71" s="11"/>
      <c r="C71" s="11"/>
      <c r="D71" s="11"/>
      <c r="E71" s="8">
        <v>230</v>
      </c>
      <c r="F71" s="11"/>
      <c r="G71" s="11"/>
      <c r="H71" s="13"/>
    </row>
    <row r="72" spans="1:8" ht="16.8" thickBot="1" x14ac:dyDescent="0.35">
      <c r="A72" s="7">
        <v>107</v>
      </c>
      <c r="B72" s="11"/>
      <c r="C72" s="11"/>
      <c r="D72" s="11"/>
      <c r="E72" s="8">
        <v>239</v>
      </c>
      <c r="F72" s="11"/>
      <c r="G72" s="11"/>
      <c r="H72" s="13"/>
    </row>
    <row r="73" spans="1:8" ht="16.8" thickBot="1" x14ac:dyDescent="0.35">
      <c r="A73" s="7">
        <v>115</v>
      </c>
      <c r="B73" s="11"/>
      <c r="C73" s="11"/>
      <c r="D73" s="11"/>
      <c r="E73" s="8">
        <v>247</v>
      </c>
      <c r="F73" s="11"/>
      <c r="G73" s="11"/>
      <c r="H73" s="13"/>
    </row>
    <row r="74" spans="1:8" ht="16.8" thickBot="1" x14ac:dyDescent="0.35">
      <c r="A74" s="9">
        <v>123</v>
      </c>
      <c r="B74" s="12"/>
      <c r="C74" s="12"/>
      <c r="D74" s="12"/>
      <c r="E74" s="10">
        <v>255</v>
      </c>
      <c r="F74" s="12"/>
      <c r="G74" s="12"/>
      <c r="H74" s="14"/>
    </row>
    <row r="75" spans="1:8" ht="17.399999999999999" thickTop="1" thickBot="1" x14ac:dyDescent="0.35"/>
    <row r="76" spans="1:8" ht="17.399999999999999" thickTop="1" thickBot="1" x14ac:dyDescent="0.35">
      <c r="A76" s="54" t="s">
        <v>30</v>
      </c>
      <c r="B76" s="55"/>
      <c r="C76" s="55"/>
      <c r="D76" s="55"/>
      <c r="E76" s="55"/>
      <c r="F76" s="55"/>
      <c r="G76" s="55"/>
      <c r="H76" s="56"/>
    </row>
    <row r="77" spans="1:8" ht="17.399999999999999" thickTop="1" thickBot="1" x14ac:dyDescent="0.35">
      <c r="A77" s="4" t="s">
        <v>23</v>
      </c>
      <c r="B77" s="5" t="s">
        <v>24</v>
      </c>
      <c r="C77" s="5" t="s">
        <v>25</v>
      </c>
      <c r="D77" s="5" t="s">
        <v>26</v>
      </c>
      <c r="E77" s="5" t="s">
        <v>23</v>
      </c>
      <c r="F77" s="5" t="s">
        <v>24</v>
      </c>
      <c r="G77" s="5" t="s">
        <v>25</v>
      </c>
      <c r="H77" s="6" t="s">
        <v>26</v>
      </c>
    </row>
    <row r="78" spans="1:8" ht="16.8" thickBot="1" x14ac:dyDescent="0.35">
      <c r="A78" s="7">
        <v>0</v>
      </c>
      <c r="B78" s="11"/>
      <c r="C78" s="11"/>
      <c r="D78" s="11"/>
      <c r="E78" s="8">
        <v>132</v>
      </c>
      <c r="F78" s="11"/>
      <c r="G78" s="11"/>
      <c r="H78" s="13"/>
    </row>
    <row r="79" spans="1:8" ht="16.8" thickBot="1" x14ac:dyDescent="0.35">
      <c r="A79" s="7">
        <v>8</v>
      </c>
      <c r="B79" s="11"/>
      <c r="C79" s="11"/>
      <c r="D79" s="11"/>
      <c r="E79" s="8">
        <v>140</v>
      </c>
      <c r="F79" s="11"/>
      <c r="G79" s="11"/>
      <c r="H79" s="13"/>
    </row>
    <row r="80" spans="1:8" ht="16.8" thickBot="1" x14ac:dyDescent="0.35">
      <c r="A80" s="7">
        <v>16</v>
      </c>
      <c r="B80" s="11"/>
      <c r="C80" s="11"/>
      <c r="D80" s="11"/>
      <c r="E80" s="8">
        <v>148</v>
      </c>
      <c r="F80" s="11"/>
      <c r="G80" s="11"/>
      <c r="H80" s="13"/>
    </row>
    <row r="81" spans="1:8" ht="16.8" thickBot="1" x14ac:dyDescent="0.35">
      <c r="A81" s="7">
        <v>25</v>
      </c>
      <c r="B81" s="11"/>
      <c r="C81" s="11"/>
      <c r="D81" s="11"/>
      <c r="E81" s="8">
        <v>156</v>
      </c>
      <c r="F81" s="11"/>
      <c r="G81" s="11"/>
      <c r="H81" s="13"/>
    </row>
    <row r="82" spans="1:8" ht="16.8" thickBot="1" x14ac:dyDescent="0.35">
      <c r="A82" s="7">
        <v>33</v>
      </c>
      <c r="B82" s="11"/>
      <c r="C82" s="11"/>
      <c r="D82" s="11"/>
      <c r="E82" s="8">
        <v>165</v>
      </c>
      <c r="F82" s="11"/>
      <c r="G82" s="11"/>
      <c r="H82" s="13"/>
    </row>
    <row r="83" spans="1:8" ht="16.8" thickBot="1" x14ac:dyDescent="0.35">
      <c r="A83" s="7">
        <v>41</v>
      </c>
      <c r="B83" s="11"/>
      <c r="C83" s="11"/>
      <c r="D83" s="11"/>
      <c r="E83" s="8">
        <v>173</v>
      </c>
      <c r="F83" s="11"/>
      <c r="G83" s="11"/>
      <c r="H83" s="13"/>
    </row>
    <row r="84" spans="1:8" ht="16.8" thickBot="1" x14ac:dyDescent="0.35">
      <c r="A84" s="7">
        <v>49</v>
      </c>
      <c r="B84" s="11"/>
      <c r="C84" s="11"/>
      <c r="D84" s="11"/>
      <c r="E84" s="8">
        <v>181</v>
      </c>
      <c r="F84" s="11"/>
      <c r="G84" s="11"/>
      <c r="H84" s="13"/>
    </row>
    <row r="85" spans="1:8" ht="16.8" thickBot="1" x14ac:dyDescent="0.35">
      <c r="A85" s="7">
        <v>58</v>
      </c>
      <c r="B85" s="11"/>
      <c r="C85" s="11"/>
      <c r="D85" s="11"/>
      <c r="E85" s="8">
        <v>189</v>
      </c>
      <c r="F85" s="11"/>
      <c r="G85" s="11"/>
      <c r="H85" s="13"/>
    </row>
    <row r="86" spans="1:8" ht="16.8" thickBot="1" x14ac:dyDescent="0.35">
      <c r="A86" s="7">
        <v>66</v>
      </c>
      <c r="B86" s="11"/>
      <c r="C86" s="11"/>
      <c r="D86" s="11"/>
      <c r="E86" s="8">
        <v>197</v>
      </c>
      <c r="F86" s="11"/>
      <c r="G86" s="11"/>
      <c r="H86" s="13"/>
    </row>
    <row r="87" spans="1:8" ht="16.8" thickBot="1" x14ac:dyDescent="0.35">
      <c r="A87" s="7">
        <v>74</v>
      </c>
      <c r="B87" s="11"/>
      <c r="C87" s="11"/>
      <c r="D87" s="11"/>
      <c r="E87" s="8">
        <v>206</v>
      </c>
      <c r="F87" s="11"/>
      <c r="G87" s="11"/>
      <c r="H87" s="13"/>
    </row>
    <row r="88" spans="1:8" ht="16.8" thickBot="1" x14ac:dyDescent="0.35">
      <c r="A88" s="7">
        <v>82</v>
      </c>
      <c r="B88" s="11"/>
      <c r="C88" s="11"/>
      <c r="D88" s="11"/>
      <c r="E88" s="8">
        <v>214</v>
      </c>
      <c r="F88" s="11"/>
      <c r="G88" s="11"/>
      <c r="H88" s="13"/>
    </row>
    <row r="89" spans="1:8" ht="16.8" thickBot="1" x14ac:dyDescent="0.35">
      <c r="A89" s="7">
        <v>90</v>
      </c>
      <c r="B89" s="11"/>
      <c r="C89" s="11"/>
      <c r="D89" s="11"/>
      <c r="E89" s="8">
        <v>222</v>
      </c>
      <c r="F89" s="11"/>
      <c r="G89" s="11"/>
      <c r="H89" s="13"/>
    </row>
    <row r="90" spans="1:8" ht="16.8" thickBot="1" x14ac:dyDescent="0.35">
      <c r="A90" s="7">
        <v>99</v>
      </c>
      <c r="B90" s="11"/>
      <c r="C90" s="11"/>
      <c r="D90" s="11"/>
      <c r="E90" s="8">
        <v>230</v>
      </c>
      <c r="F90" s="11"/>
      <c r="G90" s="11"/>
      <c r="H90" s="13"/>
    </row>
    <row r="91" spans="1:8" ht="16.8" thickBot="1" x14ac:dyDescent="0.35">
      <c r="A91" s="7">
        <v>107</v>
      </c>
      <c r="B91" s="11"/>
      <c r="C91" s="11"/>
      <c r="D91" s="11"/>
      <c r="E91" s="8">
        <v>239</v>
      </c>
      <c r="F91" s="11"/>
      <c r="G91" s="11"/>
      <c r="H91" s="13"/>
    </row>
    <row r="92" spans="1:8" ht="16.8" thickBot="1" x14ac:dyDescent="0.35">
      <c r="A92" s="7">
        <v>115</v>
      </c>
      <c r="B92" s="11"/>
      <c r="C92" s="11"/>
      <c r="D92" s="11"/>
      <c r="E92" s="8">
        <v>247</v>
      </c>
      <c r="F92" s="11"/>
      <c r="G92" s="11"/>
      <c r="H92" s="13"/>
    </row>
    <row r="93" spans="1:8" ht="16.8" thickBot="1" x14ac:dyDescent="0.35">
      <c r="A93" s="9">
        <v>123</v>
      </c>
      <c r="B93" s="12"/>
      <c r="C93" s="12"/>
      <c r="D93" s="12"/>
      <c r="E93" s="10">
        <v>255</v>
      </c>
      <c r="F93" s="12"/>
      <c r="G93" s="12"/>
      <c r="H93" s="14"/>
    </row>
    <row r="94" spans="1:8" ht="17.399999999999999" thickTop="1" thickBot="1" x14ac:dyDescent="0.35"/>
    <row r="95" spans="1:8" ht="17.399999999999999" thickTop="1" thickBot="1" x14ac:dyDescent="0.35">
      <c r="A95" s="54" t="s">
        <v>31</v>
      </c>
      <c r="B95" s="55"/>
      <c r="C95" s="55"/>
      <c r="D95" s="55"/>
      <c r="E95" s="55"/>
      <c r="F95" s="55"/>
      <c r="G95" s="55"/>
      <c r="H95" s="56"/>
    </row>
    <row r="96" spans="1:8" ht="17.399999999999999" thickTop="1" thickBot="1" x14ac:dyDescent="0.35">
      <c r="A96" s="4" t="s">
        <v>23</v>
      </c>
      <c r="B96" s="5" t="s">
        <v>24</v>
      </c>
      <c r="C96" s="5" t="s">
        <v>25</v>
      </c>
      <c r="D96" s="5" t="s">
        <v>26</v>
      </c>
      <c r="E96" s="5" t="s">
        <v>23</v>
      </c>
      <c r="F96" s="5" t="s">
        <v>24</v>
      </c>
      <c r="G96" s="5" t="s">
        <v>25</v>
      </c>
      <c r="H96" s="6" t="s">
        <v>26</v>
      </c>
    </row>
    <row r="97" spans="1:17" ht="16.8" thickBot="1" x14ac:dyDescent="0.35">
      <c r="A97" s="7">
        <v>0</v>
      </c>
      <c r="B97" s="11"/>
      <c r="C97" s="11"/>
      <c r="D97" s="11"/>
      <c r="E97" s="8">
        <v>132</v>
      </c>
      <c r="F97" s="11"/>
      <c r="G97" s="11"/>
      <c r="H97" s="13"/>
    </row>
    <row r="98" spans="1:17" ht="16.8" thickBot="1" x14ac:dyDescent="0.35">
      <c r="A98" s="7">
        <v>8</v>
      </c>
      <c r="B98" s="11"/>
      <c r="C98" s="11"/>
      <c r="D98" s="11"/>
      <c r="E98" s="8">
        <v>140</v>
      </c>
      <c r="F98" s="11"/>
      <c r="G98" s="11"/>
      <c r="H98" s="13"/>
    </row>
    <row r="99" spans="1:17" ht="16.8" thickBot="1" x14ac:dyDescent="0.35">
      <c r="A99" s="7">
        <v>16</v>
      </c>
      <c r="B99" s="11"/>
      <c r="C99" s="11"/>
      <c r="D99" s="11"/>
      <c r="E99" s="8">
        <v>148</v>
      </c>
      <c r="F99" s="11"/>
      <c r="G99" s="11"/>
      <c r="H99" s="13"/>
    </row>
    <row r="100" spans="1:17" ht="16.8" thickBot="1" x14ac:dyDescent="0.35">
      <c r="A100" s="7">
        <v>25</v>
      </c>
      <c r="B100" s="11"/>
      <c r="C100" s="11"/>
      <c r="D100" s="11"/>
      <c r="E100" s="8">
        <v>156</v>
      </c>
      <c r="F100" s="11"/>
      <c r="G100" s="11"/>
      <c r="H100" s="13"/>
    </row>
    <row r="101" spans="1:17" ht="16.8" thickBot="1" x14ac:dyDescent="0.35">
      <c r="A101" s="7">
        <v>33</v>
      </c>
      <c r="B101" s="11"/>
      <c r="C101" s="11"/>
      <c r="D101" s="11"/>
      <c r="E101" s="8">
        <v>165</v>
      </c>
      <c r="F101" s="11"/>
      <c r="G101" s="11"/>
      <c r="H101" s="13"/>
    </row>
    <row r="102" spans="1:17" ht="16.8" thickBot="1" x14ac:dyDescent="0.35">
      <c r="A102" s="7">
        <v>41</v>
      </c>
      <c r="B102" s="11"/>
      <c r="C102" s="11"/>
      <c r="D102" s="11"/>
      <c r="E102" s="8">
        <v>173</v>
      </c>
      <c r="F102" s="11"/>
      <c r="G102" s="11"/>
      <c r="H102" s="13"/>
    </row>
    <row r="103" spans="1:17" ht="16.8" thickBot="1" x14ac:dyDescent="0.35">
      <c r="A103" s="7">
        <v>49</v>
      </c>
      <c r="B103" s="11"/>
      <c r="C103" s="11"/>
      <c r="D103" s="11"/>
      <c r="E103" s="8">
        <v>181</v>
      </c>
      <c r="F103" s="11"/>
      <c r="G103" s="11"/>
      <c r="H103" s="13"/>
    </row>
    <row r="104" spans="1:17" ht="16.8" thickBot="1" x14ac:dyDescent="0.35">
      <c r="A104" s="7">
        <v>58</v>
      </c>
      <c r="B104" s="11"/>
      <c r="C104" s="11"/>
      <c r="D104" s="11"/>
      <c r="E104" s="8">
        <v>189</v>
      </c>
      <c r="F104" s="11"/>
      <c r="G104" s="11"/>
      <c r="H104" s="13"/>
    </row>
    <row r="105" spans="1:17" ht="17.399999999999999" thickTop="1" thickBot="1" x14ac:dyDescent="0.35">
      <c r="A105" s="7">
        <v>66</v>
      </c>
      <c r="B105" s="11"/>
      <c r="C105" s="11"/>
      <c r="D105" s="11"/>
      <c r="E105" s="8">
        <v>197</v>
      </c>
      <c r="F105" s="11"/>
      <c r="G105" s="11"/>
      <c r="H105" s="13"/>
      <c r="K105" s="78" t="s">
        <v>58</v>
      </c>
      <c r="L105" s="79"/>
      <c r="M105" s="80"/>
      <c r="N105" s="41"/>
      <c r="O105" s="81" t="s">
        <v>62</v>
      </c>
      <c r="P105" s="82"/>
      <c r="Q105" s="83"/>
    </row>
    <row r="106" spans="1:17" ht="16.8" thickBot="1" x14ac:dyDescent="0.35">
      <c r="A106" s="7">
        <v>74</v>
      </c>
      <c r="B106" s="11"/>
      <c r="C106" s="11"/>
      <c r="D106" s="11"/>
      <c r="E106" s="8">
        <v>206</v>
      </c>
      <c r="F106" s="11"/>
      <c r="G106" s="11"/>
      <c r="H106" s="13"/>
      <c r="K106" s="44" t="s">
        <v>59</v>
      </c>
      <c r="L106" s="50">
        <v>0.64</v>
      </c>
      <c r="M106" s="51">
        <v>0.33</v>
      </c>
      <c r="N106" s="41"/>
      <c r="O106" s="42" t="s">
        <v>63</v>
      </c>
      <c r="P106" s="52" t="str">
        <f>IF(F74="","",F74)</f>
        <v/>
      </c>
      <c r="Q106" s="53" t="str">
        <f>IF(G74="","",G74)</f>
        <v/>
      </c>
    </row>
    <row r="107" spans="1:17" ht="16.8" thickBot="1" x14ac:dyDescent="0.35">
      <c r="A107" s="7">
        <v>82</v>
      </c>
      <c r="B107" s="11"/>
      <c r="C107" s="11"/>
      <c r="D107" s="11"/>
      <c r="E107" s="8">
        <v>214</v>
      </c>
      <c r="F107" s="11"/>
      <c r="G107" s="11"/>
      <c r="H107" s="13"/>
      <c r="K107" s="44" t="s">
        <v>60</v>
      </c>
      <c r="L107" s="50">
        <v>0.3</v>
      </c>
      <c r="M107" s="51">
        <v>0.6</v>
      </c>
      <c r="N107" s="41"/>
      <c r="O107" s="42" t="s">
        <v>64</v>
      </c>
      <c r="P107" s="52" t="str">
        <f>IF(F93="","",F93)</f>
        <v/>
      </c>
      <c r="Q107" s="53" t="str">
        <f>IF(G93="","",G93)</f>
        <v/>
      </c>
    </row>
    <row r="108" spans="1:17" ht="16.8" thickBot="1" x14ac:dyDescent="0.35">
      <c r="A108" s="7">
        <v>90</v>
      </c>
      <c r="B108" s="11"/>
      <c r="C108" s="11"/>
      <c r="D108" s="11"/>
      <c r="E108" s="8">
        <v>222</v>
      </c>
      <c r="F108" s="11"/>
      <c r="G108" s="11"/>
      <c r="H108" s="13"/>
      <c r="K108" s="44" t="s">
        <v>61</v>
      </c>
      <c r="L108" s="50">
        <v>0.15</v>
      </c>
      <c r="M108" s="51">
        <v>0.06</v>
      </c>
      <c r="N108" s="41"/>
      <c r="O108" s="42" t="s">
        <v>65</v>
      </c>
      <c r="P108" s="52" t="str">
        <f>IF(F112="","",F112)</f>
        <v/>
      </c>
      <c r="Q108" s="53" t="str">
        <f>IF(G112="","",G112)</f>
        <v/>
      </c>
    </row>
    <row r="109" spans="1:17" ht="16.8" thickBot="1" x14ac:dyDescent="0.35">
      <c r="A109" s="7">
        <v>99</v>
      </c>
      <c r="B109" s="11"/>
      <c r="C109" s="11"/>
      <c r="D109" s="11"/>
      <c r="E109" s="8">
        <v>230</v>
      </c>
      <c r="F109" s="11"/>
      <c r="G109" s="11"/>
      <c r="H109" s="13"/>
      <c r="K109" s="45" t="s">
        <v>66</v>
      </c>
      <c r="L109" s="46">
        <v>0.313</v>
      </c>
      <c r="M109" s="47">
        <v>0.32900000000000001</v>
      </c>
      <c r="N109" s="41"/>
      <c r="O109" s="43" t="s">
        <v>67</v>
      </c>
      <c r="P109" s="48" t="str">
        <f>IF(F55="","",F55)</f>
        <v/>
      </c>
      <c r="Q109" s="49" t="str">
        <f>IF(G55="","",G55)</f>
        <v/>
      </c>
    </row>
    <row r="110" spans="1:17" ht="16.8" thickBot="1" x14ac:dyDescent="0.35">
      <c r="A110" s="7">
        <v>107</v>
      </c>
      <c r="B110" s="11"/>
      <c r="C110" s="11"/>
      <c r="D110" s="11"/>
      <c r="E110" s="8">
        <v>239</v>
      </c>
      <c r="F110" s="11"/>
      <c r="G110" s="11"/>
      <c r="H110" s="13"/>
    </row>
    <row r="111" spans="1:17" ht="16.8" thickBot="1" x14ac:dyDescent="0.35">
      <c r="A111" s="7">
        <v>115</v>
      </c>
      <c r="B111" s="11"/>
      <c r="C111" s="11"/>
      <c r="D111" s="11"/>
      <c r="E111" s="8">
        <v>247</v>
      </c>
      <c r="F111" s="11"/>
      <c r="G111" s="11"/>
      <c r="H111" s="13"/>
    </row>
    <row r="112" spans="1:17" ht="16.8" thickBot="1" x14ac:dyDescent="0.35">
      <c r="A112" s="9">
        <v>123</v>
      </c>
      <c r="B112" s="12"/>
      <c r="C112" s="12"/>
      <c r="D112" s="12"/>
      <c r="E112" s="10">
        <v>255</v>
      </c>
      <c r="F112" s="12"/>
      <c r="G112" s="12"/>
      <c r="H112" s="14"/>
    </row>
    <row r="113" ht="16.8" thickTop="1" x14ac:dyDescent="0.3"/>
  </sheetData>
  <mergeCells count="63">
    <mergeCell ref="K105:M105"/>
    <mergeCell ref="O105:Q105"/>
    <mergeCell ref="A3:B3"/>
    <mergeCell ref="C3:D3"/>
    <mergeCell ref="F3:H3"/>
    <mergeCell ref="K38:R38"/>
    <mergeCell ref="A38:H38"/>
    <mergeCell ref="A16:B16"/>
    <mergeCell ref="C16:D16"/>
    <mergeCell ref="E16:F16"/>
    <mergeCell ref="G16:H16"/>
    <mergeCell ref="A17:B17"/>
    <mergeCell ref="C17:D17"/>
    <mergeCell ref="E17:F17"/>
    <mergeCell ref="G17:H17"/>
    <mergeCell ref="A15:B15"/>
    <mergeCell ref="A19:H19"/>
    <mergeCell ref="A13:B13"/>
    <mergeCell ref="C13:D13"/>
    <mergeCell ref="E13:F13"/>
    <mergeCell ref="G13:H13"/>
    <mergeCell ref="A14:B14"/>
    <mergeCell ref="C14:D14"/>
    <mergeCell ref="E14:F14"/>
    <mergeCell ref="G14:H14"/>
    <mergeCell ref="A12:B12"/>
    <mergeCell ref="C12:D12"/>
    <mergeCell ref="E12:F12"/>
    <mergeCell ref="G12:H12"/>
    <mergeCell ref="C15:D15"/>
    <mergeCell ref="E15:F15"/>
    <mergeCell ref="G15:H15"/>
    <mergeCell ref="A10:B10"/>
    <mergeCell ref="C10:D10"/>
    <mergeCell ref="E10:F10"/>
    <mergeCell ref="G10:H10"/>
    <mergeCell ref="A11:B11"/>
    <mergeCell ref="C11:D11"/>
    <mergeCell ref="E11:F11"/>
    <mergeCell ref="G11:H11"/>
    <mergeCell ref="C8:D8"/>
    <mergeCell ref="E8:F8"/>
    <mergeCell ref="G8:H8"/>
    <mergeCell ref="A9:B9"/>
    <mergeCell ref="C9:D9"/>
    <mergeCell ref="E9:F9"/>
    <mergeCell ref="G9:H9"/>
    <mergeCell ref="A5:H5"/>
    <mergeCell ref="A57:H57"/>
    <mergeCell ref="A76:H76"/>
    <mergeCell ref="A95:H95"/>
    <mergeCell ref="A1:H1"/>
    <mergeCell ref="A2:D2"/>
    <mergeCell ref="E2:H2"/>
    <mergeCell ref="A6:B6"/>
    <mergeCell ref="C6:D6"/>
    <mergeCell ref="E6:F6"/>
    <mergeCell ref="G6:H6"/>
    <mergeCell ref="A7:B7"/>
    <mergeCell ref="C7:D7"/>
    <mergeCell ref="E7:F7"/>
    <mergeCell ref="G7:H7"/>
    <mergeCell ref="A8:B8"/>
  </mergeCells>
  <phoneticPr fontId="6" type="noConversion"/>
  <conditionalFormatting sqref="G11:H11">
    <cfRule type="containsText" priority="2" operator="containsText" text="FAILED">
      <formula>NOT(ISERROR(SEARCH("FAILED",G11)))</formula>
    </cfRule>
    <cfRule type="containsText" dxfId="13" priority="3" operator="containsText" text="FAILED">
      <formula>NOT(ISERROR(SEARCH("FAILED",G11)))</formula>
    </cfRule>
  </conditionalFormatting>
  <conditionalFormatting sqref="G11:H17">
    <cfRule type="containsText" dxfId="12" priority="1" operator="containsText" text="FAILED">
      <formula>NOT(ISERROR(SEARCH("FAILED",G11)))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3"/>
  <sheetViews>
    <sheetView workbookViewId="0">
      <selection activeCell="F3" sqref="F3:H3"/>
    </sheetView>
  </sheetViews>
  <sheetFormatPr defaultRowHeight="16.2" x14ac:dyDescent="0.3"/>
  <sheetData>
    <row r="1" spans="1:8" ht="27" thickTop="1" thickBot="1" x14ac:dyDescent="0.35">
      <c r="A1" s="57" t="s">
        <v>32</v>
      </c>
      <c r="B1" s="96"/>
      <c r="C1" s="96"/>
      <c r="D1" s="96"/>
      <c r="E1" s="96"/>
      <c r="F1" s="96"/>
      <c r="G1" s="96"/>
      <c r="H1" s="97"/>
    </row>
    <row r="2" spans="1:8" ht="27" thickTop="1" thickBot="1" x14ac:dyDescent="0.35">
      <c r="A2" s="60" t="s">
        <v>1</v>
      </c>
      <c r="B2" s="61"/>
      <c r="C2" s="61"/>
      <c r="D2" s="61"/>
      <c r="E2" s="62" t="s">
        <v>2</v>
      </c>
      <c r="F2" s="63"/>
      <c r="G2" s="63"/>
      <c r="H2" s="64"/>
    </row>
    <row r="3" spans="1:8" ht="27" thickTop="1" thickBot="1" x14ac:dyDescent="0.35">
      <c r="A3" s="84" t="s">
        <v>56</v>
      </c>
      <c r="B3" s="85"/>
      <c r="C3" s="86" t="s">
        <v>57</v>
      </c>
      <c r="D3" s="87"/>
      <c r="E3" s="40" t="s">
        <v>53</v>
      </c>
      <c r="F3" s="86"/>
      <c r="G3" s="86"/>
      <c r="H3" s="88"/>
    </row>
    <row r="4" spans="1:8" ht="17.399999999999999" thickTop="1" thickBot="1" x14ac:dyDescent="0.35">
      <c r="A4" s="1"/>
      <c r="B4" s="2"/>
      <c r="C4" s="2"/>
      <c r="D4" s="2"/>
      <c r="E4" s="2"/>
      <c r="F4" s="2"/>
      <c r="G4" s="2"/>
      <c r="H4" s="3"/>
    </row>
    <row r="5" spans="1:8" ht="17.399999999999999" thickTop="1" thickBot="1" x14ac:dyDescent="0.35">
      <c r="A5" s="54" t="s">
        <v>3</v>
      </c>
      <c r="B5" s="55"/>
      <c r="C5" s="55"/>
      <c r="D5" s="55"/>
      <c r="E5" s="55"/>
      <c r="F5" s="55"/>
      <c r="G5" s="55"/>
      <c r="H5" s="56"/>
    </row>
    <row r="6" spans="1:8" ht="17.399999999999999" thickTop="1" thickBot="1" x14ac:dyDescent="0.35">
      <c r="A6" s="65" t="s">
        <v>4</v>
      </c>
      <c r="B6" s="66"/>
      <c r="C6" s="67" t="s">
        <v>5</v>
      </c>
      <c r="D6" s="66"/>
      <c r="E6" s="67" t="s">
        <v>6</v>
      </c>
      <c r="F6" s="66"/>
      <c r="G6" s="67" t="s">
        <v>7</v>
      </c>
      <c r="H6" s="68"/>
    </row>
    <row r="7" spans="1:8" ht="16.8" thickBot="1" x14ac:dyDescent="0.35">
      <c r="A7" s="69" t="s">
        <v>8</v>
      </c>
      <c r="B7" s="70"/>
      <c r="C7" s="71"/>
      <c r="D7" s="72"/>
      <c r="E7" s="73"/>
      <c r="F7" s="74"/>
      <c r="G7" s="71"/>
      <c r="H7" s="75"/>
    </row>
    <row r="8" spans="1:8" ht="16.8" thickBot="1" x14ac:dyDescent="0.35">
      <c r="A8" s="69" t="s">
        <v>9</v>
      </c>
      <c r="B8" s="70"/>
      <c r="C8" s="76" t="s">
        <v>32</v>
      </c>
      <c r="D8" s="70"/>
      <c r="E8" s="73"/>
      <c r="F8" s="74"/>
      <c r="G8" s="71"/>
      <c r="H8" s="75"/>
    </row>
    <row r="9" spans="1:8" ht="16.8" thickBot="1" x14ac:dyDescent="0.35">
      <c r="A9" s="69" t="s">
        <v>10</v>
      </c>
      <c r="B9" s="70"/>
      <c r="C9" s="71"/>
      <c r="D9" s="72"/>
      <c r="E9" s="73" t="str">
        <f>IF(H55="","",H55)</f>
        <v/>
      </c>
      <c r="F9" s="74"/>
      <c r="G9" s="71"/>
      <c r="H9" s="75"/>
    </row>
    <row r="10" spans="1:8" ht="16.8" thickBot="1" x14ac:dyDescent="0.35">
      <c r="A10" s="69" t="s">
        <v>11</v>
      </c>
      <c r="B10" s="70"/>
      <c r="C10" s="71"/>
      <c r="D10" s="72"/>
      <c r="E10" s="73" t="str">
        <f>IF(D40="","",D40)</f>
        <v/>
      </c>
      <c r="F10" s="74"/>
      <c r="G10" s="71"/>
      <c r="H10" s="75"/>
    </row>
    <row r="11" spans="1:8" ht="16.8" thickBot="1" x14ac:dyDescent="0.35">
      <c r="A11" s="69" t="s">
        <v>12</v>
      </c>
      <c r="B11" s="70"/>
      <c r="C11" s="71"/>
      <c r="D11" s="72"/>
      <c r="E11" s="73" t="str">
        <f>IF(OR(E9="",E10=""),"",E9/E10)</f>
        <v/>
      </c>
      <c r="F11" s="74"/>
      <c r="G11" s="73" t="str">
        <f>IF(E11="","",IF(AND(E11&gt;=1000),"PASS","FAILED"))</f>
        <v/>
      </c>
      <c r="H11" s="77"/>
    </row>
    <row r="12" spans="1:8" ht="16.8" thickBot="1" x14ac:dyDescent="0.35">
      <c r="A12" s="69" t="s">
        <v>13</v>
      </c>
      <c r="B12" s="70"/>
      <c r="C12" s="71"/>
      <c r="D12" s="72"/>
      <c r="E12" s="73" t="str">
        <f>IF(H55="","",(-437)*POWER((F55-0.332)/(G55-0.1858),3)+3601*POWER((F55-0.332)/(G55-0.1858),2)-6831*((F55-0.332)/(G55-0.1858))+5517)</f>
        <v/>
      </c>
      <c r="F12" s="74"/>
      <c r="G12" s="73" t="str">
        <f>IF(E12="","",IF(AND(AND(F55&gt;=0.263,F55&lt;=0.363),AND(G55&gt;=0.279,G55&lt;=0.379)),"PASS","FAILED"))</f>
        <v/>
      </c>
      <c r="H12" s="77"/>
    </row>
    <row r="13" spans="1:8" ht="16.8" thickBot="1" x14ac:dyDescent="0.35">
      <c r="A13" s="69" t="s">
        <v>14</v>
      </c>
      <c r="B13" s="70"/>
      <c r="C13" s="76" t="s">
        <v>15</v>
      </c>
      <c r="D13" s="70"/>
      <c r="E13" s="73"/>
      <c r="F13" s="74"/>
      <c r="G13" s="73" t="str">
        <f>IF(E13="","",IF(AND(E13&lt;=5),"PASS","FAILED"))</f>
        <v/>
      </c>
      <c r="H13" s="77"/>
    </row>
    <row r="14" spans="1:8" ht="16.8" thickBot="1" x14ac:dyDescent="0.35">
      <c r="A14" s="69" t="s">
        <v>16</v>
      </c>
      <c r="B14" s="70"/>
      <c r="C14" s="76" t="s">
        <v>17</v>
      </c>
      <c r="D14" s="70"/>
      <c r="E14" s="73"/>
      <c r="F14" s="74"/>
      <c r="G14" s="73" t="str">
        <f>IF(E14="","",IF(AND(E14&lt;=7),"PASS","FAILED"))</f>
        <v/>
      </c>
      <c r="H14" s="77"/>
    </row>
    <row r="15" spans="1:8" ht="16.8" thickBot="1" x14ac:dyDescent="0.35">
      <c r="A15" s="69" t="s">
        <v>18</v>
      </c>
      <c r="B15" s="70"/>
      <c r="C15" s="76" t="s">
        <v>19</v>
      </c>
      <c r="D15" s="70"/>
      <c r="E15" s="73"/>
      <c r="F15" s="74"/>
      <c r="G15" s="73" t="str">
        <f>IF(E15="","",IF(AND(E15&lt;=2),"PASS","FAILED"))</f>
        <v/>
      </c>
      <c r="H15" s="77"/>
    </row>
    <row r="16" spans="1:8" ht="16.8" thickBot="1" x14ac:dyDescent="0.35">
      <c r="A16" s="69" t="s">
        <v>20</v>
      </c>
      <c r="B16" s="70"/>
      <c r="C16" s="76" t="s">
        <v>15</v>
      </c>
      <c r="D16" s="70"/>
      <c r="E16" s="73"/>
      <c r="F16" s="74"/>
      <c r="G16" s="73" t="str">
        <f>IF(E16="","",IF(AND(E16&lt;=5),"PASS","FAILED"))</f>
        <v/>
      </c>
      <c r="H16" s="77"/>
    </row>
    <row r="17" spans="1:8" ht="16.8" thickBot="1" x14ac:dyDescent="0.35">
      <c r="A17" s="89" t="s">
        <v>21</v>
      </c>
      <c r="B17" s="90"/>
      <c r="C17" s="91"/>
      <c r="D17" s="92"/>
      <c r="E17" s="93"/>
      <c r="F17" s="94"/>
      <c r="G17" s="93" t="str">
        <f>IF(E17="","",IF(AND(E17&gt;=2,E17&lt;=2.09),"PASS","FAILED"))</f>
        <v/>
      </c>
      <c r="H17" s="95"/>
    </row>
    <row r="18" spans="1:8" ht="17.399999999999999" thickTop="1" thickBot="1" x14ac:dyDescent="0.35">
      <c r="A18" s="1"/>
      <c r="B18" s="2"/>
      <c r="C18" s="2"/>
      <c r="D18" s="2"/>
      <c r="E18" s="2"/>
      <c r="F18" s="2"/>
      <c r="G18" s="2"/>
      <c r="H18" s="3"/>
    </row>
    <row r="19" spans="1:8" ht="17.399999999999999" thickTop="1" thickBot="1" x14ac:dyDescent="0.35">
      <c r="A19" s="54" t="s">
        <v>22</v>
      </c>
      <c r="B19" s="55"/>
      <c r="C19" s="55"/>
      <c r="D19" s="55"/>
      <c r="E19" s="55"/>
      <c r="F19" s="55"/>
      <c r="G19" s="55"/>
      <c r="H19" s="56"/>
    </row>
    <row r="20" spans="1:8" ht="17.399999999999999" thickTop="1" thickBot="1" x14ac:dyDescent="0.35">
      <c r="A20" s="4" t="s">
        <v>23</v>
      </c>
      <c r="B20" s="5" t="s">
        <v>24</v>
      </c>
      <c r="C20" s="5" t="s">
        <v>25</v>
      </c>
      <c r="D20" s="5" t="s">
        <v>26</v>
      </c>
      <c r="E20" s="5" t="s">
        <v>23</v>
      </c>
      <c r="F20" s="5" t="s">
        <v>24</v>
      </c>
      <c r="G20" s="5" t="s">
        <v>25</v>
      </c>
      <c r="H20" s="6" t="s">
        <v>26</v>
      </c>
    </row>
    <row r="21" spans="1:8" ht="16.8" thickBot="1" x14ac:dyDescent="0.35">
      <c r="A21" s="7">
        <v>0</v>
      </c>
      <c r="B21" s="31"/>
      <c r="C21" s="32"/>
      <c r="D21" s="11"/>
      <c r="E21" s="8">
        <v>132</v>
      </c>
      <c r="F21" s="31"/>
      <c r="G21" s="32"/>
      <c r="H21" s="13"/>
    </row>
    <row r="22" spans="1:8" ht="16.8" thickBot="1" x14ac:dyDescent="0.35">
      <c r="A22" s="7">
        <v>8</v>
      </c>
      <c r="B22" s="33"/>
      <c r="C22" s="34"/>
      <c r="D22" s="11"/>
      <c r="E22" s="8">
        <v>140</v>
      </c>
      <c r="F22" s="33"/>
      <c r="G22" s="34"/>
      <c r="H22" s="13"/>
    </row>
    <row r="23" spans="1:8" ht="16.8" thickBot="1" x14ac:dyDescent="0.35">
      <c r="A23" s="7">
        <v>16</v>
      </c>
      <c r="B23" s="33"/>
      <c r="C23" s="34"/>
      <c r="D23" s="11"/>
      <c r="E23" s="8">
        <v>148</v>
      </c>
      <c r="F23" s="33"/>
      <c r="G23" s="34"/>
      <c r="H23" s="13"/>
    </row>
    <row r="24" spans="1:8" ht="16.8" thickBot="1" x14ac:dyDescent="0.35">
      <c r="A24" s="7">
        <v>25</v>
      </c>
      <c r="B24" s="33"/>
      <c r="C24" s="34"/>
      <c r="D24" s="11"/>
      <c r="E24" s="8">
        <v>156</v>
      </c>
      <c r="F24" s="33"/>
      <c r="G24" s="34"/>
      <c r="H24" s="13"/>
    </row>
    <row r="25" spans="1:8" ht="16.8" thickBot="1" x14ac:dyDescent="0.35">
      <c r="A25" s="7">
        <v>33</v>
      </c>
      <c r="B25" s="33"/>
      <c r="C25" s="34"/>
      <c r="D25" s="11"/>
      <c r="E25" s="8">
        <v>165</v>
      </c>
      <c r="F25" s="33"/>
      <c r="G25" s="34"/>
      <c r="H25" s="13"/>
    </row>
    <row r="26" spans="1:8" ht="16.8" thickBot="1" x14ac:dyDescent="0.35">
      <c r="A26" s="7">
        <v>41</v>
      </c>
      <c r="B26" s="33"/>
      <c r="C26" s="34"/>
      <c r="D26" s="11"/>
      <c r="E26" s="8">
        <v>173</v>
      </c>
      <c r="F26" s="33"/>
      <c r="G26" s="34"/>
      <c r="H26" s="13"/>
    </row>
    <row r="27" spans="1:8" ht="16.8" thickBot="1" x14ac:dyDescent="0.35">
      <c r="A27" s="7">
        <v>49</v>
      </c>
      <c r="B27" s="33"/>
      <c r="C27" s="34"/>
      <c r="D27" s="11"/>
      <c r="E27" s="8">
        <v>181</v>
      </c>
      <c r="F27" s="33"/>
      <c r="G27" s="34"/>
      <c r="H27" s="13"/>
    </row>
    <row r="28" spans="1:8" ht="16.8" thickBot="1" x14ac:dyDescent="0.35">
      <c r="A28" s="7">
        <v>58</v>
      </c>
      <c r="B28" s="33"/>
      <c r="C28" s="34"/>
      <c r="D28" s="11"/>
      <c r="E28" s="8">
        <v>189</v>
      </c>
      <c r="F28" s="33"/>
      <c r="G28" s="34"/>
      <c r="H28" s="13"/>
    </row>
    <row r="29" spans="1:8" ht="16.8" thickBot="1" x14ac:dyDescent="0.35">
      <c r="A29" s="7">
        <v>66</v>
      </c>
      <c r="B29" s="33"/>
      <c r="C29" s="34"/>
      <c r="D29" s="11"/>
      <c r="E29" s="8">
        <v>197</v>
      </c>
      <c r="F29" s="33"/>
      <c r="G29" s="34"/>
      <c r="H29" s="13"/>
    </row>
    <row r="30" spans="1:8" ht="16.8" thickBot="1" x14ac:dyDescent="0.35">
      <c r="A30" s="7">
        <v>74</v>
      </c>
      <c r="B30" s="33"/>
      <c r="C30" s="34"/>
      <c r="D30" s="11"/>
      <c r="E30" s="8">
        <v>206</v>
      </c>
      <c r="F30" s="33"/>
      <c r="G30" s="34"/>
      <c r="H30" s="13"/>
    </row>
    <row r="31" spans="1:8" ht="16.8" thickBot="1" x14ac:dyDescent="0.35">
      <c r="A31" s="7">
        <v>82</v>
      </c>
      <c r="B31" s="33"/>
      <c r="C31" s="34"/>
      <c r="D31" s="11"/>
      <c r="E31" s="8">
        <v>214</v>
      </c>
      <c r="F31" s="33"/>
      <c r="G31" s="34"/>
      <c r="H31" s="13"/>
    </row>
    <row r="32" spans="1:8" ht="16.8" thickBot="1" x14ac:dyDescent="0.35">
      <c r="A32" s="7">
        <v>90</v>
      </c>
      <c r="B32" s="33"/>
      <c r="C32" s="34"/>
      <c r="D32" s="11"/>
      <c r="E32" s="8">
        <v>222</v>
      </c>
      <c r="F32" s="33"/>
      <c r="G32" s="34"/>
      <c r="H32" s="13"/>
    </row>
    <row r="33" spans="1:18" ht="16.8" thickBot="1" x14ac:dyDescent="0.35">
      <c r="A33" s="7">
        <v>99</v>
      </c>
      <c r="B33" s="33"/>
      <c r="C33" s="34"/>
      <c r="D33" s="11"/>
      <c r="E33" s="8">
        <v>230</v>
      </c>
      <c r="F33" s="33"/>
      <c r="G33" s="34"/>
      <c r="H33" s="13"/>
    </row>
    <row r="34" spans="1:18" ht="16.8" thickBot="1" x14ac:dyDescent="0.35">
      <c r="A34" s="7">
        <v>107</v>
      </c>
      <c r="B34" s="33"/>
      <c r="C34" s="34"/>
      <c r="D34" s="11"/>
      <c r="E34" s="8">
        <v>239</v>
      </c>
      <c r="F34" s="33"/>
      <c r="G34" s="34"/>
      <c r="H34" s="13"/>
    </row>
    <row r="35" spans="1:18" ht="16.8" thickBot="1" x14ac:dyDescent="0.35">
      <c r="A35" s="7">
        <v>115</v>
      </c>
      <c r="B35" s="33"/>
      <c r="C35" s="34"/>
      <c r="D35" s="11"/>
      <c r="E35" s="8">
        <v>247</v>
      </c>
      <c r="F35" s="33"/>
      <c r="G35" s="34"/>
      <c r="H35" s="13"/>
    </row>
    <row r="36" spans="1:18" ht="16.8" thickBot="1" x14ac:dyDescent="0.35">
      <c r="A36" s="9">
        <v>123</v>
      </c>
      <c r="B36" s="35"/>
      <c r="C36" s="36"/>
      <c r="D36" s="12"/>
      <c r="E36" s="10">
        <v>255</v>
      </c>
      <c r="F36" s="35"/>
      <c r="G36" s="36"/>
      <c r="H36" s="14"/>
    </row>
    <row r="37" spans="1:18" ht="17.399999999999999" thickTop="1" thickBot="1" x14ac:dyDescent="0.35"/>
    <row r="38" spans="1:18" ht="17.399999999999999" thickTop="1" thickBot="1" x14ac:dyDescent="0.35">
      <c r="A38" s="54" t="s">
        <v>27</v>
      </c>
      <c r="B38" s="55"/>
      <c r="C38" s="55"/>
      <c r="D38" s="55"/>
      <c r="E38" s="55"/>
      <c r="F38" s="55"/>
      <c r="G38" s="55"/>
      <c r="H38" s="56"/>
      <c r="K38" s="54" t="s">
        <v>28</v>
      </c>
      <c r="L38" s="55"/>
      <c r="M38" s="55"/>
      <c r="N38" s="55"/>
      <c r="O38" s="55"/>
      <c r="P38" s="55"/>
      <c r="Q38" s="55"/>
      <c r="R38" s="56"/>
    </row>
    <row r="39" spans="1:18" ht="17.399999999999999" thickTop="1" thickBot="1" x14ac:dyDescent="0.35">
      <c r="A39" s="4" t="s">
        <v>23</v>
      </c>
      <c r="B39" s="5" t="s">
        <v>24</v>
      </c>
      <c r="C39" s="5" t="s">
        <v>25</v>
      </c>
      <c r="D39" s="5" t="s">
        <v>26</v>
      </c>
      <c r="E39" s="5" t="s">
        <v>23</v>
      </c>
      <c r="F39" s="5" t="s">
        <v>24</v>
      </c>
      <c r="G39" s="5" t="s">
        <v>25</v>
      </c>
      <c r="H39" s="6" t="s">
        <v>26</v>
      </c>
      <c r="K39" s="4" t="s">
        <v>23</v>
      </c>
      <c r="L39" s="5" t="s">
        <v>24</v>
      </c>
      <c r="M39" s="5" t="s">
        <v>25</v>
      </c>
      <c r="N39" s="5" t="s">
        <v>26</v>
      </c>
      <c r="O39" s="5" t="s">
        <v>23</v>
      </c>
      <c r="P39" s="5" t="s">
        <v>24</v>
      </c>
      <c r="Q39" s="5" t="s">
        <v>25</v>
      </c>
      <c r="R39" s="6" t="s">
        <v>26</v>
      </c>
    </row>
    <row r="40" spans="1:18" ht="16.8" thickBot="1" x14ac:dyDescent="0.35">
      <c r="A40" s="7">
        <v>0</v>
      </c>
      <c r="B40" s="11"/>
      <c r="C40" s="11"/>
      <c r="D40" s="11"/>
      <c r="E40" s="8">
        <v>132</v>
      </c>
      <c r="F40" s="11"/>
      <c r="G40" s="11"/>
      <c r="H40" s="13"/>
      <c r="K40" s="7">
        <v>0</v>
      </c>
      <c r="L40" s="31"/>
      <c r="M40" s="32"/>
      <c r="N40" s="11"/>
      <c r="O40" s="8">
        <v>132</v>
      </c>
      <c r="P40" s="31"/>
      <c r="Q40" s="32"/>
      <c r="R40" s="13"/>
    </row>
    <row r="41" spans="1:18" ht="16.8" thickBot="1" x14ac:dyDescent="0.35">
      <c r="A41" s="7">
        <v>8</v>
      </c>
      <c r="B41" s="11"/>
      <c r="C41" s="11"/>
      <c r="D41" s="11"/>
      <c r="E41" s="8">
        <v>140</v>
      </c>
      <c r="F41" s="11"/>
      <c r="G41" s="11"/>
      <c r="H41" s="13"/>
      <c r="K41" s="7">
        <v>8</v>
      </c>
      <c r="L41" s="33"/>
      <c r="M41" s="34"/>
      <c r="N41" s="11"/>
      <c r="O41" s="8">
        <v>140</v>
      </c>
      <c r="P41" s="33"/>
      <c r="Q41" s="34"/>
      <c r="R41" s="13"/>
    </row>
    <row r="42" spans="1:18" ht="16.8" thickBot="1" x14ac:dyDescent="0.35">
      <c r="A42" s="7">
        <v>16</v>
      </c>
      <c r="B42" s="11"/>
      <c r="C42" s="11"/>
      <c r="D42" s="11"/>
      <c r="E42" s="8">
        <v>148</v>
      </c>
      <c r="F42" s="11"/>
      <c r="G42" s="11"/>
      <c r="H42" s="13"/>
      <c r="K42" s="7">
        <v>16</v>
      </c>
      <c r="L42" s="33"/>
      <c r="M42" s="34"/>
      <c r="N42" s="11"/>
      <c r="O42" s="8">
        <v>148</v>
      </c>
      <c r="P42" s="33"/>
      <c r="Q42" s="34"/>
      <c r="R42" s="13"/>
    </row>
    <row r="43" spans="1:18" ht="16.8" thickBot="1" x14ac:dyDescent="0.35">
      <c r="A43" s="7">
        <v>25</v>
      </c>
      <c r="B43" s="11"/>
      <c r="C43" s="11"/>
      <c r="D43" s="11"/>
      <c r="E43" s="8">
        <v>156</v>
      </c>
      <c r="F43" s="11"/>
      <c r="G43" s="11"/>
      <c r="H43" s="13"/>
      <c r="K43" s="7">
        <v>25</v>
      </c>
      <c r="L43" s="33"/>
      <c r="M43" s="34"/>
      <c r="N43" s="11"/>
      <c r="O43" s="8">
        <v>156</v>
      </c>
      <c r="P43" s="33"/>
      <c r="Q43" s="34"/>
      <c r="R43" s="13"/>
    </row>
    <row r="44" spans="1:18" ht="16.8" thickBot="1" x14ac:dyDescent="0.35">
      <c r="A44" s="7">
        <v>33</v>
      </c>
      <c r="B44" s="11"/>
      <c r="C44" s="11"/>
      <c r="D44" s="11"/>
      <c r="E44" s="8">
        <v>165</v>
      </c>
      <c r="F44" s="11"/>
      <c r="G44" s="11"/>
      <c r="H44" s="13"/>
      <c r="K44" s="7">
        <v>33</v>
      </c>
      <c r="L44" s="33"/>
      <c r="M44" s="34"/>
      <c r="N44" s="11"/>
      <c r="O44" s="8">
        <v>165</v>
      </c>
      <c r="P44" s="33"/>
      <c r="Q44" s="34"/>
      <c r="R44" s="13"/>
    </row>
    <row r="45" spans="1:18" ht="16.8" thickBot="1" x14ac:dyDescent="0.35">
      <c r="A45" s="7">
        <v>41</v>
      </c>
      <c r="B45" s="11"/>
      <c r="C45" s="11"/>
      <c r="D45" s="11"/>
      <c r="E45" s="8">
        <v>173</v>
      </c>
      <c r="F45" s="11"/>
      <c r="G45" s="11"/>
      <c r="H45" s="13"/>
      <c r="K45" s="7">
        <v>41</v>
      </c>
      <c r="L45" s="33"/>
      <c r="M45" s="34"/>
      <c r="N45" s="11"/>
      <c r="O45" s="8">
        <v>173</v>
      </c>
      <c r="P45" s="33"/>
      <c r="Q45" s="34"/>
      <c r="R45" s="13"/>
    </row>
    <row r="46" spans="1:18" ht="16.8" thickBot="1" x14ac:dyDescent="0.35">
      <c r="A46" s="7">
        <v>49</v>
      </c>
      <c r="B46" s="11"/>
      <c r="C46" s="11"/>
      <c r="D46" s="11"/>
      <c r="E46" s="8">
        <v>181</v>
      </c>
      <c r="F46" s="11"/>
      <c r="G46" s="11"/>
      <c r="H46" s="13"/>
      <c r="K46" s="7">
        <v>49</v>
      </c>
      <c r="L46" s="33"/>
      <c r="M46" s="34"/>
      <c r="N46" s="11"/>
      <c r="O46" s="8">
        <v>181</v>
      </c>
      <c r="P46" s="33"/>
      <c r="Q46" s="34"/>
      <c r="R46" s="13"/>
    </row>
    <row r="47" spans="1:18" ht="16.8" thickBot="1" x14ac:dyDescent="0.35">
      <c r="A47" s="7">
        <v>58</v>
      </c>
      <c r="B47" s="11"/>
      <c r="C47" s="11"/>
      <c r="D47" s="11"/>
      <c r="E47" s="8">
        <v>189</v>
      </c>
      <c r="F47" s="11"/>
      <c r="G47" s="11"/>
      <c r="H47" s="13"/>
      <c r="K47" s="7">
        <v>58</v>
      </c>
      <c r="L47" s="33"/>
      <c r="M47" s="34"/>
      <c r="N47" s="11"/>
      <c r="O47" s="8">
        <v>189</v>
      </c>
      <c r="P47" s="33"/>
      <c r="Q47" s="34"/>
      <c r="R47" s="13"/>
    </row>
    <row r="48" spans="1:18" ht="16.8" thickBot="1" x14ac:dyDescent="0.35">
      <c r="A48" s="7">
        <v>66</v>
      </c>
      <c r="B48" s="11"/>
      <c r="C48" s="11"/>
      <c r="D48" s="11"/>
      <c r="E48" s="8">
        <v>197</v>
      </c>
      <c r="F48" s="11"/>
      <c r="G48" s="11"/>
      <c r="H48" s="13"/>
      <c r="K48" s="7">
        <v>66</v>
      </c>
      <c r="L48" s="33"/>
      <c r="M48" s="34"/>
      <c r="N48" s="11"/>
      <c r="O48" s="8">
        <v>197</v>
      </c>
      <c r="P48" s="33"/>
      <c r="Q48" s="34"/>
      <c r="R48" s="13"/>
    </row>
    <row r="49" spans="1:18" ht="16.8" thickBot="1" x14ac:dyDescent="0.35">
      <c r="A49" s="7">
        <v>74</v>
      </c>
      <c r="B49" s="11"/>
      <c r="C49" s="11"/>
      <c r="D49" s="11"/>
      <c r="E49" s="8">
        <v>206</v>
      </c>
      <c r="F49" s="11"/>
      <c r="G49" s="11"/>
      <c r="H49" s="13"/>
      <c r="K49" s="7">
        <v>74</v>
      </c>
      <c r="L49" s="33"/>
      <c r="M49" s="34"/>
      <c r="N49" s="11"/>
      <c r="O49" s="8">
        <v>206</v>
      </c>
      <c r="P49" s="33"/>
      <c r="Q49" s="34"/>
      <c r="R49" s="13"/>
    </row>
    <row r="50" spans="1:18" ht="16.8" thickBot="1" x14ac:dyDescent="0.35">
      <c r="A50" s="7">
        <v>82</v>
      </c>
      <c r="B50" s="11"/>
      <c r="C50" s="11"/>
      <c r="D50" s="11"/>
      <c r="E50" s="8">
        <v>214</v>
      </c>
      <c r="F50" s="11"/>
      <c r="G50" s="11"/>
      <c r="H50" s="13"/>
      <c r="K50" s="7">
        <v>82</v>
      </c>
      <c r="L50" s="33"/>
      <c r="M50" s="34"/>
      <c r="N50" s="11"/>
      <c r="O50" s="8">
        <v>214</v>
      </c>
      <c r="P50" s="33"/>
      <c r="Q50" s="34"/>
      <c r="R50" s="13"/>
    </row>
    <row r="51" spans="1:18" ht="16.8" thickBot="1" x14ac:dyDescent="0.35">
      <c r="A51" s="7">
        <v>90</v>
      </c>
      <c r="B51" s="11"/>
      <c r="C51" s="11"/>
      <c r="D51" s="11"/>
      <c r="E51" s="8">
        <v>222</v>
      </c>
      <c r="F51" s="11"/>
      <c r="G51" s="11"/>
      <c r="H51" s="13"/>
      <c r="K51" s="7">
        <v>90</v>
      </c>
      <c r="L51" s="33"/>
      <c r="M51" s="34"/>
      <c r="N51" s="11"/>
      <c r="O51" s="8">
        <v>222</v>
      </c>
      <c r="P51" s="33"/>
      <c r="Q51" s="34"/>
      <c r="R51" s="13"/>
    </row>
    <row r="52" spans="1:18" ht="16.8" thickBot="1" x14ac:dyDescent="0.35">
      <c r="A52" s="7">
        <v>99</v>
      </c>
      <c r="B52" s="11"/>
      <c r="C52" s="11"/>
      <c r="D52" s="11"/>
      <c r="E52" s="8">
        <v>230</v>
      </c>
      <c r="F52" s="11"/>
      <c r="G52" s="11"/>
      <c r="H52" s="13"/>
      <c r="K52" s="7">
        <v>99</v>
      </c>
      <c r="L52" s="33"/>
      <c r="M52" s="34"/>
      <c r="N52" s="11"/>
      <c r="O52" s="8">
        <v>230</v>
      </c>
      <c r="P52" s="33"/>
      <c r="Q52" s="34"/>
      <c r="R52" s="13"/>
    </row>
    <row r="53" spans="1:18" ht="16.8" thickBot="1" x14ac:dyDescent="0.35">
      <c r="A53" s="7">
        <v>107</v>
      </c>
      <c r="B53" s="11"/>
      <c r="C53" s="11"/>
      <c r="D53" s="11"/>
      <c r="E53" s="8">
        <v>239</v>
      </c>
      <c r="F53" s="11"/>
      <c r="G53" s="11"/>
      <c r="H53" s="13"/>
      <c r="K53" s="7">
        <v>107</v>
      </c>
      <c r="L53" s="33"/>
      <c r="M53" s="34"/>
      <c r="N53" s="11"/>
      <c r="O53" s="8">
        <v>239</v>
      </c>
      <c r="P53" s="33"/>
      <c r="Q53" s="34"/>
      <c r="R53" s="13"/>
    </row>
    <row r="54" spans="1:18" ht="16.8" thickBot="1" x14ac:dyDescent="0.35">
      <c r="A54" s="7">
        <v>115</v>
      </c>
      <c r="B54" s="11"/>
      <c r="C54" s="11"/>
      <c r="D54" s="11"/>
      <c r="E54" s="8">
        <v>247</v>
      </c>
      <c r="F54" s="11"/>
      <c r="G54" s="11"/>
      <c r="H54" s="13"/>
      <c r="K54" s="7">
        <v>115</v>
      </c>
      <c r="L54" s="33"/>
      <c r="M54" s="34"/>
      <c r="N54" s="11"/>
      <c r="O54" s="8">
        <v>247</v>
      </c>
      <c r="P54" s="33"/>
      <c r="Q54" s="34"/>
      <c r="R54" s="13"/>
    </row>
    <row r="55" spans="1:18" ht="16.8" thickBot="1" x14ac:dyDescent="0.35">
      <c r="A55" s="9">
        <v>123</v>
      </c>
      <c r="B55" s="12"/>
      <c r="C55" s="12"/>
      <c r="D55" s="12"/>
      <c r="E55" s="10">
        <v>255</v>
      </c>
      <c r="F55" s="12"/>
      <c r="G55" s="12"/>
      <c r="H55" s="14"/>
      <c r="K55" s="9">
        <v>123</v>
      </c>
      <c r="L55" s="35"/>
      <c r="M55" s="36"/>
      <c r="N55" s="12"/>
      <c r="O55" s="10">
        <v>255</v>
      </c>
      <c r="P55" s="35"/>
      <c r="Q55" s="36"/>
      <c r="R55" s="14"/>
    </row>
    <row r="56" spans="1:18" ht="17.399999999999999" thickTop="1" thickBot="1" x14ac:dyDescent="0.35"/>
    <row r="57" spans="1:18" ht="17.399999999999999" thickTop="1" thickBot="1" x14ac:dyDescent="0.35">
      <c r="A57" s="54" t="s">
        <v>29</v>
      </c>
      <c r="B57" s="55"/>
      <c r="C57" s="55"/>
      <c r="D57" s="55"/>
      <c r="E57" s="55"/>
      <c r="F57" s="55"/>
      <c r="G57" s="55"/>
      <c r="H57" s="56"/>
    </row>
    <row r="58" spans="1:18" ht="17.399999999999999" thickTop="1" thickBot="1" x14ac:dyDescent="0.35">
      <c r="A58" s="4" t="s">
        <v>23</v>
      </c>
      <c r="B58" s="5" t="s">
        <v>24</v>
      </c>
      <c r="C58" s="5" t="s">
        <v>25</v>
      </c>
      <c r="D58" s="5" t="s">
        <v>26</v>
      </c>
      <c r="E58" s="5" t="s">
        <v>23</v>
      </c>
      <c r="F58" s="5" t="s">
        <v>24</v>
      </c>
      <c r="G58" s="5" t="s">
        <v>25</v>
      </c>
      <c r="H58" s="6" t="s">
        <v>26</v>
      </c>
    </row>
    <row r="59" spans="1:18" ht="16.8" thickBot="1" x14ac:dyDescent="0.35">
      <c r="A59" s="7">
        <v>0</v>
      </c>
      <c r="B59" s="11"/>
      <c r="C59" s="11"/>
      <c r="D59" s="11"/>
      <c r="E59" s="8">
        <v>132</v>
      </c>
      <c r="F59" s="11"/>
      <c r="G59" s="11"/>
      <c r="H59" s="13"/>
    </row>
    <row r="60" spans="1:18" ht="16.8" thickBot="1" x14ac:dyDescent="0.35">
      <c r="A60" s="7">
        <v>8</v>
      </c>
      <c r="B60" s="11"/>
      <c r="C60" s="11"/>
      <c r="D60" s="11"/>
      <c r="E60" s="8">
        <v>140</v>
      </c>
      <c r="F60" s="11"/>
      <c r="G60" s="11"/>
      <c r="H60" s="13"/>
    </row>
    <row r="61" spans="1:18" ht="16.8" thickBot="1" x14ac:dyDescent="0.35">
      <c r="A61" s="7">
        <v>16</v>
      </c>
      <c r="B61" s="11"/>
      <c r="C61" s="11"/>
      <c r="D61" s="11"/>
      <c r="E61" s="8">
        <v>148</v>
      </c>
      <c r="F61" s="11"/>
      <c r="G61" s="11"/>
      <c r="H61" s="13"/>
    </row>
    <row r="62" spans="1:18" ht="16.8" thickBot="1" x14ac:dyDescent="0.35">
      <c r="A62" s="7">
        <v>25</v>
      </c>
      <c r="B62" s="11"/>
      <c r="C62" s="11"/>
      <c r="D62" s="11"/>
      <c r="E62" s="8">
        <v>156</v>
      </c>
      <c r="F62" s="11"/>
      <c r="G62" s="11"/>
      <c r="H62" s="13"/>
    </row>
    <row r="63" spans="1:18" ht="16.8" thickBot="1" x14ac:dyDescent="0.35">
      <c r="A63" s="7">
        <v>33</v>
      </c>
      <c r="B63" s="11"/>
      <c r="C63" s="11"/>
      <c r="D63" s="11"/>
      <c r="E63" s="8">
        <v>165</v>
      </c>
      <c r="F63" s="11"/>
      <c r="G63" s="11"/>
      <c r="H63" s="13"/>
    </row>
    <row r="64" spans="1:18" ht="16.8" thickBot="1" x14ac:dyDescent="0.35">
      <c r="A64" s="7">
        <v>41</v>
      </c>
      <c r="B64" s="11"/>
      <c r="C64" s="11"/>
      <c r="D64" s="11"/>
      <c r="E64" s="8">
        <v>173</v>
      </c>
      <c r="F64" s="11"/>
      <c r="G64" s="11"/>
      <c r="H64" s="13"/>
    </row>
    <row r="65" spans="1:8" ht="16.8" thickBot="1" x14ac:dyDescent="0.35">
      <c r="A65" s="7">
        <v>49</v>
      </c>
      <c r="B65" s="11"/>
      <c r="C65" s="11"/>
      <c r="D65" s="11"/>
      <c r="E65" s="8">
        <v>181</v>
      </c>
      <c r="F65" s="11"/>
      <c r="G65" s="11"/>
      <c r="H65" s="13"/>
    </row>
    <row r="66" spans="1:8" ht="16.8" thickBot="1" x14ac:dyDescent="0.35">
      <c r="A66" s="7">
        <v>58</v>
      </c>
      <c r="B66" s="11"/>
      <c r="C66" s="11"/>
      <c r="D66" s="11"/>
      <c r="E66" s="8">
        <v>189</v>
      </c>
      <c r="F66" s="11"/>
      <c r="G66" s="11"/>
      <c r="H66" s="13"/>
    </row>
    <row r="67" spans="1:8" ht="16.8" thickBot="1" x14ac:dyDescent="0.35">
      <c r="A67" s="7">
        <v>66</v>
      </c>
      <c r="B67" s="11"/>
      <c r="C67" s="11"/>
      <c r="D67" s="11"/>
      <c r="E67" s="8">
        <v>197</v>
      </c>
      <c r="F67" s="11"/>
      <c r="G67" s="11"/>
      <c r="H67" s="13"/>
    </row>
    <row r="68" spans="1:8" ht="16.8" thickBot="1" x14ac:dyDescent="0.35">
      <c r="A68" s="7">
        <v>74</v>
      </c>
      <c r="B68" s="11"/>
      <c r="C68" s="11"/>
      <c r="D68" s="11"/>
      <c r="E68" s="8">
        <v>206</v>
      </c>
      <c r="F68" s="11"/>
      <c r="G68" s="11"/>
      <c r="H68" s="13"/>
    </row>
    <row r="69" spans="1:8" ht="16.8" thickBot="1" x14ac:dyDescent="0.35">
      <c r="A69" s="7">
        <v>82</v>
      </c>
      <c r="B69" s="11"/>
      <c r="C69" s="11"/>
      <c r="D69" s="11"/>
      <c r="E69" s="8">
        <v>214</v>
      </c>
      <c r="F69" s="11"/>
      <c r="G69" s="11"/>
      <c r="H69" s="13"/>
    </row>
    <row r="70" spans="1:8" ht="16.8" thickBot="1" x14ac:dyDescent="0.35">
      <c r="A70" s="7">
        <v>90</v>
      </c>
      <c r="B70" s="11"/>
      <c r="C70" s="11"/>
      <c r="D70" s="11"/>
      <c r="E70" s="8">
        <v>222</v>
      </c>
      <c r="F70" s="11"/>
      <c r="G70" s="11"/>
      <c r="H70" s="13"/>
    </row>
    <row r="71" spans="1:8" ht="16.8" thickBot="1" x14ac:dyDescent="0.35">
      <c r="A71" s="7">
        <v>99</v>
      </c>
      <c r="B71" s="11"/>
      <c r="C71" s="11"/>
      <c r="D71" s="11"/>
      <c r="E71" s="8">
        <v>230</v>
      </c>
      <c r="F71" s="11"/>
      <c r="G71" s="11"/>
      <c r="H71" s="13"/>
    </row>
    <row r="72" spans="1:8" ht="16.8" thickBot="1" x14ac:dyDescent="0.35">
      <c r="A72" s="7">
        <v>107</v>
      </c>
      <c r="B72" s="11"/>
      <c r="C72" s="11"/>
      <c r="D72" s="11"/>
      <c r="E72" s="8">
        <v>239</v>
      </c>
      <c r="F72" s="11"/>
      <c r="G72" s="11"/>
      <c r="H72" s="13"/>
    </row>
    <row r="73" spans="1:8" ht="16.8" thickBot="1" x14ac:dyDescent="0.35">
      <c r="A73" s="7">
        <v>115</v>
      </c>
      <c r="B73" s="11"/>
      <c r="C73" s="11"/>
      <c r="D73" s="11"/>
      <c r="E73" s="8">
        <v>247</v>
      </c>
      <c r="F73" s="11"/>
      <c r="G73" s="11"/>
      <c r="H73" s="13"/>
    </row>
    <row r="74" spans="1:8" ht="16.8" thickBot="1" x14ac:dyDescent="0.35">
      <c r="A74" s="9">
        <v>123</v>
      </c>
      <c r="B74" s="12"/>
      <c r="C74" s="12"/>
      <c r="D74" s="12"/>
      <c r="E74" s="10">
        <v>255</v>
      </c>
      <c r="F74" s="12"/>
      <c r="G74" s="12"/>
      <c r="H74" s="14"/>
    </row>
    <row r="75" spans="1:8" ht="17.399999999999999" thickTop="1" thickBot="1" x14ac:dyDescent="0.35"/>
    <row r="76" spans="1:8" ht="17.399999999999999" thickTop="1" thickBot="1" x14ac:dyDescent="0.35">
      <c r="A76" s="54" t="s">
        <v>30</v>
      </c>
      <c r="B76" s="55"/>
      <c r="C76" s="55"/>
      <c r="D76" s="55"/>
      <c r="E76" s="55"/>
      <c r="F76" s="55"/>
      <c r="G76" s="55"/>
      <c r="H76" s="56"/>
    </row>
    <row r="77" spans="1:8" ht="17.399999999999999" thickTop="1" thickBot="1" x14ac:dyDescent="0.35">
      <c r="A77" s="4" t="s">
        <v>23</v>
      </c>
      <c r="B77" s="5" t="s">
        <v>24</v>
      </c>
      <c r="C77" s="5" t="s">
        <v>25</v>
      </c>
      <c r="D77" s="5" t="s">
        <v>26</v>
      </c>
      <c r="E77" s="5" t="s">
        <v>23</v>
      </c>
      <c r="F77" s="5" t="s">
        <v>24</v>
      </c>
      <c r="G77" s="5" t="s">
        <v>25</v>
      </c>
      <c r="H77" s="6" t="s">
        <v>26</v>
      </c>
    </row>
    <row r="78" spans="1:8" ht="16.8" thickBot="1" x14ac:dyDescent="0.35">
      <c r="A78" s="7">
        <v>0</v>
      </c>
      <c r="B78" s="11"/>
      <c r="C78" s="11"/>
      <c r="D78" s="11"/>
      <c r="E78" s="8">
        <v>132</v>
      </c>
      <c r="F78" s="11"/>
      <c r="G78" s="11"/>
      <c r="H78" s="13"/>
    </row>
    <row r="79" spans="1:8" ht="16.8" thickBot="1" x14ac:dyDescent="0.35">
      <c r="A79" s="7">
        <v>8</v>
      </c>
      <c r="B79" s="11"/>
      <c r="C79" s="11"/>
      <c r="D79" s="11"/>
      <c r="E79" s="8">
        <v>140</v>
      </c>
      <c r="F79" s="11"/>
      <c r="G79" s="11"/>
      <c r="H79" s="13"/>
    </row>
    <row r="80" spans="1:8" ht="16.8" thickBot="1" x14ac:dyDescent="0.35">
      <c r="A80" s="7">
        <v>16</v>
      </c>
      <c r="B80" s="11"/>
      <c r="C80" s="11"/>
      <c r="D80" s="11"/>
      <c r="E80" s="8">
        <v>148</v>
      </c>
      <c r="F80" s="11"/>
      <c r="G80" s="11"/>
      <c r="H80" s="13"/>
    </row>
    <row r="81" spans="1:8" ht="16.8" thickBot="1" x14ac:dyDescent="0.35">
      <c r="A81" s="7">
        <v>25</v>
      </c>
      <c r="B81" s="11"/>
      <c r="C81" s="11"/>
      <c r="D81" s="11"/>
      <c r="E81" s="8">
        <v>156</v>
      </c>
      <c r="F81" s="11"/>
      <c r="G81" s="11"/>
      <c r="H81" s="13"/>
    </row>
    <row r="82" spans="1:8" ht="16.8" thickBot="1" x14ac:dyDescent="0.35">
      <c r="A82" s="7">
        <v>33</v>
      </c>
      <c r="B82" s="11"/>
      <c r="C82" s="11"/>
      <c r="D82" s="11"/>
      <c r="E82" s="8">
        <v>165</v>
      </c>
      <c r="F82" s="11"/>
      <c r="G82" s="11"/>
      <c r="H82" s="13"/>
    </row>
    <row r="83" spans="1:8" ht="16.8" thickBot="1" x14ac:dyDescent="0.35">
      <c r="A83" s="7">
        <v>41</v>
      </c>
      <c r="B83" s="11"/>
      <c r="C83" s="11"/>
      <c r="D83" s="11"/>
      <c r="E83" s="8">
        <v>173</v>
      </c>
      <c r="F83" s="11"/>
      <c r="G83" s="11"/>
      <c r="H83" s="13"/>
    </row>
    <row r="84" spans="1:8" ht="16.8" thickBot="1" x14ac:dyDescent="0.35">
      <c r="A84" s="7">
        <v>49</v>
      </c>
      <c r="B84" s="11"/>
      <c r="C84" s="11"/>
      <c r="D84" s="11"/>
      <c r="E84" s="8">
        <v>181</v>
      </c>
      <c r="F84" s="11"/>
      <c r="G84" s="11"/>
      <c r="H84" s="13"/>
    </row>
    <row r="85" spans="1:8" ht="16.8" thickBot="1" x14ac:dyDescent="0.35">
      <c r="A85" s="7">
        <v>58</v>
      </c>
      <c r="B85" s="11"/>
      <c r="C85" s="11"/>
      <c r="D85" s="11"/>
      <c r="E85" s="8">
        <v>189</v>
      </c>
      <c r="F85" s="11"/>
      <c r="G85" s="11"/>
      <c r="H85" s="13"/>
    </row>
    <row r="86" spans="1:8" ht="16.8" thickBot="1" x14ac:dyDescent="0.35">
      <c r="A86" s="7">
        <v>66</v>
      </c>
      <c r="B86" s="11"/>
      <c r="C86" s="11"/>
      <c r="D86" s="11"/>
      <c r="E86" s="8">
        <v>197</v>
      </c>
      <c r="F86" s="11"/>
      <c r="G86" s="11"/>
      <c r="H86" s="13"/>
    </row>
    <row r="87" spans="1:8" ht="16.8" thickBot="1" x14ac:dyDescent="0.35">
      <c r="A87" s="7">
        <v>74</v>
      </c>
      <c r="B87" s="11"/>
      <c r="C87" s="11"/>
      <c r="D87" s="11"/>
      <c r="E87" s="8">
        <v>206</v>
      </c>
      <c r="F87" s="11"/>
      <c r="G87" s="11"/>
      <c r="H87" s="13"/>
    </row>
    <row r="88" spans="1:8" ht="16.8" thickBot="1" x14ac:dyDescent="0.35">
      <c r="A88" s="7">
        <v>82</v>
      </c>
      <c r="B88" s="11"/>
      <c r="C88" s="11"/>
      <c r="D88" s="11"/>
      <c r="E88" s="8">
        <v>214</v>
      </c>
      <c r="F88" s="11"/>
      <c r="G88" s="11"/>
      <c r="H88" s="13"/>
    </row>
    <row r="89" spans="1:8" ht="16.8" thickBot="1" x14ac:dyDescent="0.35">
      <c r="A89" s="7">
        <v>90</v>
      </c>
      <c r="B89" s="11"/>
      <c r="C89" s="11"/>
      <c r="D89" s="11"/>
      <c r="E89" s="8">
        <v>222</v>
      </c>
      <c r="F89" s="11"/>
      <c r="G89" s="11"/>
      <c r="H89" s="13"/>
    </row>
    <row r="90" spans="1:8" ht="16.8" thickBot="1" x14ac:dyDescent="0.35">
      <c r="A90" s="7">
        <v>99</v>
      </c>
      <c r="B90" s="11"/>
      <c r="C90" s="11"/>
      <c r="D90" s="11"/>
      <c r="E90" s="8">
        <v>230</v>
      </c>
      <c r="F90" s="11"/>
      <c r="G90" s="11"/>
      <c r="H90" s="13"/>
    </row>
    <row r="91" spans="1:8" ht="16.8" thickBot="1" x14ac:dyDescent="0.35">
      <c r="A91" s="7">
        <v>107</v>
      </c>
      <c r="B91" s="11"/>
      <c r="C91" s="11"/>
      <c r="D91" s="11"/>
      <c r="E91" s="8">
        <v>239</v>
      </c>
      <c r="F91" s="11"/>
      <c r="G91" s="11"/>
      <c r="H91" s="13"/>
    </row>
    <row r="92" spans="1:8" ht="16.8" thickBot="1" x14ac:dyDescent="0.35">
      <c r="A92" s="7">
        <v>115</v>
      </c>
      <c r="B92" s="11"/>
      <c r="C92" s="11"/>
      <c r="D92" s="11"/>
      <c r="E92" s="8">
        <v>247</v>
      </c>
      <c r="F92" s="11"/>
      <c r="G92" s="11"/>
      <c r="H92" s="13"/>
    </row>
    <row r="93" spans="1:8" ht="16.8" thickBot="1" x14ac:dyDescent="0.35">
      <c r="A93" s="9">
        <v>123</v>
      </c>
      <c r="B93" s="12"/>
      <c r="C93" s="12"/>
      <c r="D93" s="12"/>
      <c r="E93" s="10">
        <v>255</v>
      </c>
      <c r="F93" s="12"/>
      <c r="G93" s="12"/>
      <c r="H93" s="14"/>
    </row>
    <row r="94" spans="1:8" ht="17.399999999999999" thickTop="1" thickBot="1" x14ac:dyDescent="0.35"/>
    <row r="95" spans="1:8" ht="17.399999999999999" thickTop="1" thickBot="1" x14ac:dyDescent="0.35">
      <c r="A95" s="54" t="s">
        <v>31</v>
      </c>
      <c r="B95" s="55"/>
      <c r="C95" s="55"/>
      <c r="D95" s="55"/>
      <c r="E95" s="55"/>
      <c r="F95" s="55"/>
      <c r="G95" s="55"/>
      <c r="H95" s="56"/>
    </row>
    <row r="96" spans="1:8" ht="17.399999999999999" thickTop="1" thickBot="1" x14ac:dyDescent="0.35">
      <c r="A96" s="4" t="s">
        <v>23</v>
      </c>
      <c r="B96" s="5" t="s">
        <v>24</v>
      </c>
      <c r="C96" s="5" t="s">
        <v>25</v>
      </c>
      <c r="D96" s="5" t="s">
        <v>26</v>
      </c>
      <c r="E96" s="5" t="s">
        <v>23</v>
      </c>
      <c r="F96" s="5" t="s">
        <v>24</v>
      </c>
      <c r="G96" s="5" t="s">
        <v>25</v>
      </c>
      <c r="H96" s="6" t="s">
        <v>26</v>
      </c>
    </row>
    <row r="97" spans="1:17" ht="16.8" thickBot="1" x14ac:dyDescent="0.35">
      <c r="A97" s="7">
        <v>0</v>
      </c>
      <c r="B97" s="11"/>
      <c r="C97" s="11"/>
      <c r="D97" s="11"/>
      <c r="E97" s="8">
        <v>132</v>
      </c>
      <c r="F97" s="11"/>
      <c r="G97" s="11"/>
      <c r="H97" s="13"/>
    </row>
    <row r="98" spans="1:17" ht="16.8" thickBot="1" x14ac:dyDescent="0.35">
      <c r="A98" s="7">
        <v>8</v>
      </c>
      <c r="B98" s="11"/>
      <c r="C98" s="11"/>
      <c r="D98" s="11"/>
      <c r="E98" s="8">
        <v>140</v>
      </c>
      <c r="F98" s="11"/>
      <c r="G98" s="11"/>
      <c r="H98" s="13"/>
    </row>
    <row r="99" spans="1:17" ht="16.8" thickBot="1" x14ac:dyDescent="0.35">
      <c r="A99" s="7">
        <v>16</v>
      </c>
      <c r="B99" s="11"/>
      <c r="C99" s="11"/>
      <c r="D99" s="11"/>
      <c r="E99" s="8">
        <v>148</v>
      </c>
      <c r="F99" s="11"/>
      <c r="G99" s="11"/>
      <c r="H99" s="13"/>
    </row>
    <row r="100" spans="1:17" ht="16.8" thickBot="1" x14ac:dyDescent="0.35">
      <c r="A100" s="7">
        <v>25</v>
      </c>
      <c r="B100" s="11"/>
      <c r="C100" s="11"/>
      <c r="D100" s="11"/>
      <c r="E100" s="8">
        <v>156</v>
      </c>
      <c r="F100" s="11"/>
      <c r="G100" s="11"/>
      <c r="H100" s="13"/>
    </row>
    <row r="101" spans="1:17" ht="16.8" thickBot="1" x14ac:dyDescent="0.35">
      <c r="A101" s="7">
        <v>33</v>
      </c>
      <c r="B101" s="11"/>
      <c r="C101" s="11"/>
      <c r="D101" s="11"/>
      <c r="E101" s="8">
        <v>165</v>
      </c>
      <c r="F101" s="11"/>
      <c r="G101" s="11"/>
      <c r="H101" s="13"/>
    </row>
    <row r="102" spans="1:17" ht="16.8" thickBot="1" x14ac:dyDescent="0.35">
      <c r="A102" s="7">
        <v>41</v>
      </c>
      <c r="B102" s="11"/>
      <c r="C102" s="11"/>
      <c r="D102" s="11"/>
      <c r="E102" s="8">
        <v>173</v>
      </c>
      <c r="F102" s="11"/>
      <c r="G102" s="11"/>
      <c r="H102" s="13"/>
    </row>
    <row r="103" spans="1:17" ht="16.8" thickBot="1" x14ac:dyDescent="0.35">
      <c r="A103" s="7">
        <v>49</v>
      </c>
      <c r="B103" s="11"/>
      <c r="C103" s="11"/>
      <c r="D103" s="11"/>
      <c r="E103" s="8">
        <v>181</v>
      </c>
      <c r="F103" s="11"/>
      <c r="G103" s="11"/>
      <c r="H103" s="13"/>
    </row>
    <row r="104" spans="1:17" ht="16.8" thickBot="1" x14ac:dyDescent="0.35">
      <c r="A104" s="7">
        <v>58</v>
      </c>
      <c r="B104" s="11"/>
      <c r="C104" s="11"/>
      <c r="D104" s="11"/>
      <c r="E104" s="8">
        <v>189</v>
      </c>
      <c r="F104" s="11"/>
      <c r="G104" s="11"/>
      <c r="H104" s="13"/>
    </row>
    <row r="105" spans="1:17" ht="17.399999999999999" thickTop="1" thickBot="1" x14ac:dyDescent="0.35">
      <c r="A105" s="7">
        <v>66</v>
      </c>
      <c r="B105" s="11"/>
      <c r="C105" s="11"/>
      <c r="D105" s="11"/>
      <c r="E105" s="8">
        <v>197</v>
      </c>
      <c r="F105" s="11"/>
      <c r="G105" s="11"/>
      <c r="H105" s="13"/>
      <c r="K105" s="78" t="s">
        <v>58</v>
      </c>
      <c r="L105" s="79"/>
      <c r="M105" s="80"/>
      <c r="N105" s="41"/>
      <c r="O105" s="81" t="s">
        <v>62</v>
      </c>
      <c r="P105" s="82"/>
      <c r="Q105" s="83"/>
    </row>
    <row r="106" spans="1:17" ht="16.8" thickBot="1" x14ac:dyDescent="0.35">
      <c r="A106" s="7">
        <v>74</v>
      </c>
      <c r="B106" s="11"/>
      <c r="C106" s="11"/>
      <c r="D106" s="11"/>
      <c r="E106" s="8">
        <v>206</v>
      </c>
      <c r="F106" s="11"/>
      <c r="G106" s="11"/>
      <c r="H106" s="13"/>
      <c r="K106" s="44" t="s">
        <v>59</v>
      </c>
      <c r="L106" s="50">
        <v>0.64</v>
      </c>
      <c r="M106" s="51">
        <v>0.33</v>
      </c>
      <c r="N106" s="41"/>
      <c r="O106" s="42" t="s">
        <v>63</v>
      </c>
      <c r="P106" s="52" t="str">
        <f>IF(F74="","",F74)</f>
        <v/>
      </c>
      <c r="Q106" s="53" t="str">
        <f>IF(G74="","",G74)</f>
        <v/>
      </c>
    </row>
    <row r="107" spans="1:17" ht="16.8" thickBot="1" x14ac:dyDescent="0.35">
      <c r="A107" s="7">
        <v>82</v>
      </c>
      <c r="B107" s="11"/>
      <c r="C107" s="11"/>
      <c r="D107" s="11"/>
      <c r="E107" s="8">
        <v>214</v>
      </c>
      <c r="F107" s="11"/>
      <c r="G107" s="11"/>
      <c r="H107" s="13"/>
      <c r="K107" s="44" t="s">
        <v>60</v>
      </c>
      <c r="L107" s="50">
        <v>0.3</v>
      </c>
      <c r="M107" s="51">
        <v>0.6</v>
      </c>
      <c r="N107" s="41"/>
      <c r="O107" s="42" t="s">
        <v>64</v>
      </c>
      <c r="P107" s="52" t="str">
        <f>IF(F93="","",F93)</f>
        <v/>
      </c>
      <c r="Q107" s="53" t="str">
        <f>IF(G93="","",G93)</f>
        <v/>
      </c>
    </row>
    <row r="108" spans="1:17" ht="16.8" thickBot="1" x14ac:dyDescent="0.35">
      <c r="A108" s="7">
        <v>90</v>
      </c>
      <c r="B108" s="11"/>
      <c r="C108" s="11"/>
      <c r="D108" s="11"/>
      <c r="E108" s="8">
        <v>222</v>
      </c>
      <c r="F108" s="11"/>
      <c r="G108" s="11"/>
      <c r="H108" s="13"/>
      <c r="K108" s="44" t="s">
        <v>61</v>
      </c>
      <c r="L108" s="50">
        <v>0.15</v>
      </c>
      <c r="M108" s="51">
        <v>0.06</v>
      </c>
      <c r="N108" s="41"/>
      <c r="O108" s="42" t="s">
        <v>65</v>
      </c>
      <c r="P108" s="52" t="str">
        <f>IF(F112="","",F112)</f>
        <v/>
      </c>
      <c r="Q108" s="53" t="str">
        <f>IF(G112="","",G112)</f>
        <v/>
      </c>
    </row>
    <row r="109" spans="1:17" ht="16.8" thickBot="1" x14ac:dyDescent="0.35">
      <c r="A109" s="7">
        <v>99</v>
      </c>
      <c r="B109" s="11"/>
      <c r="C109" s="11"/>
      <c r="D109" s="11"/>
      <c r="E109" s="8">
        <v>230</v>
      </c>
      <c r="F109" s="11"/>
      <c r="G109" s="11"/>
      <c r="H109" s="13"/>
      <c r="K109" s="45" t="s">
        <v>66</v>
      </c>
      <c r="L109" s="46">
        <v>0.313</v>
      </c>
      <c r="M109" s="47">
        <v>0.32900000000000001</v>
      </c>
      <c r="N109" s="41"/>
      <c r="O109" s="43" t="s">
        <v>67</v>
      </c>
      <c r="P109" s="48" t="str">
        <f>IF(F55="","",F55)</f>
        <v/>
      </c>
      <c r="Q109" s="49" t="str">
        <f>IF(G55="","",G55)</f>
        <v/>
      </c>
    </row>
    <row r="110" spans="1:17" ht="16.8" thickBot="1" x14ac:dyDescent="0.35">
      <c r="A110" s="7">
        <v>107</v>
      </c>
      <c r="B110" s="11"/>
      <c r="C110" s="11"/>
      <c r="D110" s="11"/>
      <c r="E110" s="8">
        <v>239</v>
      </c>
      <c r="F110" s="11"/>
      <c r="G110" s="11"/>
      <c r="H110" s="13"/>
    </row>
    <row r="111" spans="1:17" ht="16.8" thickBot="1" x14ac:dyDescent="0.35">
      <c r="A111" s="7">
        <v>115</v>
      </c>
      <c r="B111" s="11"/>
      <c r="C111" s="11"/>
      <c r="D111" s="11"/>
      <c r="E111" s="8">
        <v>247</v>
      </c>
      <c r="F111" s="11"/>
      <c r="G111" s="11"/>
      <c r="H111" s="13"/>
    </row>
    <row r="112" spans="1:17" ht="16.8" thickBot="1" x14ac:dyDescent="0.35">
      <c r="A112" s="9">
        <v>123</v>
      </c>
      <c r="B112" s="12"/>
      <c r="C112" s="12"/>
      <c r="D112" s="12"/>
      <c r="E112" s="10">
        <v>255</v>
      </c>
      <c r="F112" s="12"/>
      <c r="G112" s="12"/>
      <c r="H112" s="14"/>
    </row>
    <row r="113" ht="16.8" thickTop="1" x14ac:dyDescent="0.3"/>
  </sheetData>
  <mergeCells count="63">
    <mergeCell ref="K105:M105"/>
    <mergeCell ref="O105:Q105"/>
    <mergeCell ref="K38:R38"/>
    <mergeCell ref="A15:B15"/>
    <mergeCell ref="C15:D15"/>
    <mergeCell ref="E15:F15"/>
    <mergeCell ref="G15:H15"/>
    <mergeCell ref="A38:H38"/>
    <mergeCell ref="A19:H19"/>
    <mergeCell ref="A16:B16"/>
    <mergeCell ref="C16:D16"/>
    <mergeCell ref="E16:F16"/>
    <mergeCell ref="G16:H16"/>
    <mergeCell ref="A17:B17"/>
    <mergeCell ref="C17:D17"/>
    <mergeCell ref="E17:F17"/>
    <mergeCell ref="G17:H17"/>
    <mergeCell ref="A13:B13"/>
    <mergeCell ref="C13:D13"/>
    <mergeCell ref="E13:F13"/>
    <mergeCell ref="G13:H13"/>
    <mergeCell ref="A14:B14"/>
    <mergeCell ref="C14:D14"/>
    <mergeCell ref="E14:F14"/>
    <mergeCell ref="G14:H14"/>
    <mergeCell ref="E11:F11"/>
    <mergeCell ref="G11:H11"/>
    <mergeCell ref="A12:B12"/>
    <mergeCell ref="C12:D12"/>
    <mergeCell ref="E12:F12"/>
    <mergeCell ref="G12:H12"/>
    <mergeCell ref="A95:H95"/>
    <mergeCell ref="A5:H5"/>
    <mergeCell ref="A1:H1"/>
    <mergeCell ref="A2:D2"/>
    <mergeCell ref="E2:H2"/>
    <mergeCell ref="A6:B6"/>
    <mergeCell ref="C6:D6"/>
    <mergeCell ref="E6:F6"/>
    <mergeCell ref="G6:H6"/>
    <mergeCell ref="A7:B7"/>
    <mergeCell ref="C7:D7"/>
    <mergeCell ref="E7:F7"/>
    <mergeCell ref="G7:H7"/>
    <mergeCell ref="A8:B8"/>
    <mergeCell ref="C8:D8"/>
    <mergeCell ref="E8:F8"/>
    <mergeCell ref="F3:H3"/>
    <mergeCell ref="A3:B3"/>
    <mergeCell ref="C3:D3"/>
    <mergeCell ref="A57:H57"/>
    <mergeCell ref="A76:H76"/>
    <mergeCell ref="G8:H8"/>
    <mergeCell ref="A9:B9"/>
    <mergeCell ref="C9:D9"/>
    <mergeCell ref="E9:F9"/>
    <mergeCell ref="G9:H9"/>
    <mergeCell ref="A10:B10"/>
    <mergeCell ref="C10:D10"/>
    <mergeCell ref="E10:F10"/>
    <mergeCell ref="G10:H10"/>
    <mergeCell ref="A11:B11"/>
    <mergeCell ref="C11:D11"/>
  </mergeCells>
  <phoneticPr fontId="6" type="noConversion"/>
  <conditionalFormatting sqref="G11:H11">
    <cfRule type="containsText" priority="2" operator="containsText" text="FAILED">
      <formula>NOT(ISERROR(SEARCH("FAILED",G11)))</formula>
    </cfRule>
    <cfRule type="containsText" dxfId="11" priority="3" operator="containsText" text="FAILED">
      <formula>NOT(ISERROR(SEARCH("FAILED",G11)))</formula>
    </cfRule>
  </conditionalFormatting>
  <conditionalFormatting sqref="G11:H17">
    <cfRule type="containsText" dxfId="10" priority="1" operator="containsText" text="FAILED">
      <formula>NOT(ISERROR(SEARCH("FAILED",G11)))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13"/>
  <sheetViews>
    <sheetView workbookViewId="0">
      <selection activeCell="F3" sqref="F3:H3"/>
    </sheetView>
  </sheetViews>
  <sheetFormatPr defaultRowHeight="16.2" x14ac:dyDescent="0.3"/>
  <sheetData>
    <row r="1" spans="1:8" ht="27" thickTop="1" thickBot="1" x14ac:dyDescent="0.35">
      <c r="A1" s="57" t="s">
        <v>33</v>
      </c>
      <c r="B1" s="96"/>
      <c r="C1" s="96"/>
      <c r="D1" s="96"/>
      <c r="E1" s="96"/>
      <c r="F1" s="96"/>
      <c r="G1" s="96"/>
      <c r="H1" s="97"/>
    </row>
    <row r="2" spans="1:8" ht="27" thickTop="1" thickBot="1" x14ac:dyDescent="0.35">
      <c r="A2" s="60" t="s">
        <v>1</v>
      </c>
      <c r="B2" s="61"/>
      <c r="C2" s="61"/>
      <c r="D2" s="61"/>
      <c r="E2" s="62" t="s">
        <v>2</v>
      </c>
      <c r="F2" s="63"/>
      <c r="G2" s="63"/>
      <c r="H2" s="64"/>
    </row>
    <row r="3" spans="1:8" ht="27.75" customHeight="1" thickTop="1" thickBot="1" x14ac:dyDescent="0.35">
      <c r="A3" s="84" t="s">
        <v>56</v>
      </c>
      <c r="B3" s="85"/>
      <c r="C3" s="86" t="s">
        <v>57</v>
      </c>
      <c r="D3" s="87"/>
      <c r="E3" s="40" t="s">
        <v>53</v>
      </c>
      <c r="F3" s="86"/>
      <c r="G3" s="62"/>
      <c r="H3" s="98"/>
    </row>
    <row r="4" spans="1:8" ht="17.399999999999999" thickTop="1" thickBot="1" x14ac:dyDescent="0.35">
      <c r="A4" s="1"/>
      <c r="B4" s="2"/>
      <c r="C4" s="2"/>
      <c r="D4" s="2"/>
      <c r="E4" s="2"/>
      <c r="F4" s="2"/>
      <c r="G4" s="2"/>
      <c r="H4" s="3"/>
    </row>
    <row r="5" spans="1:8" ht="17.399999999999999" thickTop="1" thickBot="1" x14ac:dyDescent="0.35">
      <c r="A5" s="54" t="s">
        <v>3</v>
      </c>
      <c r="B5" s="55"/>
      <c r="C5" s="55"/>
      <c r="D5" s="55"/>
      <c r="E5" s="55"/>
      <c r="F5" s="55"/>
      <c r="G5" s="55"/>
      <c r="H5" s="56"/>
    </row>
    <row r="6" spans="1:8" ht="17.399999999999999" thickTop="1" thickBot="1" x14ac:dyDescent="0.35">
      <c r="A6" s="65" t="s">
        <v>4</v>
      </c>
      <c r="B6" s="66"/>
      <c r="C6" s="67" t="s">
        <v>5</v>
      </c>
      <c r="D6" s="66"/>
      <c r="E6" s="67" t="s">
        <v>6</v>
      </c>
      <c r="F6" s="66"/>
      <c r="G6" s="67" t="s">
        <v>7</v>
      </c>
      <c r="H6" s="68"/>
    </row>
    <row r="7" spans="1:8" ht="16.8" thickBot="1" x14ac:dyDescent="0.35">
      <c r="A7" s="69" t="s">
        <v>8</v>
      </c>
      <c r="B7" s="70"/>
      <c r="C7" s="71"/>
      <c r="D7" s="72"/>
      <c r="E7" s="73"/>
      <c r="F7" s="74"/>
      <c r="G7" s="71"/>
      <c r="H7" s="75"/>
    </row>
    <row r="8" spans="1:8" ht="16.8" thickBot="1" x14ac:dyDescent="0.35">
      <c r="A8" s="69" t="s">
        <v>9</v>
      </c>
      <c r="B8" s="70"/>
      <c r="C8" s="76" t="s">
        <v>34</v>
      </c>
      <c r="D8" s="70"/>
      <c r="E8" s="73"/>
      <c r="F8" s="74"/>
      <c r="G8" s="71"/>
      <c r="H8" s="75"/>
    </row>
    <row r="9" spans="1:8" ht="16.8" thickBot="1" x14ac:dyDescent="0.35">
      <c r="A9" s="69" t="s">
        <v>10</v>
      </c>
      <c r="B9" s="70"/>
      <c r="C9" s="71"/>
      <c r="D9" s="72"/>
      <c r="E9" s="73" t="str">
        <f>IF(H55="","",H55)</f>
        <v/>
      </c>
      <c r="F9" s="74"/>
      <c r="G9" s="71"/>
      <c r="H9" s="75"/>
    </row>
    <row r="10" spans="1:8" ht="16.8" thickBot="1" x14ac:dyDescent="0.35">
      <c r="A10" s="69" t="s">
        <v>11</v>
      </c>
      <c r="B10" s="70"/>
      <c r="C10" s="71"/>
      <c r="D10" s="72"/>
      <c r="E10" s="73" t="str">
        <f>IF(D40="","",D40)</f>
        <v/>
      </c>
      <c r="F10" s="74"/>
      <c r="G10" s="71"/>
      <c r="H10" s="75"/>
    </row>
    <row r="11" spans="1:8" ht="16.8" thickBot="1" x14ac:dyDescent="0.35">
      <c r="A11" s="69" t="s">
        <v>12</v>
      </c>
      <c r="B11" s="70"/>
      <c r="C11" s="71"/>
      <c r="D11" s="72"/>
      <c r="E11" s="73" t="str">
        <f>IF(OR(E9="",E10=""),"",E9/E10)</f>
        <v/>
      </c>
      <c r="F11" s="74"/>
      <c r="G11" s="73" t="str">
        <f>IF(E11="","",IF(AND(E11&gt;=1000),"PASS","FAILED"))</f>
        <v/>
      </c>
      <c r="H11" s="77"/>
    </row>
    <row r="12" spans="1:8" ht="16.8" thickBot="1" x14ac:dyDescent="0.35">
      <c r="A12" s="69" t="s">
        <v>13</v>
      </c>
      <c r="B12" s="70"/>
      <c r="C12" s="71"/>
      <c r="D12" s="72"/>
      <c r="E12" s="73" t="str">
        <f>IF(H55="","",(-437)*POWER((F55-0.332)/(G55-0.1858),3)+3601*POWER((F55-0.332)/(G55-0.1858),2)-6831*((F55-0.332)/(G55-0.1858))+5517)</f>
        <v/>
      </c>
      <c r="F12" s="74"/>
      <c r="G12" s="73" t="str">
        <f>IF(E12="","",IF(AND(AND(F55&gt;=0.263,F55&lt;=0.363),AND(G55&gt;=0.279,G55&lt;=0.379)),"PASS","FAILED"))</f>
        <v/>
      </c>
      <c r="H12" s="77"/>
    </row>
    <row r="13" spans="1:8" ht="16.8" thickBot="1" x14ac:dyDescent="0.35">
      <c r="A13" s="69" t="s">
        <v>14</v>
      </c>
      <c r="B13" s="70"/>
      <c r="C13" s="76" t="s">
        <v>15</v>
      </c>
      <c r="D13" s="70"/>
      <c r="E13" s="73"/>
      <c r="F13" s="74"/>
      <c r="G13" s="73" t="str">
        <f>IF(E13="","",IF(AND(E13&lt;=5),"PASS","FAILED"))</f>
        <v/>
      </c>
      <c r="H13" s="77"/>
    </row>
    <row r="14" spans="1:8" ht="16.8" thickBot="1" x14ac:dyDescent="0.35">
      <c r="A14" s="69" t="s">
        <v>16</v>
      </c>
      <c r="B14" s="70"/>
      <c r="C14" s="76" t="s">
        <v>17</v>
      </c>
      <c r="D14" s="70"/>
      <c r="E14" s="73"/>
      <c r="F14" s="74"/>
      <c r="G14" s="73" t="str">
        <f>IF(E14="","",IF(AND(E14&lt;=7),"PASS","FAILED"))</f>
        <v/>
      </c>
      <c r="H14" s="77"/>
    </row>
    <row r="15" spans="1:8" ht="16.8" thickBot="1" x14ac:dyDescent="0.35">
      <c r="A15" s="69" t="s">
        <v>18</v>
      </c>
      <c r="B15" s="70"/>
      <c r="C15" s="76" t="s">
        <v>19</v>
      </c>
      <c r="D15" s="70"/>
      <c r="E15" s="73"/>
      <c r="F15" s="74"/>
      <c r="G15" s="73" t="str">
        <f>IF(E15="","",IF(AND(E15&lt;=2),"PASS","FAILED"))</f>
        <v/>
      </c>
      <c r="H15" s="77"/>
    </row>
    <row r="16" spans="1:8" ht="16.8" thickBot="1" x14ac:dyDescent="0.35">
      <c r="A16" s="69" t="s">
        <v>20</v>
      </c>
      <c r="B16" s="70"/>
      <c r="C16" s="76" t="s">
        <v>15</v>
      </c>
      <c r="D16" s="70"/>
      <c r="E16" s="73"/>
      <c r="F16" s="74"/>
      <c r="G16" s="73" t="str">
        <f>IF(E16="","",IF(AND(E16&lt;=5),"PASS","FAILED"))</f>
        <v/>
      </c>
      <c r="H16" s="77"/>
    </row>
    <row r="17" spans="1:8" ht="16.8" thickBot="1" x14ac:dyDescent="0.35">
      <c r="A17" s="89" t="s">
        <v>21</v>
      </c>
      <c r="B17" s="90"/>
      <c r="C17" s="91"/>
      <c r="D17" s="92"/>
      <c r="E17" s="93"/>
      <c r="F17" s="94"/>
      <c r="G17" s="93" t="str">
        <f>IF(E17="","",IF(AND(E17&gt;=2.2,E17&lt;=2.29),"PASS","FAILED"))</f>
        <v/>
      </c>
      <c r="H17" s="95"/>
    </row>
    <row r="18" spans="1:8" ht="17.399999999999999" thickTop="1" thickBot="1" x14ac:dyDescent="0.35">
      <c r="A18" s="1"/>
      <c r="B18" s="2"/>
      <c r="C18" s="2"/>
      <c r="D18" s="2"/>
      <c r="E18" s="2"/>
      <c r="F18" s="2"/>
      <c r="G18" s="2"/>
      <c r="H18" s="3"/>
    </row>
    <row r="19" spans="1:8" ht="17.399999999999999" thickTop="1" thickBot="1" x14ac:dyDescent="0.35">
      <c r="A19" s="54" t="s">
        <v>22</v>
      </c>
      <c r="B19" s="55"/>
      <c r="C19" s="55"/>
      <c r="D19" s="55"/>
      <c r="E19" s="55"/>
      <c r="F19" s="55"/>
      <c r="G19" s="55"/>
      <c r="H19" s="56"/>
    </row>
    <row r="20" spans="1:8" ht="17.399999999999999" thickTop="1" thickBot="1" x14ac:dyDescent="0.35">
      <c r="A20" s="4" t="s">
        <v>23</v>
      </c>
      <c r="B20" s="5" t="s">
        <v>24</v>
      </c>
      <c r="C20" s="5" t="s">
        <v>25</v>
      </c>
      <c r="D20" s="5" t="s">
        <v>26</v>
      </c>
      <c r="E20" s="5" t="s">
        <v>23</v>
      </c>
      <c r="F20" s="5" t="s">
        <v>24</v>
      </c>
      <c r="G20" s="5" t="s">
        <v>25</v>
      </c>
      <c r="H20" s="6" t="s">
        <v>26</v>
      </c>
    </row>
    <row r="21" spans="1:8" ht="16.8" thickBot="1" x14ac:dyDescent="0.35">
      <c r="A21" s="7">
        <v>0</v>
      </c>
      <c r="B21" s="31"/>
      <c r="C21" s="32"/>
      <c r="D21" s="11"/>
      <c r="E21" s="8">
        <v>132</v>
      </c>
      <c r="F21" s="31"/>
      <c r="G21" s="32"/>
      <c r="H21" s="13"/>
    </row>
    <row r="22" spans="1:8" ht="16.8" thickBot="1" x14ac:dyDescent="0.35">
      <c r="A22" s="7">
        <v>8</v>
      </c>
      <c r="B22" s="33"/>
      <c r="C22" s="34"/>
      <c r="D22" s="11"/>
      <c r="E22" s="8">
        <v>140</v>
      </c>
      <c r="F22" s="33"/>
      <c r="G22" s="34"/>
      <c r="H22" s="13"/>
    </row>
    <row r="23" spans="1:8" ht="16.8" thickBot="1" x14ac:dyDescent="0.35">
      <c r="A23" s="7">
        <v>16</v>
      </c>
      <c r="B23" s="33"/>
      <c r="C23" s="34"/>
      <c r="D23" s="11"/>
      <c r="E23" s="8">
        <v>148</v>
      </c>
      <c r="F23" s="33"/>
      <c r="G23" s="34"/>
      <c r="H23" s="13"/>
    </row>
    <row r="24" spans="1:8" ht="16.8" thickBot="1" x14ac:dyDescent="0.35">
      <c r="A24" s="7">
        <v>25</v>
      </c>
      <c r="B24" s="33"/>
      <c r="C24" s="34"/>
      <c r="D24" s="11"/>
      <c r="E24" s="8">
        <v>156</v>
      </c>
      <c r="F24" s="33"/>
      <c r="G24" s="34"/>
      <c r="H24" s="13"/>
    </row>
    <row r="25" spans="1:8" ht="16.8" thickBot="1" x14ac:dyDescent="0.35">
      <c r="A25" s="7">
        <v>33</v>
      </c>
      <c r="B25" s="33"/>
      <c r="C25" s="34"/>
      <c r="D25" s="11"/>
      <c r="E25" s="8">
        <v>165</v>
      </c>
      <c r="F25" s="33"/>
      <c r="G25" s="34"/>
      <c r="H25" s="13"/>
    </row>
    <row r="26" spans="1:8" ht="16.8" thickBot="1" x14ac:dyDescent="0.35">
      <c r="A26" s="7">
        <v>41</v>
      </c>
      <c r="B26" s="33"/>
      <c r="C26" s="34"/>
      <c r="D26" s="11"/>
      <c r="E26" s="8">
        <v>173</v>
      </c>
      <c r="F26" s="33"/>
      <c r="G26" s="34"/>
      <c r="H26" s="13"/>
    </row>
    <row r="27" spans="1:8" ht="16.8" thickBot="1" x14ac:dyDescent="0.35">
      <c r="A27" s="7">
        <v>49</v>
      </c>
      <c r="B27" s="33"/>
      <c r="C27" s="34"/>
      <c r="D27" s="11"/>
      <c r="E27" s="8">
        <v>181</v>
      </c>
      <c r="F27" s="33"/>
      <c r="G27" s="34"/>
      <c r="H27" s="13"/>
    </row>
    <row r="28" spans="1:8" ht="16.8" thickBot="1" x14ac:dyDescent="0.35">
      <c r="A28" s="7">
        <v>58</v>
      </c>
      <c r="B28" s="33"/>
      <c r="C28" s="34"/>
      <c r="D28" s="11"/>
      <c r="E28" s="8">
        <v>189</v>
      </c>
      <c r="F28" s="33"/>
      <c r="G28" s="34"/>
      <c r="H28" s="13"/>
    </row>
    <row r="29" spans="1:8" ht="16.8" thickBot="1" x14ac:dyDescent="0.35">
      <c r="A29" s="7">
        <v>66</v>
      </c>
      <c r="B29" s="33"/>
      <c r="C29" s="34"/>
      <c r="D29" s="11"/>
      <c r="E29" s="8">
        <v>197</v>
      </c>
      <c r="F29" s="33"/>
      <c r="G29" s="34"/>
      <c r="H29" s="13"/>
    </row>
    <row r="30" spans="1:8" ht="16.8" thickBot="1" x14ac:dyDescent="0.35">
      <c r="A30" s="7">
        <v>74</v>
      </c>
      <c r="B30" s="33"/>
      <c r="C30" s="34"/>
      <c r="D30" s="11"/>
      <c r="E30" s="8">
        <v>206</v>
      </c>
      <c r="F30" s="33"/>
      <c r="G30" s="34"/>
      <c r="H30" s="13"/>
    </row>
    <row r="31" spans="1:8" ht="16.8" thickBot="1" x14ac:dyDescent="0.35">
      <c r="A31" s="7">
        <v>82</v>
      </c>
      <c r="B31" s="33"/>
      <c r="C31" s="34"/>
      <c r="D31" s="11"/>
      <c r="E31" s="8">
        <v>214</v>
      </c>
      <c r="F31" s="33"/>
      <c r="G31" s="34"/>
      <c r="H31" s="13"/>
    </row>
    <row r="32" spans="1:8" ht="16.8" thickBot="1" x14ac:dyDescent="0.35">
      <c r="A32" s="7">
        <v>90</v>
      </c>
      <c r="B32" s="33"/>
      <c r="C32" s="34"/>
      <c r="D32" s="11"/>
      <c r="E32" s="8">
        <v>222</v>
      </c>
      <c r="F32" s="33"/>
      <c r="G32" s="34"/>
      <c r="H32" s="13"/>
    </row>
    <row r="33" spans="1:18" ht="16.8" thickBot="1" x14ac:dyDescent="0.35">
      <c r="A33" s="7">
        <v>99</v>
      </c>
      <c r="B33" s="33"/>
      <c r="C33" s="34"/>
      <c r="D33" s="11"/>
      <c r="E33" s="8">
        <v>230</v>
      </c>
      <c r="F33" s="33"/>
      <c r="G33" s="34"/>
      <c r="H33" s="13"/>
    </row>
    <row r="34" spans="1:18" ht="16.8" thickBot="1" x14ac:dyDescent="0.35">
      <c r="A34" s="7">
        <v>107</v>
      </c>
      <c r="B34" s="33"/>
      <c r="C34" s="34"/>
      <c r="D34" s="11"/>
      <c r="E34" s="8">
        <v>239</v>
      </c>
      <c r="F34" s="33"/>
      <c r="G34" s="34"/>
      <c r="H34" s="13"/>
    </row>
    <row r="35" spans="1:18" ht="16.8" thickBot="1" x14ac:dyDescent="0.35">
      <c r="A35" s="7">
        <v>115</v>
      </c>
      <c r="B35" s="33"/>
      <c r="C35" s="34"/>
      <c r="D35" s="11"/>
      <c r="E35" s="8">
        <v>247</v>
      </c>
      <c r="F35" s="33"/>
      <c r="G35" s="34"/>
      <c r="H35" s="13"/>
    </row>
    <row r="36" spans="1:18" ht="16.8" thickBot="1" x14ac:dyDescent="0.35">
      <c r="A36" s="9">
        <v>123</v>
      </c>
      <c r="B36" s="35"/>
      <c r="C36" s="36"/>
      <c r="D36" s="12"/>
      <c r="E36" s="10">
        <v>255</v>
      </c>
      <c r="F36" s="35"/>
      <c r="G36" s="36"/>
      <c r="H36" s="14"/>
    </row>
    <row r="37" spans="1:18" ht="17.399999999999999" thickTop="1" thickBot="1" x14ac:dyDescent="0.35"/>
    <row r="38" spans="1:18" ht="17.399999999999999" thickTop="1" thickBot="1" x14ac:dyDescent="0.35">
      <c r="A38" s="54" t="s">
        <v>27</v>
      </c>
      <c r="B38" s="55"/>
      <c r="C38" s="55"/>
      <c r="D38" s="55"/>
      <c r="E38" s="55"/>
      <c r="F38" s="55"/>
      <c r="G38" s="55"/>
      <c r="H38" s="56"/>
      <c r="K38" s="54" t="s">
        <v>28</v>
      </c>
      <c r="L38" s="55"/>
      <c r="M38" s="55"/>
      <c r="N38" s="55"/>
      <c r="O38" s="55"/>
      <c r="P38" s="55"/>
      <c r="Q38" s="55"/>
      <c r="R38" s="56"/>
    </row>
    <row r="39" spans="1:18" ht="17.399999999999999" thickTop="1" thickBot="1" x14ac:dyDescent="0.35">
      <c r="A39" s="4" t="s">
        <v>23</v>
      </c>
      <c r="B39" s="5" t="s">
        <v>24</v>
      </c>
      <c r="C39" s="5" t="s">
        <v>25</v>
      </c>
      <c r="D39" s="5" t="s">
        <v>26</v>
      </c>
      <c r="E39" s="5" t="s">
        <v>23</v>
      </c>
      <c r="F39" s="5" t="s">
        <v>24</v>
      </c>
      <c r="G39" s="5" t="s">
        <v>25</v>
      </c>
      <c r="H39" s="6" t="s">
        <v>26</v>
      </c>
      <c r="K39" s="4" t="s">
        <v>23</v>
      </c>
      <c r="L39" s="5" t="s">
        <v>24</v>
      </c>
      <c r="M39" s="5" t="s">
        <v>25</v>
      </c>
      <c r="N39" s="5" t="s">
        <v>26</v>
      </c>
      <c r="O39" s="5" t="s">
        <v>23</v>
      </c>
      <c r="P39" s="5" t="s">
        <v>24</v>
      </c>
      <c r="Q39" s="5" t="s">
        <v>25</v>
      </c>
      <c r="R39" s="6" t="s">
        <v>26</v>
      </c>
    </row>
    <row r="40" spans="1:18" ht="16.8" thickBot="1" x14ac:dyDescent="0.35">
      <c r="A40" s="7">
        <v>0</v>
      </c>
      <c r="B40" s="11"/>
      <c r="C40" s="11"/>
      <c r="D40" s="11"/>
      <c r="E40" s="8">
        <v>132</v>
      </c>
      <c r="F40" s="11"/>
      <c r="G40" s="11"/>
      <c r="H40" s="13"/>
      <c r="K40" s="7">
        <v>0</v>
      </c>
      <c r="L40" s="31"/>
      <c r="M40" s="32"/>
      <c r="N40" s="11"/>
      <c r="O40" s="8">
        <v>132</v>
      </c>
      <c r="P40" s="31"/>
      <c r="Q40" s="32"/>
      <c r="R40" s="13"/>
    </row>
    <row r="41" spans="1:18" ht="16.8" thickBot="1" x14ac:dyDescent="0.35">
      <c r="A41" s="7">
        <v>8</v>
      </c>
      <c r="B41" s="11"/>
      <c r="C41" s="11"/>
      <c r="D41" s="11"/>
      <c r="E41" s="8">
        <v>140</v>
      </c>
      <c r="F41" s="11"/>
      <c r="G41" s="11"/>
      <c r="H41" s="13"/>
      <c r="K41" s="7">
        <v>8</v>
      </c>
      <c r="L41" s="33"/>
      <c r="M41" s="34"/>
      <c r="N41" s="11"/>
      <c r="O41" s="8">
        <v>140</v>
      </c>
      <c r="P41" s="33"/>
      <c r="Q41" s="34"/>
      <c r="R41" s="13"/>
    </row>
    <row r="42" spans="1:18" ht="16.8" thickBot="1" x14ac:dyDescent="0.35">
      <c r="A42" s="7">
        <v>16</v>
      </c>
      <c r="B42" s="11"/>
      <c r="C42" s="11"/>
      <c r="D42" s="11"/>
      <c r="E42" s="8">
        <v>148</v>
      </c>
      <c r="F42" s="11"/>
      <c r="G42" s="11"/>
      <c r="H42" s="13"/>
      <c r="K42" s="7">
        <v>16</v>
      </c>
      <c r="L42" s="33"/>
      <c r="M42" s="34"/>
      <c r="N42" s="11"/>
      <c r="O42" s="8">
        <v>148</v>
      </c>
      <c r="P42" s="33"/>
      <c r="Q42" s="34"/>
      <c r="R42" s="13"/>
    </row>
    <row r="43" spans="1:18" ht="16.8" thickBot="1" x14ac:dyDescent="0.35">
      <c r="A43" s="7">
        <v>25</v>
      </c>
      <c r="B43" s="11"/>
      <c r="C43" s="11"/>
      <c r="D43" s="11"/>
      <c r="E43" s="8">
        <v>156</v>
      </c>
      <c r="F43" s="11"/>
      <c r="G43" s="11"/>
      <c r="H43" s="13"/>
      <c r="K43" s="7">
        <v>25</v>
      </c>
      <c r="L43" s="33"/>
      <c r="M43" s="34"/>
      <c r="N43" s="11"/>
      <c r="O43" s="8">
        <v>156</v>
      </c>
      <c r="P43" s="33"/>
      <c r="Q43" s="34"/>
      <c r="R43" s="13"/>
    </row>
    <row r="44" spans="1:18" ht="16.8" thickBot="1" x14ac:dyDescent="0.35">
      <c r="A44" s="7">
        <v>33</v>
      </c>
      <c r="B44" s="11"/>
      <c r="C44" s="11"/>
      <c r="D44" s="11"/>
      <c r="E44" s="8">
        <v>165</v>
      </c>
      <c r="F44" s="11"/>
      <c r="G44" s="11"/>
      <c r="H44" s="13"/>
      <c r="K44" s="7">
        <v>33</v>
      </c>
      <c r="L44" s="33"/>
      <c r="M44" s="34"/>
      <c r="N44" s="11"/>
      <c r="O44" s="8">
        <v>165</v>
      </c>
      <c r="P44" s="33"/>
      <c r="Q44" s="34"/>
      <c r="R44" s="13"/>
    </row>
    <row r="45" spans="1:18" ht="16.8" thickBot="1" x14ac:dyDescent="0.35">
      <c r="A45" s="7">
        <v>41</v>
      </c>
      <c r="B45" s="11"/>
      <c r="C45" s="11"/>
      <c r="D45" s="11"/>
      <c r="E45" s="8">
        <v>173</v>
      </c>
      <c r="F45" s="11"/>
      <c r="G45" s="11"/>
      <c r="H45" s="13"/>
      <c r="K45" s="7">
        <v>41</v>
      </c>
      <c r="L45" s="33"/>
      <c r="M45" s="34"/>
      <c r="N45" s="11"/>
      <c r="O45" s="8">
        <v>173</v>
      </c>
      <c r="P45" s="33"/>
      <c r="Q45" s="34"/>
      <c r="R45" s="13"/>
    </row>
    <row r="46" spans="1:18" ht="16.8" thickBot="1" x14ac:dyDescent="0.35">
      <c r="A46" s="7">
        <v>49</v>
      </c>
      <c r="B46" s="11"/>
      <c r="C46" s="11"/>
      <c r="D46" s="11"/>
      <c r="E46" s="8">
        <v>181</v>
      </c>
      <c r="F46" s="11"/>
      <c r="G46" s="11"/>
      <c r="H46" s="13"/>
      <c r="K46" s="7">
        <v>49</v>
      </c>
      <c r="L46" s="33"/>
      <c r="M46" s="34"/>
      <c r="N46" s="11"/>
      <c r="O46" s="8">
        <v>181</v>
      </c>
      <c r="P46" s="33"/>
      <c r="Q46" s="34"/>
      <c r="R46" s="13"/>
    </row>
    <row r="47" spans="1:18" ht="16.8" thickBot="1" x14ac:dyDescent="0.35">
      <c r="A47" s="7">
        <v>58</v>
      </c>
      <c r="B47" s="11"/>
      <c r="C47" s="11"/>
      <c r="D47" s="11"/>
      <c r="E47" s="8">
        <v>189</v>
      </c>
      <c r="F47" s="11"/>
      <c r="G47" s="11"/>
      <c r="H47" s="13"/>
      <c r="K47" s="7">
        <v>58</v>
      </c>
      <c r="L47" s="33"/>
      <c r="M47" s="34"/>
      <c r="N47" s="11"/>
      <c r="O47" s="8">
        <v>189</v>
      </c>
      <c r="P47" s="33"/>
      <c r="Q47" s="34"/>
      <c r="R47" s="13"/>
    </row>
    <row r="48" spans="1:18" ht="16.8" thickBot="1" x14ac:dyDescent="0.35">
      <c r="A48" s="7">
        <v>66</v>
      </c>
      <c r="B48" s="11"/>
      <c r="C48" s="11"/>
      <c r="D48" s="11"/>
      <c r="E48" s="8">
        <v>197</v>
      </c>
      <c r="F48" s="11"/>
      <c r="G48" s="11"/>
      <c r="H48" s="13"/>
      <c r="K48" s="7">
        <v>66</v>
      </c>
      <c r="L48" s="33"/>
      <c r="M48" s="34"/>
      <c r="N48" s="11"/>
      <c r="O48" s="8">
        <v>197</v>
      </c>
      <c r="P48" s="33"/>
      <c r="Q48" s="34"/>
      <c r="R48" s="13"/>
    </row>
    <row r="49" spans="1:18" ht="16.8" thickBot="1" x14ac:dyDescent="0.35">
      <c r="A49" s="7">
        <v>74</v>
      </c>
      <c r="B49" s="11"/>
      <c r="C49" s="11"/>
      <c r="D49" s="11"/>
      <c r="E49" s="8">
        <v>206</v>
      </c>
      <c r="F49" s="11"/>
      <c r="G49" s="11"/>
      <c r="H49" s="13"/>
      <c r="K49" s="7">
        <v>74</v>
      </c>
      <c r="L49" s="33"/>
      <c r="M49" s="34"/>
      <c r="N49" s="11"/>
      <c r="O49" s="8">
        <v>206</v>
      </c>
      <c r="P49" s="33"/>
      <c r="Q49" s="34"/>
      <c r="R49" s="13"/>
    </row>
    <row r="50" spans="1:18" ht="16.8" thickBot="1" x14ac:dyDescent="0.35">
      <c r="A50" s="7">
        <v>82</v>
      </c>
      <c r="B50" s="11"/>
      <c r="C50" s="11"/>
      <c r="D50" s="11"/>
      <c r="E50" s="8">
        <v>214</v>
      </c>
      <c r="F50" s="11"/>
      <c r="G50" s="11"/>
      <c r="H50" s="13"/>
      <c r="K50" s="7">
        <v>82</v>
      </c>
      <c r="L50" s="33"/>
      <c r="M50" s="34"/>
      <c r="N50" s="11"/>
      <c r="O50" s="8">
        <v>214</v>
      </c>
      <c r="P50" s="33"/>
      <c r="Q50" s="34"/>
      <c r="R50" s="13"/>
    </row>
    <row r="51" spans="1:18" ht="16.8" thickBot="1" x14ac:dyDescent="0.35">
      <c r="A51" s="7">
        <v>90</v>
      </c>
      <c r="B51" s="11"/>
      <c r="C51" s="11"/>
      <c r="D51" s="11"/>
      <c r="E51" s="8">
        <v>222</v>
      </c>
      <c r="F51" s="11"/>
      <c r="G51" s="11"/>
      <c r="H51" s="13"/>
      <c r="K51" s="7">
        <v>90</v>
      </c>
      <c r="L51" s="33"/>
      <c r="M51" s="34"/>
      <c r="N51" s="11"/>
      <c r="O51" s="8">
        <v>222</v>
      </c>
      <c r="P51" s="33"/>
      <c r="Q51" s="34"/>
      <c r="R51" s="13"/>
    </row>
    <row r="52" spans="1:18" ht="16.8" thickBot="1" x14ac:dyDescent="0.35">
      <c r="A52" s="7">
        <v>99</v>
      </c>
      <c r="B52" s="11"/>
      <c r="C52" s="11"/>
      <c r="D52" s="11"/>
      <c r="E52" s="8">
        <v>230</v>
      </c>
      <c r="F52" s="11"/>
      <c r="G52" s="11"/>
      <c r="H52" s="13"/>
      <c r="K52" s="7">
        <v>99</v>
      </c>
      <c r="L52" s="33"/>
      <c r="M52" s="34"/>
      <c r="N52" s="11"/>
      <c r="O52" s="8">
        <v>230</v>
      </c>
      <c r="P52" s="33"/>
      <c r="Q52" s="34"/>
      <c r="R52" s="13"/>
    </row>
    <row r="53" spans="1:18" ht="16.8" thickBot="1" x14ac:dyDescent="0.35">
      <c r="A53" s="7">
        <v>107</v>
      </c>
      <c r="B53" s="11"/>
      <c r="C53" s="11"/>
      <c r="D53" s="11"/>
      <c r="E53" s="8">
        <v>239</v>
      </c>
      <c r="F53" s="11"/>
      <c r="G53" s="11"/>
      <c r="H53" s="13"/>
      <c r="K53" s="7">
        <v>107</v>
      </c>
      <c r="L53" s="33"/>
      <c r="M53" s="34"/>
      <c r="N53" s="11"/>
      <c r="O53" s="8">
        <v>239</v>
      </c>
      <c r="P53" s="33"/>
      <c r="Q53" s="34"/>
      <c r="R53" s="13"/>
    </row>
    <row r="54" spans="1:18" ht="16.8" thickBot="1" x14ac:dyDescent="0.35">
      <c r="A54" s="7">
        <v>115</v>
      </c>
      <c r="B54" s="11"/>
      <c r="C54" s="11"/>
      <c r="D54" s="11"/>
      <c r="E54" s="8">
        <v>247</v>
      </c>
      <c r="F54" s="11"/>
      <c r="G54" s="11"/>
      <c r="H54" s="13"/>
      <c r="K54" s="7">
        <v>115</v>
      </c>
      <c r="L54" s="33"/>
      <c r="M54" s="34"/>
      <c r="N54" s="11"/>
      <c r="O54" s="8">
        <v>247</v>
      </c>
      <c r="P54" s="33"/>
      <c r="Q54" s="34"/>
      <c r="R54" s="13"/>
    </row>
    <row r="55" spans="1:18" ht="16.8" thickBot="1" x14ac:dyDescent="0.35">
      <c r="A55" s="9">
        <v>123</v>
      </c>
      <c r="B55" s="12"/>
      <c r="C55" s="12"/>
      <c r="D55" s="12"/>
      <c r="E55" s="10">
        <v>255</v>
      </c>
      <c r="F55" s="12"/>
      <c r="G55" s="12"/>
      <c r="H55" s="14"/>
      <c r="K55" s="9">
        <v>123</v>
      </c>
      <c r="L55" s="35"/>
      <c r="M55" s="36"/>
      <c r="N55" s="12"/>
      <c r="O55" s="10">
        <v>255</v>
      </c>
      <c r="P55" s="35"/>
      <c r="Q55" s="36"/>
      <c r="R55" s="14"/>
    </row>
    <row r="56" spans="1:18" ht="17.399999999999999" thickTop="1" thickBot="1" x14ac:dyDescent="0.35"/>
    <row r="57" spans="1:18" ht="17.399999999999999" thickTop="1" thickBot="1" x14ac:dyDescent="0.35">
      <c r="A57" s="54" t="s">
        <v>29</v>
      </c>
      <c r="B57" s="55"/>
      <c r="C57" s="55"/>
      <c r="D57" s="55"/>
      <c r="E57" s="55"/>
      <c r="F57" s="55"/>
      <c r="G57" s="55"/>
      <c r="H57" s="56"/>
    </row>
    <row r="58" spans="1:18" ht="17.399999999999999" thickTop="1" thickBot="1" x14ac:dyDescent="0.35">
      <c r="A58" s="4" t="s">
        <v>23</v>
      </c>
      <c r="B58" s="5" t="s">
        <v>24</v>
      </c>
      <c r="C58" s="5" t="s">
        <v>25</v>
      </c>
      <c r="D58" s="5" t="s">
        <v>26</v>
      </c>
      <c r="E58" s="5" t="s">
        <v>23</v>
      </c>
      <c r="F58" s="5" t="s">
        <v>24</v>
      </c>
      <c r="G58" s="5" t="s">
        <v>25</v>
      </c>
      <c r="H58" s="6" t="s">
        <v>26</v>
      </c>
    </row>
    <row r="59" spans="1:18" ht="16.8" thickBot="1" x14ac:dyDescent="0.35">
      <c r="A59" s="7">
        <v>0</v>
      </c>
      <c r="B59" s="11"/>
      <c r="C59" s="11"/>
      <c r="D59" s="11"/>
      <c r="E59" s="8">
        <v>132</v>
      </c>
      <c r="F59" s="11"/>
      <c r="G59" s="11"/>
      <c r="H59" s="13"/>
    </row>
    <row r="60" spans="1:18" ht="16.8" thickBot="1" x14ac:dyDescent="0.35">
      <c r="A60" s="7">
        <v>8</v>
      </c>
      <c r="B60" s="11"/>
      <c r="C60" s="11"/>
      <c r="D60" s="11"/>
      <c r="E60" s="8">
        <v>140</v>
      </c>
      <c r="F60" s="11"/>
      <c r="G60" s="11"/>
      <c r="H60" s="13"/>
    </row>
    <row r="61" spans="1:18" ht="16.8" thickBot="1" x14ac:dyDescent="0.35">
      <c r="A61" s="7">
        <v>16</v>
      </c>
      <c r="B61" s="11"/>
      <c r="C61" s="11"/>
      <c r="D61" s="11"/>
      <c r="E61" s="8">
        <v>148</v>
      </c>
      <c r="F61" s="11"/>
      <c r="G61" s="11"/>
      <c r="H61" s="13"/>
    </row>
    <row r="62" spans="1:18" ht="16.8" thickBot="1" x14ac:dyDescent="0.35">
      <c r="A62" s="7">
        <v>25</v>
      </c>
      <c r="B62" s="11"/>
      <c r="C62" s="11"/>
      <c r="D62" s="11"/>
      <c r="E62" s="8">
        <v>156</v>
      </c>
      <c r="F62" s="11"/>
      <c r="G62" s="11"/>
      <c r="H62" s="13"/>
    </row>
    <row r="63" spans="1:18" ht="16.8" thickBot="1" x14ac:dyDescent="0.35">
      <c r="A63" s="7">
        <v>33</v>
      </c>
      <c r="B63" s="11"/>
      <c r="C63" s="11"/>
      <c r="D63" s="11"/>
      <c r="E63" s="8">
        <v>165</v>
      </c>
      <c r="F63" s="11"/>
      <c r="G63" s="11"/>
      <c r="H63" s="13"/>
    </row>
    <row r="64" spans="1:18" ht="16.8" thickBot="1" x14ac:dyDescent="0.35">
      <c r="A64" s="7">
        <v>41</v>
      </c>
      <c r="B64" s="11"/>
      <c r="C64" s="11"/>
      <c r="D64" s="11"/>
      <c r="E64" s="8">
        <v>173</v>
      </c>
      <c r="F64" s="11"/>
      <c r="G64" s="11"/>
      <c r="H64" s="13"/>
    </row>
    <row r="65" spans="1:8" ht="16.8" thickBot="1" x14ac:dyDescent="0.35">
      <c r="A65" s="7">
        <v>49</v>
      </c>
      <c r="B65" s="11"/>
      <c r="C65" s="11"/>
      <c r="D65" s="11"/>
      <c r="E65" s="8">
        <v>181</v>
      </c>
      <c r="F65" s="11"/>
      <c r="G65" s="11"/>
      <c r="H65" s="13"/>
    </row>
    <row r="66" spans="1:8" ht="16.8" thickBot="1" x14ac:dyDescent="0.35">
      <c r="A66" s="7">
        <v>58</v>
      </c>
      <c r="B66" s="11"/>
      <c r="C66" s="11"/>
      <c r="D66" s="11"/>
      <c r="E66" s="8">
        <v>189</v>
      </c>
      <c r="F66" s="11"/>
      <c r="G66" s="11"/>
      <c r="H66" s="13"/>
    </row>
    <row r="67" spans="1:8" ht="16.8" thickBot="1" x14ac:dyDescent="0.35">
      <c r="A67" s="7">
        <v>66</v>
      </c>
      <c r="B67" s="11"/>
      <c r="C67" s="11"/>
      <c r="D67" s="11"/>
      <c r="E67" s="8">
        <v>197</v>
      </c>
      <c r="F67" s="11"/>
      <c r="G67" s="11"/>
      <c r="H67" s="13"/>
    </row>
    <row r="68" spans="1:8" ht="16.8" thickBot="1" x14ac:dyDescent="0.35">
      <c r="A68" s="7">
        <v>74</v>
      </c>
      <c r="B68" s="11"/>
      <c r="C68" s="11"/>
      <c r="D68" s="11"/>
      <c r="E68" s="8">
        <v>206</v>
      </c>
      <c r="F68" s="11"/>
      <c r="G68" s="11"/>
      <c r="H68" s="13"/>
    </row>
    <row r="69" spans="1:8" ht="16.8" thickBot="1" x14ac:dyDescent="0.35">
      <c r="A69" s="7">
        <v>82</v>
      </c>
      <c r="B69" s="11"/>
      <c r="C69" s="11"/>
      <c r="D69" s="11"/>
      <c r="E69" s="8">
        <v>214</v>
      </c>
      <c r="F69" s="11"/>
      <c r="G69" s="11"/>
      <c r="H69" s="13"/>
    </row>
    <row r="70" spans="1:8" ht="16.8" thickBot="1" x14ac:dyDescent="0.35">
      <c r="A70" s="7">
        <v>90</v>
      </c>
      <c r="B70" s="11"/>
      <c r="C70" s="11"/>
      <c r="D70" s="11"/>
      <c r="E70" s="8">
        <v>222</v>
      </c>
      <c r="F70" s="11"/>
      <c r="G70" s="11"/>
      <c r="H70" s="13"/>
    </row>
    <row r="71" spans="1:8" ht="16.8" thickBot="1" x14ac:dyDescent="0.35">
      <c r="A71" s="7">
        <v>99</v>
      </c>
      <c r="B71" s="11"/>
      <c r="C71" s="11"/>
      <c r="D71" s="11"/>
      <c r="E71" s="8">
        <v>230</v>
      </c>
      <c r="F71" s="11"/>
      <c r="G71" s="11"/>
      <c r="H71" s="13"/>
    </row>
    <row r="72" spans="1:8" ht="16.8" thickBot="1" x14ac:dyDescent="0.35">
      <c r="A72" s="7">
        <v>107</v>
      </c>
      <c r="B72" s="11"/>
      <c r="C72" s="11"/>
      <c r="D72" s="11"/>
      <c r="E72" s="8">
        <v>239</v>
      </c>
      <c r="F72" s="11"/>
      <c r="G72" s="11"/>
      <c r="H72" s="13"/>
    </row>
    <row r="73" spans="1:8" ht="16.8" thickBot="1" x14ac:dyDescent="0.35">
      <c r="A73" s="7">
        <v>115</v>
      </c>
      <c r="B73" s="11"/>
      <c r="C73" s="11"/>
      <c r="D73" s="11"/>
      <c r="E73" s="8">
        <v>247</v>
      </c>
      <c r="F73" s="11"/>
      <c r="G73" s="11"/>
      <c r="H73" s="13"/>
    </row>
    <row r="74" spans="1:8" ht="16.8" thickBot="1" x14ac:dyDescent="0.35">
      <c r="A74" s="9">
        <v>123</v>
      </c>
      <c r="B74" s="12"/>
      <c r="C74" s="12"/>
      <c r="D74" s="12"/>
      <c r="E74" s="10">
        <v>255</v>
      </c>
      <c r="F74" s="12"/>
      <c r="G74" s="12"/>
      <c r="H74" s="14"/>
    </row>
    <row r="75" spans="1:8" ht="17.399999999999999" thickTop="1" thickBot="1" x14ac:dyDescent="0.35"/>
    <row r="76" spans="1:8" ht="17.399999999999999" thickTop="1" thickBot="1" x14ac:dyDescent="0.35">
      <c r="A76" s="54" t="s">
        <v>30</v>
      </c>
      <c r="B76" s="55"/>
      <c r="C76" s="55"/>
      <c r="D76" s="55"/>
      <c r="E76" s="55"/>
      <c r="F76" s="55"/>
      <c r="G76" s="55"/>
      <c r="H76" s="56"/>
    </row>
    <row r="77" spans="1:8" ht="17.399999999999999" thickTop="1" thickBot="1" x14ac:dyDescent="0.35">
      <c r="A77" s="4" t="s">
        <v>23</v>
      </c>
      <c r="B77" s="5" t="s">
        <v>24</v>
      </c>
      <c r="C77" s="5" t="s">
        <v>25</v>
      </c>
      <c r="D77" s="5" t="s">
        <v>26</v>
      </c>
      <c r="E77" s="5" t="s">
        <v>23</v>
      </c>
      <c r="F77" s="5" t="s">
        <v>24</v>
      </c>
      <c r="G77" s="5" t="s">
        <v>25</v>
      </c>
      <c r="H77" s="6" t="s">
        <v>26</v>
      </c>
    </row>
    <row r="78" spans="1:8" ht="16.8" thickBot="1" x14ac:dyDescent="0.35">
      <c r="A78" s="7">
        <v>0</v>
      </c>
      <c r="B78" s="11"/>
      <c r="C78" s="11"/>
      <c r="D78" s="11"/>
      <c r="E78" s="8">
        <v>132</v>
      </c>
      <c r="F78" s="11"/>
      <c r="G78" s="11"/>
      <c r="H78" s="13"/>
    </row>
    <row r="79" spans="1:8" ht="16.8" thickBot="1" x14ac:dyDescent="0.35">
      <c r="A79" s="7">
        <v>8</v>
      </c>
      <c r="B79" s="11"/>
      <c r="C79" s="11"/>
      <c r="D79" s="11"/>
      <c r="E79" s="8">
        <v>140</v>
      </c>
      <c r="F79" s="11"/>
      <c r="G79" s="11"/>
      <c r="H79" s="13"/>
    </row>
    <row r="80" spans="1:8" ht="16.8" thickBot="1" x14ac:dyDescent="0.35">
      <c r="A80" s="7">
        <v>16</v>
      </c>
      <c r="B80" s="11"/>
      <c r="C80" s="11"/>
      <c r="D80" s="11"/>
      <c r="E80" s="8">
        <v>148</v>
      </c>
      <c r="F80" s="11"/>
      <c r="G80" s="11"/>
      <c r="H80" s="13"/>
    </row>
    <row r="81" spans="1:8" ht="16.8" thickBot="1" x14ac:dyDescent="0.35">
      <c r="A81" s="7">
        <v>25</v>
      </c>
      <c r="B81" s="11"/>
      <c r="C81" s="11"/>
      <c r="D81" s="11"/>
      <c r="E81" s="8">
        <v>156</v>
      </c>
      <c r="F81" s="11"/>
      <c r="G81" s="11"/>
      <c r="H81" s="13"/>
    </row>
    <row r="82" spans="1:8" ht="16.8" thickBot="1" x14ac:dyDescent="0.35">
      <c r="A82" s="7">
        <v>33</v>
      </c>
      <c r="B82" s="11"/>
      <c r="C82" s="11"/>
      <c r="D82" s="11"/>
      <c r="E82" s="8">
        <v>165</v>
      </c>
      <c r="F82" s="11"/>
      <c r="G82" s="11"/>
      <c r="H82" s="13"/>
    </row>
    <row r="83" spans="1:8" ht="16.8" thickBot="1" x14ac:dyDescent="0.35">
      <c r="A83" s="7">
        <v>41</v>
      </c>
      <c r="B83" s="11"/>
      <c r="C83" s="11"/>
      <c r="D83" s="11"/>
      <c r="E83" s="8">
        <v>173</v>
      </c>
      <c r="F83" s="11"/>
      <c r="G83" s="11"/>
      <c r="H83" s="13"/>
    </row>
    <row r="84" spans="1:8" ht="16.8" thickBot="1" x14ac:dyDescent="0.35">
      <c r="A84" s="7">
        <v>49</v>
      </c>
      <c r="B84" s="11"/>
      <c r="C84" s="11"/>
      <c r="D84" s="11"/>
      <c r="E84" s="8">
        <v>181</v>
      </c>
      <c r="F84" s="11"/>
      <c r="G84" s="11"/>
      <c r="H84" s="13"/>
    </row>
    <row r="85" spans="1:8" ht="16.8" thickBot="1" x14ac:dyDescent="0.35">
      <c r="A85" s="7">
        <v>58</v>
      </c>
      <c r="B85" s="11"/>
      <c r="C85" s="11"/>
      <c r="D85" s="11"/>
      <c r="E85" s="8">
        <v>189</v>
      </c>
      <c r="F85" s="11"/>
      <c r="G85" s="11"/>
      <c r="H85" s="13"/>
    </row>
    <row r="86" spans="1:8" ht="16.8" thickBot="1" x14ac:dyDescent="0.35">
      <c r="A86" s="7">
        <v>66</v>
      </c>
      <c r="B86" s="11"/>
      <c r="C86" s="11"/>
      <c r="D86" s="11"/>
      <c r="E86" s="8">
        <v>197</v>
      </c>
      <c r="F86" s="11"/>
      <c r="G86" s="11"/>
      <c r="H86" s="13"/>
    </row>
    <row r="87" spans="1:8" ht="16.8" thickBot="1" x14ac:dyDescent="0.35">
      <c r="A87" s="7">
        <v>74</v>
      </c>
      <c r="B87" s="11"/>
      <c r="C87" s="11"/>
      <c r="D87" s="11"/>
      <c r="E87" s="8">
        <v>206</v>
      </c>
      <c r="F87" s="11"/>
      <c r="G87" s="11"/>
      <c r="H87" s="13"/>
    </row>
    <row r="88" spans="1:8" ht="16.8" thickBot="1" x14ac:dyDescent="0.35">
      <c r="A88" s="7">
        <v>82</v>
      </c>
      <c r="B88" s="11"/>
      <c r="C88" s="11"/>
      <c r="D88" s="11"/>
      <c r="E88" s="8">
        <v>214</v>
      </c>
      <c r="F88" s="11"/>
      <c r="G88" s="11"/>
      <c r="H88" s="13"/>
    </row>
    <row r="89" spans="1:8" ht="16.8" thickBot="1" x14ac:dyDescent="0.35">
      <c r="A89" s="7">
        <v>90</v>
      </c>
      <c r="B89" s="11"/>
      <c r="C89" s="11"/>
      <c r="D89" s="11"/>
      <c r="E89" s="8">
        <v>222</v>
      </c>
      <c r="F89" s="11"/>
      <c r="G89" s="11"/>
      <c r="H89" s="13"/>
    </row>
    <row r="90" spans="1:8" ht="16.8" thickBot="1" x14ac:dyDescent="0.35">
      <c r="A90" s="7">
        <v>99</v>
      </c>
      <c r="B90" s="11"/>
      <c r="C90" s="11"/>
      <c r="D90" s="11"/>
      <c r="E90" s="8">
        <v>230</v>
      </c>
      <c r="F90" s="11"/>
      <c r="G90" s="11"/>
      <c r="H90" s="13"/>
    </row>
    <row r="91" spans="1:8" ht="16.8" thickBot="1" x14ac:dyDescent="0.35">
      <c r="A91" s="7">
        <v>107</v>
      </c>
      <c r="B91" s="11"/>
      <c r="C91" s="11"/>
      <c r="D91" s="11"/>
      <c r="E91" s="8">
        <v>239</v>
      </c>
      <c r="F91" s="11"/>
      <c r="G91" s="11"/>
      <c r="H91" s="13"/>
    </row>
    <row r="92" spans="1:8" ht="16.8" thickBot="1" x14ac:dyDescent="0.35">
      <c r="A92" s="7">
        <v>115</v>
      </c>
      <c r="B92" s="11"/>
      <c r="C92" s="11"/>
      <c r="D92" s="11"/>
      <c r="E92" s="8">
        <v>247</v>
      </c>
      <c r="F92" s="11"/>
      <c r="G92" s="11"/>
      <c r="H92" s="13"/>
    </row>
    <row r="93" spans="1:8" ht="16.8" thickBot="1" x14ac:dyDescent="0.35">
      <c r="A93" s="9">
        <v>123</v>
      </c>
      <c r="B93" s="12"/>
      <c r="C93" s="12"/>
      <c r="D93" s="12"/>
      <c r="E93" s="10">
        <v>255</v>
      </c>
      <c r="F93" s="12"/>
      <c r="G93" s="12"/>
      <c r="H93" s="14"/>
    </row>
    <row r="94" spans="1:8" ht="17.399999999999999" thickTop="1" thickBot="1" x14ac:dyDescent="0.35"/>
    <row r="95" spans="1:8" ht="17.399999999999999" thickTop="1" thickBot="1" x14ac:dyDescent="0.35">
      <c r="A95" s="54" t="s">
        <v>31</v>
      </c>
      <c r="B95" s="55"/>
      <c r="C95" s="55"/>
      <c r="D95" s="55"/>
      <c r="E95" s="55"/>
      <c r="F95" s="55"/>
      <c r="G95" s="55"/>
      <c r="H95" s="56"/>
    </row>
    <row r="96" spans="1:8" ht="17.399999999999999" thickTop="1" thickBot="1" x14ac:dyDescent="0.35">
      <c r="A96" s="4" t="s">
        <v>23</v>
      </c>
      <c r="B96" s="5" t="s">
        <v>24</v>
      </c>
      <c r="C96" s="5" t="s">
        <v>25</v>
      </c>
      <c r="D96" s="5" t="s">
        <v>26</v>
      </c>
      <c r="E96" s="5" t="s">
        <v>23</v>
      </c>
      <c r="F96" s="5" t="s">
        <v>24</v>
      </c>
      <c r="G96" s="5" t="s">
        <v>25</v>
      </c>
      <c r="H96" s="6" t="s">
        <v>26</v>
      </c>
    </row>
    <row r="97" spans="1:17" ht="16.8" thickBot="1" x14ac:dyDescent="0.35">
      <c r="A97" s="7">
        <v>0</v>
      </c>
      <c r="B97" s="11"/>
      <c r="C97" s="11"/>
      <c r="D97" s="11"/>
      <c r="E97" s="8">
        <v>132</v>
      </c>
      <c r="F97" s="11"/>
      <c r="G97" s="11"/>
      <c r="H97" s="13"/>
    </row>
    <row r="98" spans="1:17" ht="16.8" thickBot="1" x14ac:dyDescent="0.35">
      <c r="A98" s="7">
        <v>8</v>
      </c>
      <c r="B98" s="11"/>
      <c r="C98" s="11"/>
      <c r="D98" s="11"/>
      <c r="E98" s="8">
        <v>140</v>
      </c>
      <c r="F98" s="11"/>
      <c r="G98" s="11"/>
      <c r="H98" s="13"/>
    </row>
    <row r="99" spans="1:17" ht="16.8" thickBot="1" x14ac:dyDescent="0.35">
      <c r="A99" s="7">
        <v>16</v>
      </c>
      <c r="B99" s="11"/>
      <c r="C99" s="11"/>
      <c r="D99" s="11"/>
      <c r="E99" s="8">
        <v>148</v>
      </c>
      <c r="F99" s="11"/>
      <c r="G99" s="11"/>
      <c r="H99" s="13"/>
    </row>
    <row r="100" spans="1:17" ht="16.8" thickBot="1" x14ac:dyDescent="0.35">
      <c r="A100" s="7">
        <v>25</v>
      </c>
      <c r="B100" s="11"/>
      <c r="C100" s="11"/>
      <c r="D100" s="11"/>
      <c r="E100" s="8">
        <v>156</v>
      </c>
      <c r="F100" s="11"/>
      <c r="G100" s="11"/>
      <c r="H100" s="13"/>
    </row>
    <row r="101" spans="1:17" ht="16.8" thickBot="1" x14ac:dyDescent="0.35">
      <c r="A101" s="7">
        <v>33</v>
      </c>
      <c r="B101" s="11"/>
      <c r="C101" s="11"/>
      <c r="D101" s="11"/>
      <c r="E101" s="8">
        <v>165</v>
      </c>
      <c r="F101" s="11"/>
      <c r="G101" s="11"/>
      <c r="H101" s="13"/>
    </row>
    <row r="102" spans="1:17" ht="16.8" thickBot="1" x14ac:dyDescent="0.35">
      <c r="A102" s="7">
        <v>41</v>
      </c>
      <c r="B102" s="11"/>
      <c r="C102" s="11"/>
      <c r="D102" s="11"/>
      <c r="E102" s="8">
        <v>173</v>
      </c>
      <c r="F102" s="11"/>
      <c r="G102" s="11"/>
      <c r="H102" s="13"/>
    </row>
    <row r="103" spans="1:17" ht="16.8" thickBot="1" x14ac:dyDescent="0.35">
      <c r="A103" s="7">
        <v>49</v>
      </c>
      <c r="B103" s="11"/>
      <c r="C103" s="11"/>
      <c r="D103" s="11"/>
      <c r="E103" s="8">
        <v>181</v>
      </c>
      <c r="F103" s="11"/>
      <c r="G103" s="11"/>
      <c r="H103" s="13"/>
    </row>
    <row r="104" spans="1:17" ht="16.8" thickBot="1" x14ac:dyDescent="0.35">
      <c r="A104" s="7">
        <v>58</v>
      </c>
      <c r="B104" s="11"/>
      <c r="C104" s="11"/>
      <c r="D104" s="11"/>
      <c r="E104" s="8">
        <v>189</v>
      </c>
      <c r="F104" s="11"/>
      <c r="G104" s="11"/>
      <c r="H104" s="13"/>
    </row>
    <row r="105" spans="1:17" ht="17.399999999999999" thickTop="1" thickBot="1" x14ac:dyDescent="0.35">
      <c r="A105" s="7">
        <v>66</v>
      </c>
      <c r="B105" s="11"/>
      <c r="C105" s="11"/>
      <c r="D105" s="11"/>
      <c r="E105" s="8">
        <v>197</v>
      </c>
      <c r="F105" s="11"/>
      <c r="G105" s="11"/>
      <c r="H105" s="13"/>
      <c r="K105" s="78" t="s">
        <v>58</v>
      </c>
      <c r="L105" s="79"/>
      <c r="M105" s="80"/>
      <c r="N105" s="41"/>
      <c r="O105" s="81" t="s">
        <v>62</v>
      </c>
      <c r="P105" s="82"/>
      <c r="Q105" s="83"/>
    </row>
    <row r="106" spans="1:17" ht="16.8" thickBot="1" x14ac:dyDescent="0.35">
      <c r="A106" s="7">
        <v>74</v>
      </c>
      <c r="B106" s="11"/>
      <c r="C106" s="11"/>
      <c r="D106" s="11"/>
      <c r="E106" s="8">
        <v>206</v>
      </c>
      <c r="F106" s="11"/>
      <c r="G106" s="11"/>
      <c r="H106" s="13"/>
      <c r="K106" s="44" t="s">
        <v>59</v>
      </c>
      <c r="L106" s="50">
        <v>0.64</v>
      </c>
      <c r="M106" s="51">
        <v>0.33</v>
      </c>
      <c r="N106" s="41"/>
      <c r="O106" s="42" t="s">
        <v>63</v>
      </c>
      <c r="P106" s="52" t="str">
        <f>IF(F74="","",F74)</f>
        <v/>
      </c>
      <c r="Q106" s="53" t="str">
        <f>IF(G74="","",G74)</f>
        <v/>
      </c>
    </row>
    <row r="107" spans="1:17" ht="16.8" thickBot="1" x14ac:dyDescent="0.35">
      <c r="A107" s="7">
        <v>82</v>
      </c>
      <c r="B107" s="11"/>
      <c r="C107" s="11"/>
      <c r="D107" s="11"/>
      <c r="E107" s="8">
        <v>214</v>
      </c>
      <c r="F107" s="11"/>
      <c r="G107" s="11"/>
      <c r="H107" s="13"/>
      <c r="K107" s="44" t="s">
        <v>60</v>
      </c>
      <c r="L107" s="50">
        <v>0.3</v>
      </c>
      <c r="M107" s="51">
        <v>0.6</v>
      </c>
      <c r="N107" s="41"/>
      <c r="O107" s="42" t="s">
        <v>64</v>
      </c>
      <c r="P107" s="52" t="str">
        <f>IF(F93="","",F93)</f>
        <v/>
      </c>
      <c r="Q107" s="53" t="str">
        <f>IF(G93="","",G93)</f>
        <v/>
      </c>
    </row>
    <row r="108" spans="1:17" ht="16.8" thickBot="1" x14ac:dyDescent="0.35">
      <c r="A108" s="7">
        <v>90</v>
      </c>
      <c r="B108" s="11"/>
      <c r="C108" s="11"/>
      <c r="D108" s="11"/>
      <c r="E108" s="8">
        <v>222</v>
      </c>
      <c r="F108" s="11"/>
      <c r="G108" s="11"/>
      <c r="H108" s="13"/>
      <c r="K108" s="44" t="s">
        <v>61</v>
      </c>
      <c r="L108" s="50">
        <v>0.15</v>
      </c>
      <c r="M108" s="51">
        <v>0.06</v>
      </c>
      <c r="N108" s="41"/>
      <c r="O108" s="42" t="s">
        <v>65</v>
      </c>
      <c r="P108" s="52" t="str">
        <f>IF(F112="","",F112)</f>
        <v/>
      </c>
      <c r="Q108" s="53" t="str">
        <f>IF(G112="","",G112)</f>
        <v/>
      </c>
    </row>
    <row r="109" spans="1:17" ht="16.8" thickBot="1" x14ac:dyDescent="0.35">
      <c r="A109" s="7">
        <v>99</v>
      </c>
      <c r="B109" s="11"/>
      <c r="C109" s="11"/>
      <c r="D109" s="11"/>
      <c r="E109" s="8">
        <v>230</v>
      </c>
      <c r="F109" s="11"/>
      <c r="G109" s="11"/>
      <c r="H109" s="13"/>
      <c r="K109" s="45" t="s">
        <v>66</v>
      </c>
      <c r="L109" s="46">
        <v>0.313</v>
      </c>
      <c r="M109" s="47">
        <v>0.32900000000000001</v>
      </c>
      <c r="N109" s="41"/>
      <c r="O109" s="43" t="s">
        <v>67</v>
      </c>
      <c r="P109" s="48" t="str">
        <f>IF(F55="","",F55)</f>
        <v/>
      </c>
      <c r="Q109" s="49" t="str">
        <f>IF(G55="","",G55)</f>
        <v/>
      </c>
    </row>
    <row r="110" spans="1:17" ht="16.8" thickBot="1" x14ac:dyDescent="0.35">
      <c r="A110" s="7">
        <v>107</v>
      </c>
      <c r="B110" s="11"/>
      <c r="C110" s="11"/>
      <c r="D110" s="11"/>
      <c r="E110" s="8">
        <v>239</v>
      </c>
      <c r="F110" s="11"/>
      <c r="G110" s="11"/>
      <c r="H110" s="13"/>
    </row>
    <row r="111" spans="1:17" ht="16.8" thickBot="1" x14ac:dyDescent="0.35">
      <c r="A111" s="7">
        <v>115</v>
      </c>
      <c r="B111" s="11"/>
      <c r="C111" s="11"/>
      <c r="D111" s="11"/>
      <c r="E111" s="8">
        <v>247</v>
      </c>
      <c r="F111" s="11"/>
      <c r="G111" s="11"/>
      <c r="H111" s="13"/>
    </row>
    <row r="112" spans="1:17" ht="16.8" thickBot="1" x14ac:dyDescent="0.35">
      <c r="A112" s="9">
        <v>123</v>
      </c>
      <c r="B112" s="12"/>
      <c r="C112" s="12"/>
      <c r="D112" s="12"/>
      <c r="E112" s="10">
        <v>255</v>
      </c>
      <c r="F112" s="12"/>
      <c r="G112" s="12"/>
      <c r="H112" s="14"/>
    </row>
    <row r="113" ht="16.8" thickTop="1" x14ac:dyDescent="0.3"/>
  </sheetData>
  <mergeCells count="63">
    <mergeCell ref="K105:M105"/>
    <mergeCell ref="O105:Q105"/>
    <mergeCell ref="K38:R38"/>
    <mergeCell ref="A38:H38"/>
    <mergeCell ref="A16:B16"/>
    <mergeCell ref="C16:D16"/>
    <mergeCell ref="E16:F16"/>
    <mergeCell ref="G16:H16"/>
    <mergeCell ref="A17:B17"/>
    <mergeCell ref="C17:D17"/>
    <mergeCell ref="E17:F17"/>
    <mergeCell ref="G17:H17"/>
    <mergeCell ref="A76:H76"/>
    <mergeCell ref="A95:H95"/>
    <mergeCell ref="A57:H57"/>
    <mergeCell ref="A15:B15"/>
    <mergeCell ref="C15:D15"/>
    <mergeCell ref="E15:F15"/>
    <mergeCell ref="G15:H15"/>
    <mergeCell ref="A19:H19"/>
    <mergeCell ref="A13:B13"/>
    <mergeCell ref="C13:D13"/>
    <mergeCell ref="E13:F13"/>
    <mergeCell ref="G13:H13"/>
    <mergeCell ref="A14:B14"/>
    <mergeCell ref="C14:D14"/>
    <mergeCell ref="E14:F14"/>
    <mergeCell ref="G14:H14"/>
    <mergeCell ref="E11:F11"/>
    <mergeCell ref="G11:H11"/>
    <mergeCell ref="A12:B12"/>
    <mergeCell ref="C12:D12"/>
    <mergeCell ref="E12:F12"/>
    <mergeCell ref="G12:H12"/>
    <mergeCell ref="A11:B11"/>
    <mergeCell ref="C11:D11"/>
    <mergeCell ref="A1:H1"/>
    <mergeCell ref="A2:D2"/>
    <mergeCell ref="E2:H2"/>
    <mergeCell ref="A6:B6"/>
    <mergeCell ref="C6:D6"/>
    <mergeCell ref="E6:F6"/>
    <mergeCell ref="G6:H6"/>
    <mergeCell ref="A3:B3"/>
    <mergeCell ref="C3:D3"/>
    <mergeCell ref="F3:H3"/>
    <mergeCell ref="A5:H5"/>
    <mergeCell ref="A7:B7"/>
    <mergeCell ref="C7:D7"/>
    <mergeCell ref="E7:F7"/>
    <mergeCell ref="G7:H7"/>
    <mergeCell ref="A8:B8"/>
    <mergeCell ref="C8:D8"/>
    <mergeCell ref="E8:F8"/>
    <mergeCell ref="G8:H8"/>
    <mergeCell ref="A9:B9"/>
    <mergeCell ref="C9:D9"/>
    <mergeCell ref="E9:F9"/>
    <mergeCell ref="G9:H9"/>
    <mergeCell ref="A10:B10"/>
    <mergeCell ref="C10:D10"/>
    <mergeCell ref="E10:F10"/>
    <mergeCell ref="G10:H10"/>
  </mergeCells>
  <phoneticPr fontId="6" type="noConversion"/>
  <conditionalFormatting sqref="G11:H11">
    <cfRule type="containsText" priority="2" operator="containsText" text="FAILED">
      <formula>NOT(ISERROR(SEARCH("FAILED",G11)))</formula>
    </cfRule>
    <cfRule type="containsText" dxfId="9" priority="3" operator="containsText" text="FAILED">
      <formula>NOT(ISERROR(SEARCH("FAILED",G11)))</formula>
    </cfRule>
  </conditionalFormatting>
  <conditionalFormatting sqref="G11:H17">
    <cfRule type="containsText" dxfId="8" priority="1" operator="containsText" text="FAILED">
      <formula>NOT(ISERROR(SEARCH("FAILED",G11)))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13"/>
  <sheetViews>
    <sheetView workbookViewId="0">
      <selection activeCell="F3" sqref="F3:H3"/>
    </sheetView>
  </sheetViews>
  <sheetFormatPr defaultRowHeight="16.2" x14ac:dyDescent="0.3"/>
  <sheetData>
    <row r="1" spans="1:8" ht="27" thickTop="1" thickBot="1" x14ac:dyDescent="0.35">
      <c r="A1" s="57" t="s">
        <v>35</v>
      </c>
      <c r="B1" s="96"/>
      <c r="C1" s="96"/>
      <c r="D1" s="96"/>
      <c r="E1" s="96"/>
      <c r="F1" s="96"/>
      <c r="G1" s="96"/>
      <c r="H1" s="97"/>
    </row>
    <row r="2" spans="1:8" ht="27" thickTop="1" thickBot="1" x14ac:dyDescent="0.35">
      <c r="A2" s="60" t="s">
        <v>1</v>
      </c>
      <c r="B2" s="61"/>
      <c r="C2" s="61"/>
      <c r="D2" s="61"/>
      <c r="E2" s="62" t="s">
        <v>2</v>
      </c>
      <c r="F2" s="63"/>
      <c r="G2" s="63"/>
      <c r="H2" s="64"/>
    </row>
    <row r="3" spans="1:8" ht="27.75" customHeight="1" thickTop="1" thickBot="1" x14ac:dyDescent="0.35">
      <c r="A3" s="84" t="s">
        <v>56</v>
      </c>
      <c r="B3" s="85"/>
      <c r="C3" s="86" t="s">
        <v>57</v>
      </c>
      <c r="D3" s="99"/>
      <c r="E3" s="40" t="s">
        <v>53</v>
      </c>
      <c r="F3" s="86"/>
      <c r="G3" s="86"/>
      <c r="H3" s="88"/>
    </row>
    <row r="4" spans="1:8" ht="17.399999999999999" thickTop="1" thickBot="1" x14ac:dyDescent="0.35">
      <c r="A4" s="1"/>
      <c r="B4" s="2"/>
      <c r="C4" s="2"/>
      <c r="D4" s="2"/>
      <c r="E4" s="2"/>
      <c r="F4" s="2"/>
      <c r="G4" s="2"/>
      <c r="H4" s="3"/>
    </row>
    <row r="5" spans="1:8" ht="17.399999999999999" thickTop="1" thickBot="1" x14ac:dyDescent="0.35">
      <c r="A5" s="54" t="s">
        <v>3</v>
      </c>
      <c r="B5" s="55"/>
      <c r="C5" s="55"/>
      <c r="D5" s="55"/>
      <c r="E5" s="55"/>
      <c r="F5" s="55"/>
      <c r="G5" s="55"/>
      <c r="H5" s="56"/>
    </row>
    <row r="6" spans="1:8" ht="17.399999999999999" thickTop="1" thickBot="1" x14ac:dyDescent="0.35">
      <c r="A6" s="65" t="s">
        <v>4</v>
      </c>
      <c r="B6" s="66"/>
      <c r="C6" s="67" t="s">
        <v>5</v>
      </c>
      <c r="D6" s="66"/>
      <c r="E6" s="67" t="s">
        <v>6</v>
      </c>
      <c r="F6" s="66"/>
      <c r="G6" s="67" t="s">
        <v>7</v>
      </c>
      <c r="H6" s="68"/>
    </row>
    <row r="7" spans="1:8" ht="16.8" thickBot="1" x14ac:dyDescent="0.35">
      <c r="A7" s="69" t="s">
        <v>8</v>
      </c>
      <c r="B7" s="70"/>
      <c r="C7" s="71"/>
      <c r="D7" s="72"/>
      <c r="E7" s="73"/>
      <c r="F7" s="74"/>
      <c r="G7" s="71"/>
      <c r="H7" s="75"/>
    </row>
    <row r="8" spans="1:8" ht="16.8" thickBot="1" x14ac:dyDescent="0.35">
      <c r="A8" s="69" t="s">
        <v>9</v>
      </c>
      <c r="B8" s="70"/>
      <c r="C8" s="76" t="s">
        <v>35</v>
      </c>
      <c r="D8" s="70"/>
      <c r="E8" s="73"/>
      <c r="F8" s="74"/>
      <c r="G8" s="71"/>
      <c r="H8" s="75"/>
    </row>
    <row r="9" spans="1:8" ht="16.8" thickBot="1" x14ac:dyDescent="0.35">
      <c r="A9" s="69" t="s">
        <v>10</v>
      </c>
      <c r="B9" s="70"/>
      <c r="C9" s="71"/>
      <c r="D9" s="72"/>
      <c r="E9" s="73" t="str">
        <f>IF(H55="","",H55)</f>
        <v/>
      </c>
      <c r="F9" s="74"/>
      <c r="G9" s="71"/>
      <c r="H9" s="75"/>
    </row>
    <row r="10" spans="1:8" ht="16.8" thickBot="1" x14ac:dyDescent="0.35">
      <c r="A10" s="69" t="s">
        <v>11</v>
      </c>
      <c r="B10" s="70"/>
      <c r="C10" s="71"/>
      <c r="D10" s="72"/>
      <c r="E10" s="73" t="str">
        <f>IF(D40="","",D40)</f>
        <v/>
      </c>
      <c r="F10" s="74"/>
      <c r="G10" s="71"/>
      <c r="H10" s="75"/>
    </row>
    <row r="11" spans="1:8" ht="16.8" thickBot="1" x14ac:dyDescent="0.35">
      <c r="A11" s="69" t="s">
        <v>12</v>
      </c>
      <c r="B11" s="70"/>
      <c r="C11" s="71"/>
      <c r="D11" s="72"/>
      <c r="E11" s="73" t="str">
        <f>IF(OR(E9="",E10=""),"",E9/E10)</f>
        <v/>
      </c>
      <c r="F11" s="74"/>
      <c r="G11" s="73" t="str">
        <f>IF(E11="","",IF(AND(E11&gt;=1000),"PASS","FAILED"))</f>
        <v/>
      </c>
      <c r="H11" s="77"/>
    </row>
    <row r="12" spans="1:8" ht="16.8" thickBot="1" x14ac:dyDescent="0.35">
      <c r="A12" s="69" t="s">
        <v>13</v>
      </c>
      <c r="B12" s="70"/>
      <c r="C12" s="71"/>
      <c r="D12" s="72"/>
      <c r="E12" s="73" t="str">
        <f>IF(H55="","",(-437)*POWER((F55-0.332)/(G55-0.1858),3)+3601*POWER((F55-0.332)/(G55-0.1858),2)-6831*((F55-0.332)/(G55-0.1858))+5517)</f>
        <v/>
      </c>
      <c r="F12" s="74"/>
      <c r="G12" s="73" t="str">
        <f>IF(E12="","",IF(AND(AND(F55&gt;=0.263,F55&lt;=0.363),AND(G55&gt;=0.279,G55&lt;=0.379)),"PASS","FAILED"))</f>
        <v/>
      </c>
      <c r="H12" s="77"/>
    </row>
    <row r="13" spans="1:8" ht="16.8" thickBot="1" x14ac:dyDescent="0.35">
      <c r="A13" s="69" t="s">
        <v>14</v>
      </c>
      <c r="B13" s="70"/>
      <c r="C13" s="76" t="s">
        <v>15</v>
      </c>
      <c r="D13" s="70"/>
      <c r="E13" s="73"/>
      <c r="F13" s="74"/>
      <c r="G13" s="73" t="str">
        <f>IF(E13="","",IF(AND(E13&lt;=5),"PASS","FAILED"))</f>
        <v/>
      </c>
      <c r="H13" s="77"/>
    </row>
    <row r="14" spans="1:8" ht="16.8" thickBot="1" x14ac:dyDescent="0.35">
      <c r="A14" s="69" t="s">
        <v>16</v>
      </c>
      <c r="B14" s="70"/>
      <c r="C14" s="76" t="s">
        <v>17</v>
      </c>
      <c r="D14" s="70"/>
      <c r="E14" s="73"/>
      <c r="F14" s="74"/>
      <c r="G14" s="73" t="str">
        <f>IF(E14="","",IF(AND(E14&lt;=7),"PASS","FAILED"))</f>
        <v/>
      </c>
      <c r="H14" s="77"/>
    </row>
    <row r="15" spans="1:8" ht="16.8" thickBot="1" x14ac:dyDescent="0.35">
      <c r="A15" s="69" t="s">
        <v>18</v>
      </c>
      <c r="B15" s="70"/>
      <c r="C15" s="76" t="s">
        <v>19</v>
      </c>
      <c r="D15" s="70"/>
      <c r="E15" s="73"/>
      <c r="F15" s="74"/>
      <c r="G15" s="73" t="str">
        <f>IF(E15="","",IF(AND(E15&lt;=2),"PASS","FAILED"))</f>
        <v/>
      </c>
      <c r="H15" s="77"/>
    </row>
    <row r="16" spans="1:8" ht="16.8" thickBot="1" x14ac:dyDescent="0.35">
      <c r="A16" s="69" t="s">
        <v>20</v>
      </c>
      <c r="B16" s="70"/>
      <c r="C16" s="76" t="s">
        <v>15</v>
      </c>
      <c r="D16" s="70"/>
      <c r="E16" s="73"/>
      <c r="F16" s="74"/>
      <c r="G16" s="73" t="str">
        <f>IF(E16="","",IF(AND(E16&lt;=5),"PASS","FAILED"))</f>
        <v/>
      </c>
      <c r="H16" s="77"/>
    </row>
    <row r="17" spans="1:8" ht="16.8" thickBot="1" x14ac:dyDescent="0.35">
      <c r="A17" s="89" t="s">
        <v>21</v>
      </c>
      <c r="B17" s="90"/>
      <c r="C17" s="91"/>
      <c r="D17" s="92"/>
      <c r="E17" s="93"/>
      <c r="F17" s="94"/>
      <c r="G17" s="93" t="str">
        <f>IF(E17="","",IF(AND(E17&gt;=2.4,E17&lt;=2.49),"PASS","FAILED"))</f>
        <v/>
      </c>
      <c r="H17" s="95"/>
    </row>
    <row r="18" spans="1:8" ht="17.399999999999999" thickTop="1" thickBot="1" x14ac:dyDescent="0.35">
      <c r="A18" s="1"/>
      <c r="B18" s="2"/>
      <c r="C18" s="2"/>
      <c r="D18" s="2"/>
      <c r="E18" s="2"/>
      <c r="F18" s="2"/>
      <c r="G18" s="2"/>
      <c r="H18" s="3"/>
    </row>
    <row r="19" spans="1:8" ht="17.399999999999999" thickTop="1" thickBot="1" x14ac:dyDescent="0.35">
      <c r="A19" s="54" t="s">
        <v>22</v>
      </c>
      <c r="B19" s="55"/>
      <c r="C19" s="55"/>
      <c r="D19" s="55"/>
      <c r="E19" s="55"/>
      <c r="F19" s="55"/>
      <c r="G19" s="55"/>
      <c r="H19" s="56"/>
    </row>
    <row r="20" spans="1:8" ht="17.399999999999999" thickTop="1" thickBot="1" x14ac:dyDescent="0.35">
      <c r="A20" s="4" t="s">
        <v>23</v>
      </c>
      <c r="B20" s="5" t="s">
        <v>24</v>
      </c>
      <c r="C20" s="5" t="s">
        <v>25</v>
      </c>
      <c r="D20" s="5" t="s">
        <v>26</v>
      </c>
      <c r="E20" s="5" t="s">
        <v>23</v>
      </c>
      <c r="F20" s="5" t="s">
        <v>24</v>
      </c>
      <c r="G20" s="5" t="s">
        <v>25</v>
      </c>
      <c r="H20" s="6" t="s">
        <v>26</v>
      </c>
    </row>
    <row r="21" spans="1:8" ht="16.8" thickBot="1" x14ac:dyDescent="0.35">
      <c r="A21" s="7">
        <v>0</v>
      </c>
      <c r="B21" s="31"/>
      <c r="C21" s="32"/>
      <c r="D21" s="11"/>
      <c r="E21" s="8">
        <v>132</v>
      </c>
      <c r="F21" s="31"/>
      <c r="G21" s="32"/>
      <c r="H21" s="13"/>
    </row>
    <row r="22" spans="1:8" ht="16.8" thickBot="1" x14ac:dyDescent="0.35">
      <c r="A22" s="7">
        <v>8</v>
      </c>
      <c r="B22" s="33"/>
      <c r="C22" s="34"/>
      <c r="D22" s="11"/>
      <c r="E22" s="8">
        <v>140</v>
      </c>
      <c r="F22" s="33"/>
      <c r="G22" s="34"/>
      <c r="H22" s="13"/>
    </row>
    <row r="23" spans="1:8" ht="16.8" thickBot="1" x14ac:dyDescent="0.35">
      <c r="A23" s="7">
        <v>16</v>
      </c>
      <c r="B23" s="33"/>
      <c r="C23" s="34"/>
      <c r="D23" s="11"/>
      <c r="E23" s="8">
        <v>148</v>
      </c>
      <c r="F23" s="33"/>
      <c r="G23" s="34"/>
      <c r="H23" s="13"/>
    </row>
    <row r="24" spans="1:8" ht="16.8" thickBot="1" x14ac:dyDescent="0.35">
      <c r="A24" s="7">
        <v>25</v>
      </c>
      <c r="B24" s="33"/>
      <c r="C24" s="34"/>
      <c r="D24" s="11"/>
      <c r="E24" s="8">
        <v>156</v>
      </c>
      <c r="F24" s="33"/>
      <c r="G24" s="34"/>
      <c r="H24" s="13"/>
    </row>
    <row r="25" spans="1:8" ht="16.8" thickBot="1" x14ac:dyDescent="0.35">
      <c r="A25" s="7">
        <v>33</v>
      </c>
      <c r="B25" s="33"/>
      <c r="C25" s="34"/>
      <c r="D25" s="11"/>
      <c r="E25" s="8">
        <v>165</v>
      </c>
      <c r="F25" s="33"/>
      <c r="G25" s="34"/>
      <c r="H25" s="13"/>
    </row>
    <row r="26" spans="1:8" ht="16.8" thickBot="1" x14ac:dyDescent="0.35">
      <c r="A26" s="7">
        <v>41</v>
      </c>
      <c r="B26" s="33"/>
      <c r="C26" s="34"/>
      <c r="D26" s="11"/>
      <c r="E26" s="8">
        <v>173</v>
      </c>
      <c r="F26" s="33"/>
      <c r="G26" s="34"/>
      <c r="H26" s="13"/>
    </row>
    <row r="27" spans="1:8" ht="16.8" thickBot="1" x14ac:dyDescent="0.35">
      <c r="A27" s="7">
        <v>49</v>
      </c>
      <c r="B27" s="33"/>
      <c r="C27" s="34"/>
      <c r="D27" s="11"/>
      <c r="E27" s="8">
        <v>181</v>
      </c>
      <c r="F27" s="33"/>
      <c r="G27" s="34"/>
      <c r="H27" s="13"/>
    </row>
    <row r="28" spans="1:8" ht="16.8" thickBot="1" x14ac:dyDescent="0.35">
      <c r="A28" s="7">
        <v>58</v>
      </c>
      <c r="B28" s="33"/>
      <c r="C28" s="34"/>
      <c r="D28" s="11"/>
      <c r="E28" s="8">
        <v>189</v>
      </c>
      <c r="F28" s="33"/>
      <c r="G28" s="34"/>
      <c r="H28" s="13"/>
    </row>
    <row r="29" spans="1:8" ht="16.8" thickBot="1" x14ac:dyDescent="0.35">
      <c r="A29" s="7">
        <v>66</v>
      </c>
      <c r="B29" s="33"/>
      <c r="C29" s="34"/>
      <c r="D29" s="11"/>
      <c r="E29" s="8">
        <v>197</v>
      </c>
      <c r="F29" s="33"/>
      <c r="G29" s="34"/>
      <c r="H29" s="13"/>
    </row>
    <row r="30" spans="1:8" ht="16.8" thickBot="1" x14ac:dyDescent="0.35">
      <c r="A30" s="7">
        <v>74</v>
      </c>
      <c r="B30" s="33"/>
      <c r="C30" s="34"/>
      <c r="D30" s="11"/>
      <c r="E30" s="8">
        <v>206</v>
      </c>
      <c r="F30" s="33"/>
      <c r="G30" s="34"/>
      <c r="H30" s="13"/>
    </row>
    <row r="31" spans="1:8" ht="16.8" thickBot="1" x14ac:dyDescent="0.35">
      <c r="A31" s="7">
        <v>82</v>
      </c>
      <c r="B31" s="33"/>
      <c r="C31" s="34"/>
      <c r="D31" s="11"/>
      <c r="E31" s="8">
        <v>214</v>
      </c>
      <c r="F31" s="33"/>
      <c r="G31" s="34"/>
      <c r="H31" s="13"/>
    </row>
    <row r="32" spans="1:8" ht="16.8" thickBot="1" x14ac:dyDescent="0.35">
      <c r="A32" s="7">
        <v>90</v>
      </c>
      <c r="B32" s="33"/>
      <c r="C32" s="34"/>
      <c r="D32" s="11"/>
      <c r="E32" s="8">
        <v>222</v>
      </c>
      <c r="F32" s="33"/>
      <c r="G32" s="34"/>
      <c r="H32" s="13"/>
    </row>
    <row r="33" spans="1:18" ht="16.8" thickBot="1" x14ac:dyDescent="0.35">
      <c r="A33" s="7">
        <v>99</v>
      </c>
      <c r="B33" s="33"/>
      <c r="C33" s="34"/>
      <c r="D33" s="11"/>
      <c r="E33" s="8">
        <v>230</v>
      </c>
      <c r="F33" s="33"/>
      <c r="G33" s="34"/>
      <c r="H33" s="13"/>
    </row>
    <row r="34" spans="1:18" ht="16.8" thickBot="1" x14ac:dyDescent="0.35">
      <c r="A34" s="7">
        <v>107</v>
      </c>
      <c r="B34" s="33"/>
      <c r="C34" s="34"/>
      <c r="D34" s="11"/>
      <c r="E34" s="8">
        <v>239</v>
      </c>
      <c r="F34" s="33"/>
      <c r="G34" s="34"/>
      <c r="H34" s="13"/>
    </row>
    <row r="35" spans="1:18" ht="16.8" thickBot="1" x14ac:dyDescent="0.35">
      <c r="A35" s="7">
        <v>115</v>
      </c>
      <c r="B35" s="33"/>
      <c r="C35" s="34"/>
      <c r="D35" s="11"/>
      <c r="E35" s="8">
        <v>247</v>
      </c>
      <c r="F35" s="33"/>
      <c r="G35" s="34"/>
      <c r="H35" s="13"/>
    </row>
    <row r="36" spans="1:18" ht="16.8" thickBot="1" x14ac:dyDescent="0.35">
      <c r="A36" s="9">
        <v>123</v>
      </c>
      <c r="B36" s="35"/>
      <c r="C36" s="36"/>
      <c r="D36" s="12"/>
      <c r="E36" s="10">
        <v>255</v>
      </c>
      <c r="F36" s="35"/>
      <c r="G36" s="36"/>
      <c r="H36" s="14"/>
    </row>
    <row r="37" spans="1:18" ht="17.399999999999999" thickTop="1" thickBot="1" x14ac:dyDescent="0.35"/>
    <row r="38" spans="1:18" ht="17.399999999999999" thickTop="1" thickBot="1" x14ac:dyDescent="0.35">
      <c r="A38" s="54" t="s">
        <v>27</v>
      </c>
      <c r="B38" s="55"/>
      <c r="C38" s="55"/>
      <c r="D38" s="55"/>
      <c r="E38" s="55"/>
      <c r="F38" s="55"/>
      <c r="G38" s="55"/>
      <c r="H38" s="56"/>
      <c r="K38" s="54" t="s">
        <v>28</v>
      </c>
      <c r="L38" s="55"/>
      <c r="M38" s="55"/>
      <c r="N38" s="55"/>
      <c r="O38" s="55"/>
      <c r="P38" s="55"/>
      <c r="Q38" s="55"/>
      <c r="R38" s="56"/>
    </row>
    <row r="39" spans="1:18" ht="17.399999999999999" thickTop="1" thickBot="1" x14ac:dyDescent="0.35">
      <c r="A39" s="4" t="s">
        <v>23</v>
      </c>
      <c r="B39" s="5" t="s">
        <v>24</v>
      </c>
      <c r="C39" s="5" t="s">
        <v>25</v>
      </c>
      <c r="D39" s="5" t="s">
        <v>26</v>
      </c>
      <c r="E39" s="5" t="s">
        <v>23</v>
      </c>
      <c r="F39" s="5" t="s">
        <v>24</v>
      </c>
      <c r="G39" s="5" t="s">
        <v>25</v>
      </c>
      <c r="H39" s="6" t="s">
        <v>26</v>
      </c>
      <c r="K39" s="4" t="s">
        <v>23</v>
      </c>
      <c r="L39" s="5" t="s">
        <v>24</v>
      </c>
      <c r="M39" s="5" t="s">
        <v>25</v>
      </c>
      <c r="N39" s="5" t="s">
        <v>26</v>
      </c>
      <c r="O39" s="5" t="s">
        <v>23</v>
      </c>
      <c r="P39" s="5" t="s">
        <v>24</v>
      </c>
      <c r="Q39" s="5" t="s">
        <v>25</v>
      </c>
      <c r="R39" s="6" t="s">
        <v>26</v>
      </c>
    </row>
    <row r="40" spans="1:18" ht="16.8" thickBot="1" x14ac:dyDescent="0.35">
      <c r="A40" s="7">
        <v>0</v>
      </c>
      <c r="B40" s="11"/>
      <c r="C40" s="11"/>
      <c r="D40" s="11"/>
      <c r="E40" s="8">
        <v>132</v>
      </c>
      <c r="F40" s="11"/>
      <c r="G40" s="11"/>
      <c r="H40" s="13"/>
      <c r="K40" s="7">
        <v>0</v>
      </c>
      <c r="L40" s="31"/>
      <c r="M40" s="32"/>
      <c r="N40" s="11"/>
      <c r="O40" s="8">
        <v>132</v>
      </c>
      <c r="P40" s="31"/>
      <c r="Q40" s="32"/>
      <c r="R40" s="13"/>
    </row>
    <row r="41" spans="1:18" ht="16.8" thickBot="1" x14ac:dyDescent="0.35">
      <c r="A41" s="7">
        <v>8</v>
      </c>
      <c r="B41" s="11"/>
      <c r="C41" s="11"/>
      <c r="D41" s="11"/>
      <c r="E41" s="8">
        <v>140</v>
      </c>
      <c r="F41" s="11"/>
      <c r="G41" s="11"/>
      <c r="H41" s="13"/>
      <c r="K41" s="7">
        <v>8</v>
      </c>
      <c r="L41" s="33"/>
      <c r="M41" s="34"/>
      <c r="N41" s="11"/>
      <c r="O41" s="8">
        <v>140</v>
      </c>
      <c r="P41" s="33"/>
      <c r="Q41" s="34"/>
      <c r="R41" s="13"/>
    </row>
    <row r="42" spans="1:18" ht="16.8" thickBot="1" x14ac:dyDescent="0.35">
      <c r="A42" s="7">
        <v>16</v>
      </c>
      <c r="B42" s="11"/>
      <c r="C42" s="11"/>
      <c r="D42" s="11"/>
      <c r="E42" s="8">
        <v>148</v>
      </c>
      <c r="F42" s="11"/>
      <c r="G42" s="11"/>
      <c r="H42" s="13"/>
      <c r="K42" s="7">
        <v>16</v>
      </c>
      <c r="L42" s="33"/>
      <c r="M42" s="34"/>
      <c r="N42" s="11"/>
      <c r="O42" s="8">
        <v>148</v>
      </c>
      <c r="P42" s="33"/>
      <c r="Q42" s="34"/>
      <c r="R42" s="13"/>
    </row>
    <row r="43" spans="1:18" ht="16.8" thickBot="1" x14ac:dyDescent="0.35">
      <c r="A43" s="7">
        <v>25</v>
      </c>
      <c r="B43" s="11"/>
      <c r="C43" s="11"/>
      <c r="D43" s="11"/>
      <c r="E43" s="8">
        <v>156</v>
      </c>
      <c r="F43" s="11"/>
      <c r="G43" s="11"/>
      <c r="H43" s="13"/>
      <c r="K43" s="7">
        <v>25</v>
      </c>
      <c r="L43" s="33"/>
      <c r="M43" s="34"/>
      <c r="N43" s="11"/>
      <c r="O43" s="8">
        <v>156</v>
      </c>
      <c r="P43" s="33"/>
      <c r="Q43" s="34"/>
      <c r="R43" s="13"/>
    </row>
    <row r="44" spans="1:18" ht="16.8" thickBot="1" x14ac:dyDescent="0.35">
      <c r="A44" s="7">
        <v>33</v>
      </c>
      <c r="B44" s="11"/>
      <c r="C44" s="11"/>
      <c r="D44" s="11"/>
      <c r="E44" s="8">
        <v>165</v>
      </c>
      <c r="F44" s="11"/>
      <c r="G44" s="11"/>
      <c r="H44" s="13"/>
      <c r="K44" s="7">
        <v>33</v>
      </c>
      <c r="L44" s="33"/>
      <c r="M44" s="34"/>
      <c r="N44" s="11"/>
      <c r="O44" s="8">
        <v>165</v>
      </c>
      <c r="P44" s="33"/>
      <c r="Q44" s="34"/>
      <c r="R44" s="13"/>
    </row>
    <row r="45" spans="1:18" ht="16.8" thickBot="1" x14ac:dyDescent="0.35">
      <c r="A45" s="7">
        <v>41</v>
      </c>
      <c r="B45" s="11"/>
      <c r="C45" s="11"/>
      <c r="D45" s="11"/>
      <c r="E45" s="8">
        <v>173</v>
      </c>
      <c r="F45" s="11"/>
      <c r="G45" s="11"/>
      <c r="H45" s="13"/>
      <c r="K45" s="7">
        <v>41</v>
      </c>
      <c r="L45" s="33"/>
      <c r="M45" s="34"/>
      <c r="N45" s="11"/>
      <c r="O45" s="8">
        <v>173</v>
      </c>
      <c r="P45" s="33"/>
      <c r="Q45" s="34"/>
      <c r="R45" s="13"/>
    </row>
    <row r="46" spans="1:18" ht="16.8" thickBot="1" x14ac:dyDescent="0.35">
      <c r="A46" s="7">
        <v>49</v>
      </c>
      <c r="B46" s="11"/>
      <c r="C46" s="11"/>
      <c r="D46" s="11"/>
      <c r="E46" s="8">
        <v>181</v>
      </c>
      <c r="F46" s="11"/>
      <c r="G46" s="11"/>
      <c r="H46" s="13"/>
      <c r="K46" s="7">
        <v>49</v>
      </c>
      <c r="L46" s="33"/>
      <c r="M46" s="34"/>
      <c r="N46" s="11"/>
      <c r="O46" s="8">
        <v>181</v>
      </c>
      <c r="P46" s="33"/>
      <c r="Q46" s="34"/>
      <c r="R46" s="13"/>
    </row>
    <row r="47" spans="1:18" ht="16.8" thickBot="1" x14ac:dyDescent="0.35">
      <c r="A47" s="7">
        <v>58</v>
      </c>
      <c r="B47" s="11"/>
      <c r="C47" s="11"/>
      <c r="D47" s="11"/>
      <c r="E47" s="8">
        <v>189</v>
      </c>
      <c r="F47" s="11"/>
      <c r="G47" s="11"/>
      <c r="H47" s="13"/>
      <c r="K47" s="7">
        <v>58</v>
      </c>
      <c r="L47" s="33"/>
      <c r="M47" s="34"/>
      <c r="N47" s="11"/>
      <c r="O47" s="8">
        <v>189</v>
      </c>
      <c r="P47" s="33"/>
      <c r="Q47" s="34"/>
      <c r="R47" s="13"/>
    </row>
    <row r="48" spans="1:18" ht="16.8" thickBot="1" x14ac:dyDescent="0.35">
      <c r="A48" s="7">
        <v>66</v>
      </c>
      <c r="B48" s="11"/>
      <c r="C48" s="11"/>
      <c r="D48" s="11"/>
      <c r="E48" s="8">
        <v>197</v>
      </c>
      <c r="F48" s="11"/>
      <c r="G48" s="11"/>
      <c r="H48" s="13"/>
      <c r="K48" s="7">
        <v>66</v>
      </c>
      <c r="L48" s="33"/>
      <c r="M48" s="34"/>
      <c r="N48" s="11"/>
      <c r="O48" s="8">
        <v>197</v>
      </c>
      <c r="P48" s="33"/>
      <c r="Q48" s="34"/>
      <c r="R48" s="13"/>
    </row>
    <row r="49" spans="1:18" ht="16.8" thickBot="1" x14ac:dyDescent="0.35">
      <c r="A49" s="7">
        <v>74</v>
      </c>
      <c r="B49" s="11"/>
      <c r="C49" s="11"/>
      <c r="D49" s="11"/>
      <c r="E49" s="8">
        <v>206</v>
      </c>
      <c r="F49" s="11"/>
      <c r="G49" s="11"/>
      <c r="H49" s="13"/>
      <c r="K49" s="7">
        <v>74</v>
      </c>
      <c r="L49" s="33"/>
      <c r="M49" s="34"/>
      <c r="N49" s="11"/>
      <c r="O49" s="8">
        <v>206</v>
      </c>
      <c r="P49" s="33"/>
      <c r="Q49" s="34"/>
      <c r="R49" s="13"/>
    </row>
    <row r="50" spans="1:18" ht="16.8" thickBot="1" x14ac:dyDescent="0.35">
      <c r="A50" s="7">
        <v>82</v>
      </c>
      <c r="B50" s="11"/>
      <c r="C50" s="11"/>
      <c r="D50" s="11"/>
      <c r="E50" s="8">
        <v>214</v>
      </c>
      <c r="F50" s="11"/>
      <c r="G50" s="11"/>
      <c r="H50" s="13"/>
      <c r="K50" s="7">
        <v>82</v>
      </c>
      <c r="L50" s="33"/>
      <c r="M50" s="34"/>
      <c r="N50" s="11"/>
      <c r="O50" s="8">
        <v>214</v>
      </c>
      <c r="P50" s="33"/>
      <c r="Q50" s="34"/>
      <c r="R50" s="13"/>
    </row>
    <row r="51" spans="1:18" ht="16.8" thickBot="1" x14ac:dyDescent="0.35">
      <c r="A51" s="7">
        <v>90</v>
      </c>
      <c r="B51" s="11"/>
      <c r="C51" s="11"/>
      <c r="D51" s="11"/>
      <c r="E51" s="8">
        <v>222</v>
      </c>
      <c r="F51" s="11"/>
      <c r="G51" s="11"/>
      <c r="H51" s="13"/>
      <c r="K51" s="7">
        <v>90</v>
      </c>
      <c r="L51" s="33"/>
      <c r="M51" s="34"/>
      <c r="N51" s="11"/>
      <c r="O51" s="8">
        <v>222</v>
      </c>
      <c r="P51" s="33"/>
      <c r="Q51" s="34"/>
      <c r="R51" s="13"/>
    </row>
    <row r="52" spans="1:18" ht="16.8" thickBot="1" x14ac:dyDescent="0.35">
      <c r="A52" s="7">
        <v>99</v>
      </c>
      <c r="B52" s="11"/>
      <c r="C52" s="11"/>
      <c r="D52" s="11"/>
      <c r="E52" s="8">
        <v>230</v>
      </c>
      <c r="F52" s="11"/>
      <c r="G52" s="11"/>
      <c r="H52" s="13"/>
      <c r="K52" s="7">
        <v>99</v>
      </c>
      <c r="L52" s="33"/>
      <c r="M52" s="34"/>
      <c r="N52" s="11"/>
      <c r="O52" s="8">
        <v>230</v>
      </c>
      <c r="P52" s="33"/>
      <c r="Q52" s="34"/>
      <c r="R52" s="13"/>
    </row>
    <row r="53" spans="1:18" ht="16.8" thickBot="1" x14ac:dyDescent="0.35">
      <c r="A53" s="7">
        <v>107</v>
      </c>
      <c r="B53" s="11"/>
      <c r="C53" s="11"/>
      <c r="D53" s="11"/>
      <c r="E53" s="8">
        <v>239</v>
      </c>
      <c r="F53" s="11"/>
      <c r="G53" s="11"/>
      <c r="H53" s="13"/>
      <c r="K53" s="7">
        <v>107</v>
      </c>
      <c r="L53" s="33"/>
      <c r="M53" s="34"/>
      <c r="N53" s="11"/>
      <c r="O53" s="8">
        <v>239</v>
      </c>
      <c r="P53" s="33"/>
      <c r="Q53" s="34"/>
      <c r="R53" s="13"/>
    </row>
    <row r="54" spans="1:18" ht="16.8" thickBot="1" x14ac:dyDescent="0.35">
      <c r="A54" s="7">
        <v>115</v>
      </c>
      <c r="B54" s="11"/>
      <c r="C54" s="11"/>
      <c r="D54" s="11"/>
      <c r="E54" s="8">
        <v>247</v>
      </c>
      <c r="F54" s="11"/>
      <c r="G54" s="11"/>
      <c r="H54" s="13"/>
      <c r="K54" s="7">
        <v>115</v>
      </c>
      <c r="L54" s="33"/>
      <c r="M54" s="34"/>
      <c r="N54" s="11"/>
      <c r="O54" s="8">
        <v>247</v>
      </c>
      <c r="P54" s="33"/>
      <c r="Q54" s="34"/>
      <c r="R54" s="13"/>
    </row>
    <row r="55" spans="1:18" ht="16.8" thickBot="1" x14ac:dyDescent="0.35">
      <c r="A55" s="9">
        <v>123</v>
      </c>
      <c r="B55" s="12"/>
      <c r="C55" s="12"/>
      <c r="D55" s="12"/>
      <c r="E55" s="10">
        <v>255</v>
      </c>
      <c r="F55" s="12"/>
      <c r="G55" s="12"/>
      <c r="H55" s="14"/>
      <c r="K55" s="9">
        <v>123</v>
      </c>
      <c r="L55" s="35"/>
      <c r="M55" s="36"/>
      <c r="N55" s="12"/>
      <c r="O55" s="10">
        <v>255</v>
      </c>
      <c r="P55" s="35"/>
      <c r="Q55" s="36"/>
      <c r="R55" s="14"/>
    </row>
    <row r="56" spans="1:18" ht="17.399999999999999" thickTop="1" thickBot="1" x14ac:dyDescent="0.35"/>
    <row r="57" spans="1:18" ht="17.399999999999999" thickTop="1" thickBot="1" x14ac:dyDescent="0.35">
      <c r="A57" s="54" t="s">
        <v>29</v>
      </c>
      <c r="B57" s="55"/>
      <c r="C57" s="55"/>
      <c r="D57" s="55"/>
      <c r="E57" s="55"/>
      <c r="F57" s="55"/>
      <c r="G57" s="55"/>
      <c r="H57" s="56"/>
    </row>
    <row r="58" spans="1:18" ht="17.399999999999999" thickTop="1" thickBot="1" x14ac:dyDescent="0.35">
      <c r="A58" s="4" t="s">
        <v>23</v>
      </c>
      <c r="B58" s="5" t="s">
        <v>24</v>
      </c>
      <c r="C58" s="5" t="s">
        <v>25</v>
      </c>
      <c r="D58" s="5" t="s">
        <v>26</v>
      </c>
      <c r="E58" s="5" t="s">
        <v>23</v>
      </c>
      <c r="F58" s="5" t="s">
        <v>24</v>
      </c>
      <c r="G58" s="5" t="s">
        <v>25</v>
      </c>
      <c r="H58" s="6" t="s">
        <v>26</v>
      </c>
    </row>
    <row r="59" spans="1:18" ht="16.8" thickBot="1" x14ac:dyDescent="0.35">
      <c r="A59" s="7">
        <v>0</v>
      </c>
      <c r="B59" s="11"/>
      <c r="C59" s="11"/>
      <c r="D59" s="11"/>
      <c r="E59" s="8">
        <v>132</v>
      </c>
      <c r="F59" s="11"/>
      <c r="G59" s="11"/>
      <c r="H59" s="13"/>
    </row>
    <row r="60" spans="1:18" ht="16.8" thickBot="1" x14ac:dyDescent="0.35">
      <c r="A60" s="7">
        <v>8</v>
      </c>
      <c r="B60" s="11"/>
      <c r="C60" s="11"/>
      <c r="D60" s="11"/>
      <c r="E60" s="8">
        <v>140</v>
      </c>
      <c r="F60" s="11"/>
      <c r="G60" s="11"/>
      <c r="H60" s="13"/>
    </row>
    <row r="61" spans="1:18" ht="16.8" thickBot="1" x14ac:dyDescent="0.35">
      <c r="A61" s="7">
        <v>16</v>
      </c>
      <c r="B61" s="11"/>
      <c r="C61" s="11"/>
      <c r="D61" s="11"/>
      <c r="E61" s="8">
        <v>148</v>
      </c>
      <c r="F61" s="11"/>
      <c r="G61" s="11"/>
      <c r="H61" s="13"/>
    </row>
    <row r="62" spans="1:18" ht="16.8" thickBot="1" x14ac:dyDescent="0.35">
      <c r="A62" s="7">
        <v>25</v>
      </c>
      <c r="B62" s="11"/>
      <c r="C62" s="11"/>
      <c r="D62" s="11"/>
      <c r="E62" s="8">
        <v>156</v>
      </c>
      <c r="F62" s="11"/>
      <c r="G62" s="11"/>
      <c r="H62" s="13"/>
    </row>
    <row r="63" spans="1:18" ht="16.8" thickBot="1" x14ac:dyDescent="0.35">
      <c r="A63" s="7">
        <v>33</v>
      </c>
      <c r="B63" s="11"/>
      <c r="C63" s="11"/>
      <c r="D63" s="11"/>
      <c r="E63" s="8">
        <v>165</v>
      </c>
      <c r="F63" s="11"/>
      <c r="G63" s="11"/>
      <c r="H63" s="13"/>
    </row>
    <row r="64" spans="1:18" ht="16.8" thickBot="1" x14ac:dyDescent="0.35">
      <c r="A64" s="7">
        <v>41</v>
      </c>
      <c r="B64" s="11"/>
      <c r="C64" s="11"/>
      <c r="D64" s="11"/>
      <c r="E64" s="8">
        <v>173</v>
      </c>
      <c r="F64" s="11"/>
      <c r="G64" s="11"/>
      <c r="H64" s="13"/>
    </row>
    <row r="65" spans="1:8" ht="16.8" thickBot="1" x14ac:dyDescent="0.35">
      <c r="A65" s="7">
        <v>49</v>
      </c>
      <c r="B65" s="11"/>
      <c r="C65" s="11"/>
      <c r="D65" s="11"/>
      <c r="E65" s="8">
        <v>181</v>
      </c>
      <c r="F65" s="11"/>
      <c r="G65" s="11"/>
      <c r="H65" s="13"/>
    </row>
    <row r="66" spans="1:8" ht="16.8" thickBot="1" x14ac:dyDescent="0.35">
      <c r="A66" s="7">
        <v>58</v>
      </c>
      <c r="B66" s="11"/>
      <c r="C66" s="11"/>
      <c r="D66" s="11"/>
      <c r="E66" s="8">
        <v>189</v>
      </c>
      <c r="F66" s="11"/>
      <c r="G66" s="11"/>
      <c r="H66" s="13"/>
    </row>
    <row r="67" spans="1:8" ht="16.8" thickBot="1" x14ac:dyDescent="0.35">
      <c r="A67" s="7">
        <v>66</v>
      </c>
      <c r="B67" s="11"/>
      <c r="C67" s="11"/>
      <c r="D67" s="11"/>
      <c r="E67" s="8">
        <v>197</v>
      </c>
      <c r="F67" s="11"/>
      <c r="G67" s="11"/>
      <c r="H67" s="13"/>
    </row>
    <row r="68" spans="1:8" ht="16.8" thickBot="1" x14ac:dyDescent="0.35">
      <c r="A68" s="7">
        <v>74</v>
      </c>
      <c r="B68" s="11"/>
      <c r="C68" s="11"/>
      <c r="D68" s="11"/>
      <c r="E68" s="8">
        <v>206</v>
      </c>
      <c r="F68" s="11"/>
      <c r="G68" s="11"/>
      <c r="H68" s="13"/>
    </row>
    <row r="69" spans="1:8" ht="16.8" thickBot="1" x14ac:dyDescent="0.35">
      <c r="A69" s="7">
        <v>82</v>
      </c>
      <c r="B69" s="11"/>
      <c r="C69" s="11"/>
      <c r="D69" s="11"/>
      <c r="E69" s="8">
        <v>214</v>
      </c>
      <c r="F69" s="11"/>
      <c r="G69" s="11"/>
      <c r="H69" s="13"/>
    </row>
    <row r="70" spans="1:8" ht="16.8" thickBot="1" x14ac:dyDescent="0.35">
      <c r="A70" s="7">
        <v>90</v>
      </c>
      <c r="B70" s="11"/>
      <c r="C70" s="11"/>
      <c r="D70" s="11"/>
      <c r="E70" s="8">
        <v>222</v>
      </c>
      <c r="F70" s="11"/>
      <c r="G70" s="11"/>
      <c r="H70" s="13"/>
    </row>
    <row r="71" spans="1:8" ht="16.8" thickBot="1" x14ac:dyDescent="0.35">
      <c r="A71" s="7">
        <v>99</v>
      </c>
      <c r="B71" s="11"/>
      <c r="C71" s="11"/>
      <c r="D71" s="11"/>
      <c r="E71" s="8">
        <v>230</v>
      </c>
      <c r="F71" s="11"/>
      <c r="G71" s="11"/>
      <c r="H71" s="13"/>
    </row>
    <row r="72" spans="1:8" ht="16.8" thickBot="1" x14ac:dyDescent="0.35">
      <c r="A72" s="7">
        <v>107</v>
      </c>
      <c r="B72" s="11"/>
      <c r="C72" s="11"/>
      <c r="D72" s="11"/>
      <c r="E72" s="8">
        <v>239</v>
      </c>
      <c r="F72" s="11"/>
      <c r="G72" s="11"/>
      <c r="H72" s="13"/>
    </row>
    <row r="73" spans="1:8" ht="16.8" thickBot="1" x14ac:dyDescent="0.35">
      <c r="A73" s="7">
        <v>115</v>
      </c>
      <c r="B73" s="11"/>
      <c r="C73" s="11"/>
      <c r="D73" s="11"/>
      <c r="E73" s="8">
        <v>247</v>
      </c>
      <c r="F73" s="11"/>
      <c r="G73" s="11"/>
      <c r="H73" s="13"/>
    </row>
    <row r="74" spans="1:8" ht="16.8" thickBot="1" x14ac:dyDescent="0.35">
      <c r="A74" s="9">
        <v>123</v>
      </c>
      <c r="B74" s="12"/>
      <c r="C74" s="12"/>
      <c r="D74" s="12"/>
      <c r="E74" s="10">
        <v>255</v>
      </c>
      <c r="F74" s="12"/>
      <c r="G74" s="12"/>
      <c r="H74" s="14"/>
    </row>
    <row r="75" spans="1:8" ht="17.399999999999999" thickTop="1" thickBot="1" x14ac:dyDescent="0.35"/>
    <row r="76" spans="1:8" ht="17.399999999999999" thickTop="1" thickBot="1" x14ac:dyDescent="0.35">
      <c r="A76" s="54" t="s">
        <v>30</v>
      </c>
      <c r="B76" s="55"/>
      <c r="C76" s="55"/>
      <c r="D76" s="55"/>
      <c r="E76" s="55"/>
      <c r="F76" s="55"/>
      <c r="G76" s="55"/>
      <c r="H76" s="56"/>
    </row>
    <row r="77" spans="1:8" ht="17.399999999999999" thickTop="1" thickBot="1" x14ac:dyDescent="0.35">
      <c r="A77" s="4" t="s">
        <v>23</v>
      </c>
      <c r="B77" s="5" t="s">
        <v>24</v>
      </c>
      <c r="C77" s="5" t="s">
        <v>25</v>
      </c>
      <c r="D77" s="5" t="s">
        <v>26</v>
      </c>
      <c r="E77" s="5" t="s">
        <v>23</v>
      </c>
      <c r="F77" s="5" t="s">
        <v>24</v>
      </c>
      <c r="G77" s="5" t="s">
        <v>25</v>
      </c>
      <c r="H77" s="6" t="s">
        <v>26</v>
      </c>
    </row>
    <row r="78" spans="1:8" ht="16.8" thickBot="1" x14ac:dyDescent="0.35">
      <c r="A78" s="7">
        <v>0</v>
      </c>
      <c r="B78" s="11"/>
      <c r="C78" s="11"/>
      <c r="D78" s="11"/>
      <c r="E78" s="8">
        <v>132</v>
      </c>
      <c r="F78" s="11"/>
      <c r="G78" s="11"/>
      <c r="H78" s="13"/>
    </row>
    <row r="79" spans="1:8" ht="16.8" thickBot="1" x14ac:dyDescent="0.35">
      <c r="A79" s="7">
        <v>8</v>
      </c>
      <c r="B79" s="11"/>
      <c r="C79" s="11"/>
      <c r="D79" s="11"/>
      <c r="E79" s="8">
        <v>140</v>
      </c>
      <c r="F79" s="11"/>
      <c r="G79" s="11"/>
      <c r="H79" s="13"/>
    </row>
    <row r="80" spans="1:8" ht="16.8" thickBot="1" x14ac:dyDescent="0.35">
      <c r="A80" s="7">
        <v>16</v>
      </c>
      <c r="B80" s="11"/>
      <c r="C80" s="11"/>
      <c r="D80" s="11"/>
      <c r="E80" s="8">
        <v>148</v>
      </c>
      <c r="F80" s="11"/>
      <c r="G80" s="11"/>
      <c r="H80" s="13"/>
    </row>
    <row r="81" spans="1:8" ht="16.8" thickBot="1" x14ac:dyDescent="0.35">
      <c r="A81" s="7">
        <v>25</v>
      </c>
      <c r="B81" s="11"/>
      <c r="C81" s="11"/>
      <c r="D81" s="11"/>
      <c r="E81" s="8">
        <v>156</v>
      </c>
      <c r="F81" s="11"/>
      <c r="G81" s="11"/>
      <c r="H81" s="13"/>
    </row>
    <row r="82" spans="1:8" ht="16.8" thickBot="1" x14ac:dyDescent="0.35">
      <c r="A82" s="7">
        <v>33</v>
      </c>
      <c r="B82" s="11"/>
      <c r="C82" s="11"/>
      <c r="D82" s="11"/>
      <c r="E82" s="8">
        <v>165</v>
      </c>
      <c r="F82" s="11"/>
      <c r="G82" s="11"/>
      <c r="H82" s="13"/>
    </row>
    <row r="83" spans="1:8" ht="16.8" thickBot="1" x14ac:dyDescent="0.35">
      <c r="A83" s="7">
        <v>41</v>
      </c>
      <c r="B83" s="11"/>
      <c r="C83" s="11"/>
      <c r="D83" s="11"/>
      <c r="E83" s="8">
        <v>173</v>
      </c>
      <c r="F83" s="11"/>
      <c r="G83" s="11"/>
      <c r="H83" s="13"/>
    </row>
    <row r="84" spans="1:8" ht="16.8" thickBot="1" x14ac:dyDescent="0.35">
      <c r="A84" s="7">
        <v>49</v>
      </c>
      <c r="B84" s="11"/>
      <c r="C84" s="11"/>
      <c r="D84" s="11"/>
      <c r="E84" s="8">
        <v>181</v>
      </c>
      <c r="F84" s="11"/>
      <c r="G84" s="11"/>
      <c r="H84" s="13"/>
    </row>
    <row r="85" spans="1:8" ht="16.8" thickBot="1" x14ac:dyDescent="0.35">
      <c r="A85" s="7">
        <v>58</v>
      </c>
      <c r="B85" s="11"/>
      <c r="C85" s="11"/>
      <c r="D85" s="11"/>
      <c r="E85" s="8">
        <v>189</v>
      </c>
      <c r="F85" s="11"/>
      <c r="G85" s="11"/>
      <c r="H85" s="13"/>
    </row>
    <row r="86" spans="1:8" ht="16.8" thickBot="1" x14ac:dyDescent="0.35">
      <c r="A86" s="7">
        <v>66</v>
      </c>
      <c r="B86" s="11"/>
      <c r="C86" s="11"/>
      <c r="D86" s="11"/>
      <c r="E86" s="8">
        <v>197</v>
      </c>
      <c r="F86" s="11"/>
      <c r="G86" s="11"/>
      <c r="H86" s="13"/>
    </row>
    <row r="87" spans="1:8" ht="16.8" thickBot="1" x14ac:dyDescent="0.35">
      <c r="A87" s="7">
        <v>74</v>
      </c>
      <c r="B87" s="11"/>
      <c r="C87" s="11"/>
      <c r="D87" s="11"/>
      <c r="E87" s="8">
        <v>206</v>
      </c>
      <c r="F87" s="11"/>
      <c r="G87" s="11"/>
      <c r="H87" s="13"/>
    </row>
    <row r="88" spans="1:8" ht="16.8" thickBot="1" x14ac:dyDescent="0.35">
      <c r="A88" s="7">
        <v>82</v>
      </c>
      <c r="B88" s="11"/>
      <c r="C88" s="11"/>
      <c r="D88" s="11"/>
      <c r="E88" s="8">
        <v>214</v>
      </c>
      <c r="F88" s="11"/>
      <c r="G88" s="11"/>
      <c r="H88" s="13"/>
    </row>
    <row r="89" spans="1:8" ht="16.8" thickBot="1" x14ac:dyDescent="0.35">
      <c r="A89" s="7">
        <v>90</v>
      </c>
      <c r="B89" s="11"/>
      <c r="C89" s="11"/>
      <c r="D89" s="11"/>
      <c r="E89" s="8">
        <v>222</v>
      </c>
      <c r="F89" s="11"/>
      <c r="G89" s="11"/>
      <c r="H89" s="13"/>
    </row>
    <row r="90" spans="1:8" ht="16.8" thickBot="1" x14ac:dyDescent="0.35">
      <c r="A90" s="7">
        <v>99</v>
      </c>
      <c r="B90" s="11"/>
      <c r="C90" s="11"/>
      <c r="D90" s="11"/>
      <c r="E90" s="8">
        <v>230</v>
      </c>
      <c r="F90" s="11"/>
      <c r="G90" s="11"/>
      <c r="H90" s="13"/>
    </row>
    <row r="91" spans="1:8" ht="16.8" thickBot="1" x14ac:dyDescent="0.35">
      <c r="A91" s="7">
        <v>107</v>
      </c>
      <c r="B91" s="11"/>
      <c r="C91" s="11"/>
      <c r="D91" s="11"/>
      <c r="E91" s="8">
        <v>239</v>
      </c>
      <c r="F91" s="11"/>
      <c r="G91" s="11"/>
      <c r="H91" s="13"/>
    </row>
    <row r="92" spans="1:8" ht="16.8" thickBot="1" x14ac:dyDescent="0.35">
      <c r="A92" s="7">
        <v>115</v>
      </c>
      <c r="B92" s="11"/>
      <c r="C92" s="11"/>
      <c r="D92" s="11"/>
      <c r="E92" s="8">
        <v>247</v>
      </c>
      <c r="F92" s="11"/>
      <c r="G92" s="11"/>
      <c r="H92" s="13"/>
    </row>
    <row r="93" spans="1:8" ht="16.8" thickBot="1" x14ac:dyDescent="0.35">
      <c r="A93" s="9">
        <v>123</v>
      </c>
      <c r="B93" s="12"/>
      <c r="C93" s="12"/>
      <c r="D93" s="12"/>
      <c r="E93" s="10">
        <v>255</v>
      </c>
      <c r="F93" s="12"/>
      <c r="G93" s="12"/>
      <c r="H93" s="14"/>
    </row>
    <row r="94" spans="1:8" ht="17.399999999999999" thickTop="1" thickBot="1" x14ac:dyDescent="0.35"/>
    <row r="95" spans="1:8" ht="17.399999999999999" thickTop="1" thickBot="1" x14ac:dyDescent="0.35">
      <c r="A95" s="54" t="s">
        <v>31</v>
      </c>
      <c r="B95" s="55"/>
      <c r="C95" s="55"/>
      <c r="D95" s="55"/>
      <c r="E95" s="55"/>
      <c r="F95" s="55"/>
      <c r="G95" s="55"/>
      <c r="H95" s="56"/>
    </row>
    <row r="96" spans="1:8" ht="17.399999999999999" thickTop="1" thickBot="1" x14ac:dyDescent="0.35">
      <c r="A96" s="4" t="s">
        <v>23</v>
      </c>
      <c r="B96" s="5" t="s">
        <v>24</v>
      </c>
      <c r="C96" s="5" t="s">
        <v>25</v>
      </c>
      <c r="D96" s="5" t="s">
        <v>26</v>
      </c>
      <c r="E96" s="5" t="s">
        <v>23</v>
      </c>
      <c r="F96" s="5" t="s">
        <v>24</v>
      </c>
      <c r="G96" s="5" t="s">
        <v>25</v>
      </c>
      <c r="H96" s="6" t="s">
        <v>26</v>
      </c>
    </row>
    <row r="97" spans="1:17" ht="16.8" thickBot="1" x14ac:dyDescent="0.35">
      <c r="A97" s="7">
        <v>0</v>
      </c>
      <c r="B97" s="11"/>
      <c r="C97" s="11"/>
      <c r="D97" s="11"/>
      <c r="E97" s="8">
        <v>132</v>
      </c>
      <c r="F97" s="11"/>
      <c r="G97" s="11"/>
      <c r="H97" s="13"/>
    </row>
    <row r="98" spans="1:17" ht="16.8" thickBot="1" x14ac:dyDescent="0.35">
      <c r="A98" s="7">
        <v>8</v>
      </c>
      <c r="B98" s="11"/>
      <c r="C98" s="11"/>
      <c r="D98" s="11"/>
      <c r="E98" s="8">
        <v>140</v>
      </c>
      <c r="F98" s="11"/>
      <c r="G98" s="11"/>
      <c r="H98" s="13"/>
    </row>
    <row r="99" spans="1:17" ht="16.8" thickBot="1" x14ac:dyDescent="0.35">
      <c r="A99" s="7">
        <v>16</v>
      </c>
      <c r="B99" s="11"/>
      <c r="C99" s="11"/>
      <c r="D99" s="11"/>
      <c r="E99" s="8">
        <v>148</v>
      </c>
      <c r="F99" s="11"/>
      <c r="G99" s="11"/>
      <c r="H99" s="13"/>
    </row>
    <row r="100" spans="1:17" ht="16.8" thickBot="1" x14ac:dyDescent="0.35">
      <c r="A100" s="7">
        <v>25</v>
      </c>
      <c r="B100" s="11"/>
      <c r="C100" s="11"/>
      <c r="D100" s="11"/>
      <c r="E100" s="8">
        <v>156</v>
      </c>
      <c r="F100" s="11"/>
      <c r="G100" s="11"/>
      <c r="H100" s="13"/>
    </row>
    <row r="101" spans="1:17" ht="16.8" thickBot="1" x14ac:dyDescent="0.35">
      <c r="A101" s="7">
        <v>33</v>
      </c>
      <c r="B101" s="11"/>
      <c r="C101" s="11"/>
      <c r="D101" s="11"/>
      <c r="E101" s="8">
        <v>165</v>
      </c>
      <c r="F101" s="11"/>
      <c r="G101" s="11"/>
      <c r="H101" s="13"/>
    </row>
    <row r="102" spans="1:17" ht="16.8" thickBot="1" x14ac:dyDescent="0.35">
      <c r="A102" s="7">
        <v>41</v>
      </c>
      <c r="B102" s="11"/>
      <c r="C102" s="11"/>
      <c r="D102" s="11"/>
      <c r="E102" s="8">
        <v>173</v>
      </c>
      <c r="F102" s="11"/>
      <c r="G102" s="11"/>
      <c r="H102" s="13"/>
    </row>
    <row r="103" spans="1:17" ht="16.8" thickBot="1" x14ac:dyDescent="0.35">
      <c r="A103" s="7">
        <v>49</v>
      </c>
      <c r="B103" s="11"/>
      <c r="C103" s="11"/>
      <c r="D103" s="11"/>
      <c r="E103" s="8">
        <v>181</v>
      </c>
      <c r="F103" s="11"/>
      <c r="G103" s="11"/>
      <c r="H103" s="13"/>
    </row>
    <row r="104" spans="1:17" ht="16.8" thickBot="1" x14ac:dyDescent="0.35">
      <c r="A104" s="7">
        <v>58</v>
      </c>
      <c r="B104" s="11"/>
      <c r="C104" s="11"/>
      <c r="D104" s="11"/>
      <c r="E104" s="8">
        <v>189</v>
      </c>
      <c r="F104" s="11"/>
      <c r="G104" s="11"/>
      <c r="H104" s="13"/>
    </row>
    <row r="105" spans="1:17" ht="17.399999999999999" thickTop="1" thickBot="1" x14ac:dyDescent="0.35">
      <c r="A105" s="7">
        <v>66</v>
      </c>
      <c r="B105" s="11"/>
      <c r="C105" s="11"/>
      <c r="D105" s="11"/>
      <c r="E105" s="8">
        <v>197</v>
      </c>
      <c r="F105" s="11"/>
      <c r="G105" s="11"/>
      <c r="H105" s="13"/>
      <c r="K105" s="78" t="s">
        <v>58</v>
      </c>
      <c r="L105" s="79"/>
      <c r="M105" s="80"/>
      <c r="N105" s="41"/>
      <c r="O105" s="81" t="s">
        <v>62</v>
      </c>
      <c r="P105" s="82"/>
      <c r="Q105" s="83"/>
    </row>
    <row r="106" spans="1:17" ht="16.8" thickBot="1" x14ac:dyDescent="0.35">
      <c r="A106" s="7">
        <v>74</v>
      </c>
      <c r="B106" s="11"/>
      <c r="C106" s="11"/>
      <c r="D106" s="11"/>
      <c r="E106" s="8">
        <v>206</v>
      </c>
      <c r="F106" s="11"/>
      <c r="G106" s="11"/>
      <c r="H106" s="13"/>
      <c r="K106" s="44" t="s">
        <v>59</v>
      </c>
      <c r="L106" s="50">
        <v>0.64</v>
      </c>
      <c r="M106" s="51">
        <v>0.33</v>
      </c>
      <c r="N106" s="41"/>
      <c r="O106" s="42" t="s">
        <v>63</v>
      </c>
      <c r="P106" s="52" t="str">
        <f>IF(F74="","",F74)</f>
        <v/>
      </c>
      <c r="Q106" s="53" t="str">
        <f>IF(G74="","",G74)</f>
        <v/>
      </c>
    </row>
    <row r="107" spans="1:17" ht="16.8" thickBot="1" x14ac:dyDescent="0.35">
      <c r="A107" s="7">
        <v>82</v>
      </c>
      <c r="B107" s="11"/>
      <c r="C107" s="11"/>
      <c r="D107" s="11"/>
      <c r="E107" s="8">
        <v>214</v>
      </c>
      <c r="F107" s="11"/>
      <c r="G107" s="11"/>
      <c r="H107" s="13"/>
      <c r="K107" s="44" t="s">
        <v>60</v>
      </c>
      <c r="L107" s="50">
        <v>0.3</v>
      </c>
      <c r="M107" s="51">
        <v>0.6</v>
      </c>
      <c r="N107" s="41"/>
      <c r="O107" s="42" t="s">
        <v>64</v>
      </c>
      <c r="P107" s="52" t="str">
        <f>IF(F93="","",F93)</f>
        <v/>
      </c>
      <c r="Q107" s="53" t="str">
        <f>IF(G93="","",G93)</f>
        <v/>
      </c>
    </row>
    <row r="108" spans="1:17" ht="16.8" thickBot="1" x14ac:dyDescent="0.35">
      <c r="A108" s="7">
        <v>90</v>
      </c>
      <c r="B108" s="11"/>
      <c r="C108" s="11"/>
      <c r="D108" s="11"/>
      <c r="E108" s="8">
        <v>222</v>
      </c>
      <c r="F108" s="11"/>
      <c r="G108" s="11"/>
      <c r="H108" s="13"/>
      <c r="K108" s="44" t="s">
        <v>61</v>
      </c>
      <c r="L108" s="50">
        <v>0.15</v>
      </c>
      <c r="M108" s="51">
        <v>0.06</v>
      </c>
      <c r="N108" s="41"/>
      <c r="O108" s="42" t="s">
        <v>65</v>
      </c>
      <c r="P108" s="52" t="str">
        <f>IF(F112="","",F112)</f>
        <v/>
      </c>
      <c r="Q108" s="53" t="str">
        <f>IF(G112="","",G112)</f>
        <v/>
      </c>
    </row>
    <row r="109" spans="1:17" ht="16.8" thickBot="1" x14ac:dyDescent="0.35">
      <c r="A109" s="7">
        <v>99</v>
      </c>
      <c r="B109" s="11"/>
      <c r="C109" s="11"/>
      <c r="D109" s="11"/>
      <c r="E109" s="8">
        <v>230</v>
      </c>
      <c r="F109" s="11"/>
      <c r="G109" s="11"/>
      <c r="H109" s="13"/>
      <c r="K109" s="45" t="s">
        <v>66</v>
      </c>
      <c r="L109" s="46">
        <v>0.313</v>
      </c>
      <c r="M109" s="47">
        <v>0.32900000000000001</v>
      </c>
      <c r="N109" s="41"/>
      <c r="O109" s="43" t="s">
        <v>67</v>
      </c>
      <c r="P109" s="48" t="str">
        <f>IF(F55="","",F55)</f>
        <v/>
      </c>
      <c r="Q109" s="49" t="str">
        <f>IF(G55="","",G55)</f>
        <v/>
      </c>
    </row>
    <row r="110" spans="1:17" ht="16.8" thickBot="1" x14ac:dyDescent="0.35">
      <c r="A110" s="7">
        <v>107</v>
      </c>
      <c r="B110" s="11"/>
      <c r="C110" s="11"/>
      <c r="D110" s="11"/>
      <c r="E110" s="8">
        <v>239</v>
      </c>
      <c r="F110" s="11"/>
      <c r="G110" s="11"/>
      <c r="H110" s="13"/>
    </row>
    <row r="111" spans="1:17" ht="16.8" thickBot="1" x14ac:dyDescent="0.35">
      <c r="A111" s="7">
        <v>115</v>
      </c>
      <c r="B111" s="11"/>
      <c r="C111" s="11"/>
      <c r="D111" s="11"/>
      <c r="E111" s="8">
        <v>247</v>
      </c>
      <c r="F111" s="11"/>
      <c r="G111" s="11"/>
      <c r="H111" s="13"/>
    </row>
    <row r="112" spans="1:17" ht="16.8" thickBot="1" x14ac:dyDescent="0.35">
      <c r="A112" s="9">
        <v>123</v>
      </c>
      <c r="B112" s="12"/>
      <c r="C112" s="12"/>
      <c r="D112" s="12"/>
      <c r="E112" s="10">
        <v>255</v>
      </c>
      <c r="F112" s="12"/>
      <c r="G112" s="12"/>
      <c r="H112" s="14"/>
    </row>
    <row r="113" ht="16.8" thickTop="1" x14ac:dyDescent="0.3"/>
  </sheetData>
  <mergeCells count="63">
    <mergeCell ref="K105:M105"/>
    <mergeCell ref="O105:Q105"/>
    <mergeCell ref="A5:H5"/>
    <mergeCell ref="A1:H1"/>
    <mergeCell ref="A2:D2"/>
    <mergeCell ref="E2:H2"/>
    <mergeCell ref="A3:B3"/>
    <mergeCell ref="C3:D3"/>
    <mergeCell ref="F3:H3"/>
    <mergeCell ref="A6:B6"/>
    <mergeCell ref="C6:D6"/>
    <mergeCell ref="E6:F6"/>
    <mergeCell ref="G6:H6"/>
    <mergeCell ref="A7:B7"/>
    <mergeCell ref="C7:D7"/>
    <mergeCell ref="E7:F7"/>
    <mergeCell ref="G7:H7"/>
    <mergeCell ref="A8:B8"/>
    <mergeCell ref="C8:D8"/>
    <mergeCell ref="E8:F8"/>
    <mergeCell ref="G8:H8"/>
    <mergeCell ref="A9:B9"/>
    <mergeCell ref="C9:D9"/>
    <mergeCell ref="E9:F9"/>
    <mergeCell ref="G9:H9"/>
    <mergeCell ref="A10:B10"/>
    <mergeCell ref="C10:D10"/>
    <mergeCell ref="E10:F10"/>
    <mergeCell ref="G10:H10"/>
    <mergeCell ref="A11:B11"/>
    <mergeCell ref="C11:D11"/>
    <mergeCell ref="E11:F11"/>
    <mergeCell ref="G11:H11"/>
    <mergeCell ref="A12:B12"/>
    <mergeCell ref="C12:D12"/>
    <mergeCell ref="E12:F12"/>
    <mergeCell ref="G12:H12"/>
    <mergeCell ref="A13:B13"/>
    <mergeCell ref="C13:D13"/>
    <mergeCell ref="E13:F13"/>
    <mergeCell ref="G13:H13"/>
    <mergeCell ref="A14:B14"/>
    <mergeCell ref="C14:D14"/>
    <mergeCell ref="E14:F14"/>
    <mergeCell ref="G14:H14"/>
    <mergeCell ref="A15:B15"/>
    <mergeCell ref="C15:D15"/>
    <mergeCell ref="E15:F15"/>
    <mergeCell ref="G15:H15"/>
    <mergeCell ref="K38:R38"/>
    <mergeCell ref="A57:H57"/>
    <mergeCell ref="A76:H76"/>
    <mergeCell ref="A95:H95"/>
    <mergeCell ref="A16:B16"/>
    <mergeCell ref="C16:D16"/>
    <mergeCell ref="E16:F16"/>
    <mergeCell ref="G16:H16"/>
    <mergeCell ref="A17:B17"/>
    <mergeCell ref="C17:D17"/>
    <mergeCell ref="E17:F17"/>
    <mergeCell ref="G17:H17"/>
    <mergeCell ref="A19:H19"/>
    <mergeCell ref="A38:H38"/>
  </mergeCells>
  <phoneticPr fontId="6" type="noConversion"/>
  <conditionalFormatting sqref="G11:H11">
    <cfRule type="containsText" priority="2" operator="containsText" text="FAILED">
      <formula>NOT(ISERROR(SEARCH("FAILED",G11)))</formula>
    </cfRule>
    <cfRule type="containsText" dxfId="7" priority="3" operator="containsText" text="FAILED">
      <formula>NOT(ISERROR(SEARCH("FAILED",G11)))</formula>
    </cfRule>
  </conditionalFormatting>
  <conditionalFormatting sqref="G11:H17">
    <cfRule type="containsText" dxfId="6" priority="1" operator="containsText" text="FAILED">
      <formula>NOT(ISERROR(SEARCH("FAILED",G11)))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13"/>
  <sheetViews>
    <sheetView workbookViewId="0">
      <selection activeCell="F3" sqref="F3:H3"/>
    </sheetView>
  </sheetViews>
  <sheetFormatPr defaultRowHeight="16.2" x14ac:dyDescent="0.3"/>
  <sheetData>
    <row r="1" spans="1:12" ht="27" thickTop="1" thickBot="1" x14ac:dyDescent="0.35">
      <c r="A1" s="57" t="s">
        <v>36</v>
      </c>
      <c r="B1" s="96"/>
      <c r="C1" s="96"/>
      <c r="D1" s="96"/>
      <c r="E1" s="96"/>
      <c r="F1" s="96"/>
      <c r="G1" s="96"/>
      <c r="H1" s="97"/>
    </row>
    <row r="2" spans="1:12" ht="27" thickTop="1" thickBot="1" x14ac:dyDescent="0.35">
      <c r="A2" s="60" t="s">
        <v>1</v>
      </c>
      <c r="B2" s="61"/>
      <c r="C2" s="61"/>
      <c r="D2" s="61"/>
      <c r="E2" s="62" t="s">
        <v>2</v>
      </c>
      <c r="F2" s="63"/>
      <c r="G2" s="63"/>
      <c r="H2" s="64"/>
    </row>
    <row r="3" spans="1:12" ht="27.75" customHeight="1" thickTop="1" thickBot="1" x14ac:dyDescent="0.35">
      <c r="A3" s="84" t="s">
        <v>56</v>
      </c>
      <c r="B3" s="85"/>
      <c r="C3" s="86" t="s">
        <v>57</v>
      </c>
      <c r="D3" s="99"/>
      <c r="E3" s="40" t="s">
        <v>53</v>
      </c>
      <c r="F3" s="86"/>
      <c r="G3" s="86"/>
      <c r="H3" s="88"/>
    </row>
    <row r="4" spans="1:12" ht="17.399999999999999" thickTop="1" thickBot="1" x14ac:dyDescent="0.35">
      <c r="A4" s="1"/>
      <c r="B4" s="2"/>
      <c r="C4" s="2"/>
      <c r="D4" s="2"/>
      <c r="E4" s="2"/>
      <c r="F4" s="2"/>
      <c r="G4" s="2"/>
      <c r="H4" s="3"/>
    </row>
    <row r="5" spans="1:12" ht="17.399999999999999" thickTop="1" thickBot="1" x14ac:dyDescent="0.35">
      <c r="A5" s="54" t="s">
        <v>3</v>
      </c>
      <c r="B5" s="55"/>
      <c r="C5" s="55"/>
      <c r="D5" s="55"/>
      <c r="E5" s="55"/>
      <c r="F5" s="55"/>
      <c r="G5" s="55"/>
      <c r="H5" s="56"/>
    </row>
    <row r="6" spans="1:12" ht="17.399999999999999" thickTop="1" thickBot="1" x14ac:dyDescent="0.35">
      <c r="A6" s="65" t="s">
        <v>4</v>
      </c>
      <c r="B6" s="66"/>
      <c r="C6" s="67" t="s">
        <v>5</v>
      </c>
      <c r="D6" s="66"/>
      <c r="E6" s="67" t="s">
        <v>6</v>
      </c>
      <c r="F6" s="66"/>
      <c r="G6" s="67" t="s">
        <v>7</v>
      </c>
      <c r="H6" s="68"/>
    </row>
    <row r="7" spans="1:12" ht="16.8" thickBot="1" x14ac:dyDescent="0.35">
      <c r="A7" s="69" t="s">
        <v>8</v>
      </c>
      <c r="B7" s="70"/>
      <c r="C7" s="71"/>
      <c r="D7" s="72"/>
      <c r="E7" s="73"/>
      <c r="F7" s="74"/>
      <c r="G7" s="71"/>
      <c r="H7" s="75"/>
      <c r="L7" s="37"/>
    </row>
    <row r="8" spans="1:12" ht="16.8" thickBot="1" x14ac:dyDescent="0.35">
      <c r="A8" s="69" t="s">
        <v>9</v>
      </c>
      <c r="B8" s="70"/>
      <c r="C8" s="76" t="s">
        <v>36</v>
      </c>
      <c r="D8" s="70"/>
      <c r="E8" s="73"/>
      <c r="F8" s="74"/>
      <c r="G8" s="71"/>
      <c r="H8" s="75"/>
    </row>
    <row r="9" spans="1:12" ht="16.8" thickBot="1" x14ac:dyDescent="0.35">
      <c r="A9" s="69" t="s">
        <v>10</v>
      </c>
      <c r="B9" s="70"/>
      <c r="C9" s="71"/>
      <c r="D9" s="72"/>
      <c r="E9" s="73" t="str">
        <f>IF(H55="","",H55)</f>
        <v/>
      </c>
      <c r="F9" s="74"/>
      <c r="G9" s="71"/>
      <c r="H9" s="75"/>
    </row>
    <row r="10" spans="1:12" ht="16.8" thickBot="1" x14ac:dyDescent="0.35">
      <c r="A10" s="69" t="s">
        <v>11</v>
      </c>
      <c r="B10" s="70"/>
      <c r="C10" s="71"/>
      <c r="D10" s="72"/>
      <c r="E10" s="73" t="str">
        <f>IF(D40="","",D40)</f>
        <v/>
      </c>
      <c r="F10" s="74"/>
      <c r="G10" s="71"/>
      <c r="H10" s="75"/>
    </row>
    <row r="11" spans="1:12" ht="16.8" thickBot="1" x14ac:dyDescent="0.35">
      <c r="A11" s="69" t="s">
        <v>12</v>
      </c>
      <c r="B11" s="70"/>
      <c r="C11" s="71"/>
      <c r="D11" s="72"/>
      <c r="E11" s="73" t="str">
        <f>IF(OR(E9="",E10=""),"",E9/E10)</f>
        <v/>
      </c>
      <c r="F11" s="74"/>
      <c r="G11" s="73" t="str">
        <f>IF(E11="","",IF(AND(E11&gt;=1000),"PASS","FAILED"))</f>
        <v/>
      </c>
      <c r="H11" s="77"/>
    </row>
    <row r="12" spans="1:12" ht="16.8" thickBot="1" x14ac:dyDescent="0.35">
      <c r="A12" s="69" t="s">
        <v>13</v>
      </c>
      <c r="B12" s="70"/>
      <c r="C12" s="71"/>
      <c r="D12" s="72"/>
      <c r="E12" s="73" t="str">
        <f>IF(H55="","",(-437)*POWER((F55-0.332)/(G55-0.1858),3)+3601*POWER((F55-0.332)/(G55-0.1858),2)-6831*((F55-0.332)/(G55-0.1858))+5517)</f>
        <v/>
      </c>
      <c r="F12" s="74"/>
      <c r="G12" s="73" t="str">
        <f>IF(E12="","",IF(AND(AND(F55&gt;=0.263,F55&lt;=0.363),AND(G55&gt;=0.279,G55&lt;=0.379)),"PASS","FAILED"))</f>
        <v/>
      </c>
      <c r="H12" s="77"/>
    </row>
    <row r="13" spans="1:12" ht="16.8" thickBot="1" x14ac:dyDescent="0.35">
      <c r="A13" s="69" t="s">
        <v>14</v>
      </c>
      <c r="B13" s="70"/>
      <c r="C13" s="76" t="s">
        <v>15</v>
      </c>
      <c r="D13" s="70"/>
      <c r="E13" s="73"/>
      <c r="F13" s="74"/>
      <c r="G13" s="73" t="str">
        <f>IF(E13="","",IF(AND(E13&lt;=5),"PASS","FAILED"))</f>
        <v/>
      </c>
      <c r="H13" s="77"/>
    </row>
    <row r="14" spans="1:12" ht="16.8" thickBot="1" x14ac:dyDescent="0.35">
      <c r="A14" s="69" t="s">
        <v>16</v>
      </c>
      <c r="B14" s="70"/>
      <c r="C14" s="76" t="s">
        <v>17</v>
      </c>
      <c r="D14" s="70"/>
      <c r="E14" s="73"/>
      <c r="F14" s="74"/>
      <c r="G14" s="73" t="str">
        <f>IF(E14="","",IF(AND(E14&lt;=7),"PASS","FAILED"))</f>
        <v/>
      </c>
      <c r="H14" s="77"/>
    </row>
    <row r="15" spans="1:12" ht="16.8" thickBot="1" x14ac:dyDescent="0.35">
      <c r="A15" s="69" t="s">
        <v>18</v>
      </c>
      <c r="B15" s="70"/>
      <c r="C15" s="76" t="s">
        <v>19</v>
      </c>
      <c r="D15" s="70"/>
      <c r="E15" s="73"/>
      <c r="F15" s="74"/>
      <c r="G15" s="73" t="str">
        <f>IF(E15="","",IF(AND(E15&lt;=2),"PASS","FAILED"))</f>
        <v/>
      </c>
      <c r="H15" s="77"/>
    </row>
    <row r="16" spans="1:12" ht="16.8" thickBot="1" x14ac:dyDescent="0.35">
      <c r="A16" s="69" t="s">
        <v>20</v>
      </c>
      <c r="B16" s="70"/>
      <c r="C16" s="76" t="s">
        <v>15</v>
      </c>
      <c r="D16" s="70"/>
      <c r="E16" s="73"/>
      <c r="F16" s="74"/>
      <c r="G16" s="73" t="str">
        <f>IF(E16="","",IF(AND(E16&lt;=5),"PASS","FAILED"))</f>
        <v/>
      </c>
      <c r="H16" s="77"/>
    </row>
    <row r="17" spans="1:8" ht="16.8" thickBot="1" x14ac:dyDescent="0.35">
      <c r="A17" s="89" t="s">
        <v>21</v>
      </c>
      <c r="B17" s="90"/>
      <c r="C17" s="91"/>
      <c r="D17" s="92"/>
      <c r="E17" s="93"/>
      <c r="F17" s="94"/>
      <c r="G17" s="93" t="str">
        <f>IF(E17="","",IF(AND(E17&gt;=2.6,E17&lt;=2.69),"PASS","FAILED"))</f>
        <v/>
      </c>
      <c r="H17" s="95"/>
    </row>
    <row r="18" spans="1:8" ht="17.399999999999999" thickTop="1" thickBot="1" x14ac:dyDescent="0.35">
      <c r="A18" s="1"/>
      <c r="B18" s="2"/>
      <c r="C18" s="2"/>
      <c r="D18" s="2"/>
      <c r="E18" s="2"/>
      <c r="F18" s="2"/>
      <c r="G18" s="2"/>
      <c r="H18" s="3"/>
    </row>
    <row r="19" spans="1:8" ht="17.399999999999999" thickTop="1" thickBot="1" x14ac:dyDescent="0.35">
      <c r="A19" s="54" t="s">
        <v>22</v>
      </c>
      <c r="B19" s="55"/>
      <c r="C19" s="55"/>
      <c r="D19" s="55"/>
      <c r="E19" s="55"/>
      <c r="F19" s="55"/>
      <c r="G19" s="55"/>
      <c r="H19" s="56"/>
    </row>
    <row r="20" spans="1:8" ht="17.399999999999999" thickTop="1" thickBot="1" x14ac:dyDescent="0.35">
      <c r="A20" s="4" t="s">
        <v>23</v>
      </c>
      <c r="B20" s="5" t="s">
        <v>24</v>
      </c>
      <c r="C20" s="5" t="s">
        <v>25</v>
      </c>
      <c r="D20" s="5" t="s">
        <v>26</v>
      </c>
      <c r="E20" s="5" t="s">
        <v>23</v>
      </c>
      <c r="F20" s="5" t="s">
        <v>24</v>
      </c>
      <c r="G20" s="5" t="s">
        <v>25</v>
      </c>
      <c r="H20" s="6" t="s">
        <v>26</v>
      </c>
    </row>
    <row r="21" spans="1:8" ht="16.8" thickBot="1" x14ac:dyDescent="0.35">
      <c r="A21" s="7">
        <v>0</v>
      </c>
      <c r="B21" s="31"/>
      <c r="C21" s="32"/>
      <c r="D21" s="11"/>
      <c r="E21" s="8">
        <v>132</v>
      </c>
      <c r="F21" s="31"/>
      <c r="G21" s="32"/>
      <c r="H21" s="13"/>
    </row>
    <row r="22" spans="1:8" ht="16.8" thickBot="1" x14ac:dyDescent="0.35">
      <c r="A22" s="7">
        <v>8</v>
      </c>
      <c r="B22" s="33"/>
      <c r="C22" s="34"/>
      <c r="D22" s="11"/>
      <c r="E22" s="8">
        <v>140</v>
      </c>
      <c r="F22" s="33"/>
      <c r="G22" s="34"/>
      <c r="H22" s="13"/>
    </row>
    <row r="23" spans="1:8" ht="16.8" thickBot="1" x14ac:dyDescent="0.35">
      <c r="A23" s="7">
        <v>16</v>
      </c>
      <c r="B23" s="33"/>
      <c r="C23" s="34"/>
      <c r="D23" s="11"/>
      <c r="E23" s="8">
        <v>148</v>
      </c>
      <c r="F23" s="33"/>
      <c r="G23" s="34"/>
      <c r="H23" s="13"/>
    </row>
    <row r="24" spans="1:8" ht="16.8" thickBot="1" x14ac:dyDescent="0.35">
      <c r="A24" s="7">
        <v>25</v>
      </c>
      <c r="B24" s="33"/>
      <c r="C24" s="34"/>
      <c r="D24" s="11"/>
      <c r="E24" s="8">
        <v>156</v>
      </c>
      <c r="F24" s="33"/>
      <c r="G24" s="34"/>
      <c r="H24" s="13"/>
    </row>
    <row r="25" spans="1:8" ht="16.8" thickBot="1" x14ac:dyDescent="0.35">
      <c r="A25" s="7">
        <v>33</v>
      </c>
      <c r="B25" s="33"/>
      <c r="C25" s="34"/>
      <c r="D25" s="11"/>
      <c r="E25" s="8">
        <v>165</v>
      </c>
      <c r="F25" s="33"/>
      <c r="G25" s="34"/>
      <c r="H25" s="13"/>
    </row>
    <row r="26" spans="1:8" ht="16.8" thickBot="1" x14ac:dyDescent="0.35">
      <c r="A26" s="7">
        <v>41</v>
      </c>
      <c r="B26" s="33"/>
      <c r="C26" s="34"/>
      <c r="D26" s="11"/>
      <c r="E26" s="8">
        <v>173</v>
      </c>
      <c r="F26" s="33"/>
      <c r="G26" s="34"/>
      <c r="H26" s="13"/>
    </row>
    <row r="27" spans="1:8" ht="16.8" thickBot="1" x14ac:dyDescent="0.35">
      <c r="A27" s="7">
        <v>49</v>
      </c>
      <c r="B27" s="33"/>
      <c r="C27" s="34"/>
      <c r="D27" s="11"/>
      <c r="E27" s="8">
        <v>181</v>
      </c>
      <c r="F27" s="33"/>
      <c r="G27" s="34"/>
      <c r="H27" s="13"/>
    </row>
    <row r="28" spans="1:8" ht="16.8" thickBot="1" x14ac:dyDescent="0.35">
      <c r="A28" s="7">
        <v>58</v>
      </c>
      <c r="B28" s="33"/>
      <c r="C28" s="34"/>
      <c r="D28" s="11"/>
      <c r="E28" s="8">
        <v>189</v>
      </c>
      <c r="F28" s="33"/>
      <c r="G28" s="34"/>
      <c r="H28" s="13"/>
    </row>
    <row r="29" spans="1:8" ht="16.8" thickBot="1" x14ac:dyDescent="0.35">
      <c r="A29" s="7">
        <v>66</v>
      </c>
      <c r="B29" s="33"/>
      <c r="C29" s="34"/>
      <c r="D29" s="11"/>
      <c r="E29" s="8">
        <v>197</v>
      </c>
      <c r="F29" s="33"/>
      <c r="G29" s="34"/>
      <c r="H29" s="13"/>
    </row>
    <row r="30" spans="1:8" ht="16.8" thickBot="1" x14ac:dyDescent="0.35">
      <c r="A30" s="7">
        <v>74</v>
      </c>
      <c r="B30" s="33"/>
      <c r="C30" s="34"/>
      <c r="D30" s="11"/>
      <c r="E30" s="8">
        <v>206</v>
      </c>
      <c r="F30" s="33"/>
      <c r="G30" s="34"/>
      <c r="H30" s="13"/>
    </row>
    <row r="31" spans="1:8" ht="16.8" thickBot="1" x14ac:dyDescent="0.35">
      <c r="A31" s="7">
        <v>82</v>
      </c>
      <c r="B31" s="33"/>
      <c r="C31" s="34"/>
      <c r="D31" s="11"/>
      <c r="E31" s="8">
        <v>214</v>
      </c>
      <c r="F31" s="33"/>
      <c r="G31" s="34"/>
      <c r="H31" s="13"/>
    </row>
    <row r="32" spans="1:8" ht="16.8" thickBot="1" x14ac:dyDescent="0.35">
      <c r="A32" s="7">
        <v>90</v>
      </c>
      <c r="B32" s="33"/>
      <c r="C32" s="34"/>
      <c r="D32" s="11"/>
      <c r="E32" s="8">
        <v>222</v>
      </c>
      <c r="F32" s="33"/>
      <c r="G32" s="34"/>
      <c r="H32" s="13"/>
    </row>
    <row r="33" spans="1:18" ht="16.8" thickBot="1" x14ac:dyDescent="0.35">
      <c r="A33" s="7">
        <v>99</v>
      </c>
      <c r="B33" s="33"/>
      <c r="C33" s="34"/>
      <c r="D33" s="11"/>
      <c r="E33" s="8">
        <v>230</v>
      </c>
      <c r="F33" s="33"/>
      <c r="G33" s="34"/>
      <c r="H33" s="13"/>
    </row>
    <row r="34" spans="1:18" ht="16.8" thickBot="1" x14ac:dyDescent="0.35">
      <c r="A34" s="7">
        <v>107</v>
      </c>
      <c r="B34" s="33"/>
      <c r="C34" s="34"/>
      <c r="D34" s="11"/>
      <c r="E34" s="8">
        <v>239</v>
      </c>
      <c r="F34" s="33"/>
      <c r="G34" s="34"/>
      <c r="H34" s="13"/>
    </row>
    <row r="35" spans="1:18" ht="16.8" thickBot="1" x14ac:dyDescent="0.35">
      <c r="A35" s="7">
        <v>115</v>
      </c>
      <c r="B35" s="33"/>
      <c r="C35" s="34"/>
      <c r="D35" s="11"/>
      <c r="E35" s="8">
        <v>247</v>
      </c>
      <c r="F35" s="33"/>
      <c r="G35" s="34"/>
      <c r="H35" s="13"/>
    </row>
    <row r="36" spans="1:18" ht="16.8" thickBot="1" x14ac:dyDescent="0.35">
      <c r="A36" s="9">
        <v>123</v>
      </c>
      <c r="B36" s="35"/>
      <c r="C36" s="36"/>
      <c r="D36" s="12"/>
      <c r="E36" s="10">
        <v>255</v>
      </c>
      <c r="F36" s="35"/>
      <c r="G36" s="36"/>
      <c r="H36" s="14"/>
    </row>
    <row r="37" spans="1:18" ht="17.399999999999999" thickTop="1" thickBot="1" x14ac:dyDescent="0.35"/>
    <row r="38" spans="1:18" ht="17.399999999999999" thickTop="1" thickBot="1" x14ac:dyDescent="0.35">
      <c r="A38" s="54" t="s">
        <v>37</v>
      </c>
      <c r="B38" s="55"/>
      <c r="C38" s="55"/>
      <c r="D38" s="55"/>
      <c r="E38" s="55"/>
      <c r="F38" s="55"/>
      <c r="G38" s="55"/>
      <c r="H38" s="56"/>
      <c r="K38" s="54" t="s">
        <v>28</v>
      </c>
      <c r="L38" s="55"/>
      <c r="M38" s="55"/>
      <c r="N38" s="55"/>
      <c r="O38" s="55"/>
      <c r="P38" s="55"/>
      <c r="Q38" s="55"/>
      <c r="R38" s="56"/>
    </row>
    <row r="39" spans="1:18" ht="17.399999999999999" thickTop="1" thickBot="1" x14ac:dyDescent="0.35">
      <c r="A39" s="4" t="s">
        <v>23</v>
      </c>
      <c r="B39" s="5" t="s">
        <v>24</v>
      </c>
      <c r="C39" s="5" t="s">
        <v>25</v>
      </c>
      <c r="D39" s="5" t="s">
        <v>26</v>
      </c>
      <c r="E39" s="5" t="s">
        <v>23</v>
      </c>
      <c r="F39" s="5" t="s">
        <v>24</v>
      </c>
      <c r="G39" s="5" t="s">
        <v>25</v>
      </c>
      <c r="H39" s="6" t="s">
        <v>26</v>
      </c>
      <c r="K39" s="4" t="s">
        <v>23</v>
      </c>
      <c r="L39" s="5" t="s">
        <v>24</v>
      </c>
      <c r="M39" s="5" t="s">
        <v>25</v>
      </c>
      <c r="N39" s="5" t="s">
        <v>26</v>
      </c>
      <c r="O39" s="5" t="s">
        <v>23</v>
      </c>
      <c r="P39" s="5" t="s">
        <v>24</v>
      </c>
      <c r="Q39" s="5" t="s">
        <v>25</v>
      </c>
      <c r="R39" s="6" t="s">
        <v>26</v>
      </c>
    </row>
    <row r="40" spans="1:18" ht="16.8" thickBot="1" x14ac:dyDescent="0.35">
      <c r="A40" s="7">
        <v>0</v>
      </c>
      <c r="B40" s="11"/>
      <c r="C40" s="11"/>
      <c r="D40" s="11"/>
      <c r="E40" s="8">
        <v>132</v>
      </c>
      <c r="F40" s="11"/>
      <c r="G40" s="11"/>
      <c r="H40" s="13"/>
      <c r="K40" s="7">
        <v>0</v>
      </c>
      <c r="L40" s="31"/>
      <c r="M40" s="32"/>
      <c r="N40" s="11"/>
      <c r="O40" s="8">
        <v>132</v>
      </c>
      <c r="P40" s="31"/>
      <c r="Q40" s="32"/>
      <c r="R40" s="13"/>
    </row>
    <row r="41" spans="1:18" ht="16.8" thickBot="1" x14ac:dyDescent="0.35">
      <c r="A41" s="7">
        <v>8</v>
      </c>
      <c r="B41" s="11"/>
      <c r="C41" s="11"/>
      <c r="D41" s="11"/>
      <c r="E41" s="8">
        <v>140</v>
      </c>
      <c r="F41" s="11"/>
      <c r="G41" s="11"/>
      <c r="H41" s="13"/>
      <c r="K41" s="7">
        <v>8</v>
      </c>
      <c r="L41" s="33"/>
      <c r="M41" s="34"/>
      <c r="N41" s="11"/>
      <c r="O41" s="8">
        <v>140</v>
      </c>
      <c r="P41" s="33"/>
      <c r="Q41" s="34"/>
      <c r="R41" s="13"/>
    </row>
    <row r="42" spans="1:18" ht="16.8" thickBot="1" x14ac:dyDescent="0.35">
      <c r="A42" s="7">
        <v>16</v>
      </c>
      <c r="B42" s="11"/>
      <c r="C42" s="11"/>
      <c r="D42" s="11"/>
      <c r="E42" s="8">
        <v>148</v>
      </c>
      <c r="F42" s="11"/>
      <c r="G42" s="11"/>
      <c r="H42" s="13"/>
      <c r="K42" s="7">
        <v>16</v>
      </c>
      <c r="L42" s="33"/>
      <c r="M42" s="34"/>
      <c r="N42" s="11"/>
      <c r="O42" s="8">
        <v>148</v>
      </c>
      <c r="P42" s="33"/>
      <c r="Q42" s="34"/>
      <c r="R42" s="13"/>
    </row>
    <row r="43" spans="1:18" ht="16.8" thickBot="1" x14ac:dyDescent="0.35">
      <c r="A43" s="7">
        <v>25</v>
      </c>
      <c r="B43" s="11"/>
      <c r="C43" s="11"/>
      <c r="D43" s="11"/>
      <c r="E43" s="8">
        <v>156</v>
      </c>
      <c r="F43" s="11"/>
      <c r="G43" s="11"/>
      <c r="H43" s="13"/>
      <c r="K43" s="7">
        <v>25</v>
      </c>
      <c r="L43" s="33"/>
      <c r="M43" s="34"/>
      <c r="N43" s="11"/>
      <c r="O43" s="8">
        <v>156</v>
      </c>
      <c r="P43" s="33"/>
      <c r="Q43" s="34"/>
      <c r="R43" s="13"/>
    </row>
    <row r="44" spans="1:18" ht="16.8" thickBot="1" x14ac:dyDescent="0.35">
      <c r="A44" s="7">
        <v>33</v>
      </c>
      <c r="B44" s="11"/>
      <c r="C44" s="11"/>
      <c r="D44" s="11"/>
      <c r="E44" s="8">
        <v>165</v>
      </c>
      <c r="F44" s="11"/>
      <c r="G44" s="11"/>
      <c r="H44" s="13"/>
      <c r="K44" s="7">
        <v>33</v>
      </c>
      <c r="L44" s="33"/>
      <c r="M44" s="34"/>
      <c r="N44" s="11"/>
      <c r="O44" s="8">
        <v>165</v>
      </c>
      <c r="P44" s="33"/>
      <c r="Q44" s="34"/>
      <c r="R44" s="13"/>
    </row>
    <row r="45" spans="1:18" ht="16.8" thickBot="1" x14ac:dyDescent="0.35">
      <c r="A45" s="7">
        <v>41</v>
      </c>
      <c r="B45" s="11"/>
      <c r="C45" s="11"/>
      <c r="D45" s="11"/>
      <c r="E45" s="8">
        <v>173</v>
      </c>
      <c r="F45" s="11"/>
      <c r="G45" s="11"/>
      <c r="H45" s="13"/>
      <c r="K45" s="7">
        <v>41</v>
      </c>
      <c r="L45" s="33"/>
      <c r="M45" s="34"/>
      <c r="N45" s="11"/>
      <c r="O45" s="8">
        <v>173</v>
      </c>
      <c r="P45" s="33"/>
      <c r="Q45" s="34"/>
      <c r="R45" s="13"/>
    </row>
    <row r="46" spans="1:18" ht="16.8" thickBot="1" x14ac:dyDescent="0.35">
      <c r="A46" s="7">
        <v>49</v>
      </c>
      <c r="B46" s="11"/>
      <c r="C46" s="11"/>
      <c r="D46" s="11"/>
      <c r="E46" s="8">
        <v>181</v>
      </c>
      <c r="F46" s="11"/>
      <c r="G46" s="11"/>
      <c r="H46" s="13"/>
      <c r="K46" s="7">
        <v>49</v>
      </c>
      <c r="L46" s="33"/>
      <c r="M46" s="34"/>
      <c r="N46" s="11"/>
      <c r="O46" s="8">
        <v>181</v>
      </c>
      <c r="P46" s="33"/>
      <c r="Q46" s="34"/>
      <c r="R46" s="13"/>
    </row>
    <row r="47" spans="1:18" ht="16.8" thickBot="1" x14ac:dyDescent="0.35">
      <c r="A47" s="7">
        <v>58</v>
      </c>
      <c r="B47" s="11"/>
      <c r="C47" s="11"/>
      <c r="D47" s="11"/>
      <c r="E47" s="8">
        <v>189</v>
      </c>
      <c r="F47" s="11"/>
      <c r="G47" s="11"/>
      <c r="H47" s="13"/>
      <c r="K47" s="7">
        <v>58</v>
      </c>
      <c r="L47" s="33"/>
      <c r="M47" s="34"/>
      <c r="N47" s="11"/>
      <c r="O47" s="8">
        <v>189</v>
      </c>
      <c r="P47" s="33"/>
      <c r="Q47" s="34"/>
      <c r="R47" s="13"/>
    </row>
    <row r="48" spans="1:18" ht="16.8" thickBot="1" x14ac:dyDescent="0.35">
      <c r="A48" s="7">
        <v>66</v>
      </c>
      <c r="B48" s="11"/>
      <c r="C48" s="11"/>
      <c r="D48" s="11"/>
      <c r="E48" s="8">
        <v>197</v>
      </c>
      <c r="F48" s="11"/>
      <c r="G48" s="11"/>
      <c r="H48" s="13"/>
      <c r="K48" s="7">
        <v>66</v>
      </c>
      <c r="L48" s="33"/>
      <c r="M48" s="34"/>
      <c r="N48" s="11"/>
      <c r="O48" s="8">
        <v>197</v>
      </c>
      <c r="P48" s="33"/>
      <c r="Q48" s="34"/>
      <c r="R48" s="13"/>
    </row>
    <row r="49" spans="1:18" ht="16.8" thickBot="1" x14ac:dyDescent="0.35">
      <c r="A49" s="7">
        <v>74</v>
      </c>
      <c r="B49" s="11"/>
      <c r="C49" s="11"/>
      <c r="D49" s="11"/>
      <c r="E49" s="8">
        <v>206</v>
      </c>
      <c r="F49" s="11"/>
      <c r="G49" s="11"/>
      <c r="H49" s="13"/>
      <c r="K49" s="7">
        <v>74</v>
      </c>
      <c r="L49" s="33"/>
      <c r="M49" s="34"/>
      <c r="N49" s="11"/>
      <c r="O49" s="8">
        <v>206</v>
      </c>
      <c r="P49" s="33"/>
      <c r="Q49" s="34"/>
      <c r="R49" s="13"/>
    </row>
    <row r="50" spans="1:18" ht="16.8" thickBot="1" x14ac:dyDescent="0.35">
      <c r="A50" s="7">
        <v>82</v>
      </c>
      <c r="B50" s="11"/>
      <c r="C50" s="11"/>
      <c r="D50" s="11"/>
      <c r="E50" s="8">
        <v>214</v>
      </c>
      <c r="F50" s="11"/>
      <c r="G50" s="11"/>
      <c r="H50" s="13"/>
      <c r="K50" s="7">
        <v>82</v>
      </c>
      <c r="L50" s="33"/>
      <c r="M50" s="34"/>
      <c r="N50" s="11"/>
      <c r="O50" s="8">
        <v>214</v>
      </c>
      <c r="P50" s="33"/>
      <c r="Q50" s="34"/>
      <c r="R50" s="13"/>
    </row>
    <row r="51" spans="1:18" ht="16.8" thickBot="1" x14ac:dyDescent="0.35">
      <c r="A51" s="7">
        <v>90</v>
      </c>
      <c r="B51" s="11"/>
      <c r="C51" s="11"/>
      <c r="D51" s="11"/>
      <c r="E51" s="8">
        <v>222</v>
      </c>
      <c r="F51" s="11"/>
      <c r="G51" s="11"/>
      <c r="H51" s="13"/>
      <c r="K51" s="7">
        <v>90</v>
      </c>
      <c r="L51" s="33"/>
      <c r="M51" s="34"/>
      <c r="N51" s="11"/>
      <c r="O51" s="8">
        <v>222</v>
      </c>
      <c r="P51" s="33"/>
      <c r="Q51" s="34"/>
      <c r="R51" s="13"/>
    </row>
    <row r="52" spans="1:18" ht="16.8" thickBot="1" x14ac:dyDescent="0.35">
      <c r="A52" s="7">
        <v>99</v>
      </c>
      <c r="B52" s="11"/>
      <c r="C52" s="11"/>
      <c r="D52" s="11"/>
      <c r="E52" s="8">
        <v>230</v>
      </c>
      <c r="F52" s="11"/>
      <c r="G52" s="11"/>
      <c r="H52" s="13"/>
      <c r="K52" s="7">
        <v>99</v>
      </c>
      <c r="L52" s="33"/>
      <c r="M52" s="34"/>
      <c r="N52" s="11"/>
      <c r="O52" s="8">
        <v>230</v>
      </c>
      <c r="P52" s="33"/>
      <c r="Q52" s="34"/>
      <c r="R52" s="13"/>
    </row>
    <row r="53" spans="1:18" ht="16.8" thickBot="1" x14ac:dyDescent="0.35">
      <c r="A53" s="7">
        <v>107</v>
      </c>
      <c r="B53" s="11"/>
      <c r="C53" s="11"/>
      <c r="D53" s="11"/>
      <c r="E53" s="8">
        <v>239</v>
      </c>
      <c r="F53" s="11"/>
      <c r="G53" s="11"/>
      <c r="H53" s="13"/>
      <c r="K53" s="7">
        <v>107</v>
      </c>
      <c r="L53" s="33"/>
      <c r="M53" s="34"/>
      <c r="N53" s="11"/>
      <c r="O53" s="8">
        <v>239</v>
      </c>
      <c r="P53" s="33"/>
      <c r="Q53" s="34"/>
      <c r="R53" s="13"/>
    </row>
    <row r="54" spans="1:18" ht="16.8" thickBot="1" x14ac:dyDescent="0.35">
      <c r="A54" s="7">
        <v>115</v>
      </c>
      <c r="B54" s="11"/>
      <c r="C54" s="11"/>
      <c r="D54" s="11"/>
      <c r="E54" s="8">
        <v>247</v>
      </c>
      <c r="F54" s="11"/>
      <c r="G54" s="11"/>
      <c r="H54" s="13"/>
      <c r="K54" s="7">
        <v>115</v>
      </c>
      <c r="L54" s="33"/>
      <c r="M54" s="34"/>
      <c r="N54" s="11"/>
      <c r="O54" s="8">
        <v>247</v>
      </c>
      <c r="P54" s="33"/>
      <c r="Q54" s="34"/>
      <c r="R54" s="13"/>
    </row>
    <row r="55" spans="1:18" ht="16.8" thickBot="1" x14ac:dyDescent="0.35">
      <c r="A55" s="9">
        <v>123</v>
      </c>
      <c r="B55" s="12"/>
      <c r="C55" s="12"/>
      <c r="D55" s="12"/>
      <c r="E55" s="10">
        <v>255</v>
      </c>
      <c r="F55" s="12"/>
      <c r="G55" s="12"/>
      <c r="H55" s="14"/>
      <c r="K55" s="9">
        <v>123</v>
      </c>
      <c r="L55" s="35"/>
      <c r="M55" s="36"/>
      <c r="N55" s="12"/>
      <c r="O55" s="10">
        <v>255</v>
      </c>
      <c r="P55" s="35"/>
      <c r="Q55" s="36"/>
      <c r="R55" s="14"/>
    </row>
    <row r="56" spans="1:18" ht="17.399999999999999" thickTop="1" thickBot="1" x14ac:dyDescent="0.35"/>
    <row r="57" spans="1:18" ht="17.399999999999999" thickTop="1" thickBot="1" x14ac:dyDescent="0.35">
      <c r="A57" s="54" t="s">
        <v>29</v>
      </c>
      <c r="B57" s="55"/>
      <c r="C57" s="55"/>
      <c r="D57" s="55"/>
      <c r="E57" s="55"/>
      <c r="F57" s="55"/>
      <c r="G57" s="55"/>
      <c r="H57" s="56"/>
    </row>
    <row r="58" spans="1:18" ht="17.399999999999999" thickTop="1" thickBot="1" x14ac:dyDescent="0.35">
      <c r="A58" s="4" t="s">
        <v>23</v>
      </c>
      <c r="B58" s="5" t="s">
        <v>24</v>
      </c>
      <c r="C58" s="5" t="s">
        <v>25</v>
      </c>
      <c r="D58" s="5" t="s">
        <v>26</v>
      </c>
      <c r="E58" s="5" t="s">
        <v>23</v>
      </c>
      <c r="F58" s="5" t="s">
        <v>24</v>
      </c>
      <c r="G58" s="5" t="s">
        <v>25</v>
      </c>
      <c r="H58" s="6" t="s">
        <v>26</v>
      </c>
    </row>
    <row r="59" spans="1:18" ht="16.8" thickBot="1" x14ac:dyDescent="0.35">
      <c r="A59" s="7">
        <v>0</v>
      </c>
      <c r="B59" s="11"/>
      <c r="C59" s="11"/>
      <c r="D59" s="11"/>
      <c r="E59" s="8">
        <v>132</v>
      </c>
      <c r="F59" s="11"/>
      <c r="G59" s="11"/>
      <c r="H59" s="13"/>
    </row>
    <row r="60" spans="1:18" ht="16.8" thickBot="1" x14ac:dyDescent="0.35">
      <c r="A60" s="7">
        <v>8</v>
      </c>
      <c r="B60" s="11"/>
      <c r="C60" s="11"/>
      <c r="D60" s="11"/>
      <c r="E60" s="8">
        <v>140</v>
      </c>
      <c r="F60" s="11"/>
      <c r="G60" s="11"/>
      <c r="H60" s="13"/>
    </row>
    <row r="61" spans="1:18" ht="16.8" thickBot="1" x14ac:dyDescent="0.35">
      <c r="A61" s="7">
        <v>16</v>
      </c>
      <c r="B61" s="11"/>
      <c r="C61" s="11"/>
      <c r="D61" s="11"/>
      <c r="E61" s="8">
        <v>148</v>
      </c>
      <c r="F61" s="11"/>
      <c r="G61" s="11"/>
      <c r="H61" s="13"/>
    </row>
    <row r="62" spans="1:18" ht="16.8" thickBot="1" x14ac:dyDescent="0.35">
      <c r="A62" s="7">
        <v>25</v>
      </c>
      <c r="B62" s="11"/>
      <c r="C62" s="11"/>
      <c r="D62" s="11"/>
      <c r="E62" s="8">
        <v>156</v>
      </c>
      <c r="F62" s="11"/>
      <c r="G62" s="11"/>
      <c r="H62" s="13"/>
    </row>
    <row r="63" spans="1:18" ht="16.8" thickBot="1" x14ac:dyDescent="0.35">
      <c r="A63" s="7">
        <v>33</v>
      </c>
      <c r="B63" s="11"/>
      <c r="C63" s="11"/>
      <c r="D63" s="11"/>
      <c r="E63" s="8">
        <v>165</v>
      </c>
      <c r="F63" s="11"/>
      <c r="G63" s="11"/>
      <c r="H63" s="13"/>
    </row>
    <row r="64" spans="1:18" ht="16.8" thickBot="1" x14ac:dyDescent="0.35">
      <c r="A64" s="7">
        <v>41</v>
      </c>
      <c r="B64" s="11"/>
      <c r="C64" s="11"/>
      <c r="D64" s="11"/>
      <c r="E64" s="8">
        <v>173</v>
      </c>
      <c r="F64" s="11"/>
      <c r="G64" s="11"/>
      <c r="H64" s="13"/>
    </row>
    <row r="65" spans="1:8" ht="16.8" thickBot="1" x14ac:dyDescent="0.35">
      <c r="A65" s="7">
        <v>49</v>
      </c>
      <c r="B65" s="11"/>
      <c r="C65" s="11"/>
      <c r="D65" s="11"/>
      <c r="E65" s="8">
        <v>181</v>
      </c>
      <c r="F65" s="11"/>
      <c r="G65" s="11"/>
      <c r="H65" s="13"/>
    </row>
    <row r="66" spans="1:8" ht="16.8" thickBot="1" x14ac:dyDescent="0.35">
      <c r="A66" s="7">
        <v>58</v>
      </c>
      <c r="B66" s="11"/>
      <c r="C66" s="11"/>
      <c r="D66" s="11"/>
      <c r="E66" s="8">
        <v>189</v>
      </c>
      <c r="F66" s="11"/>
      <c r="G66" s="11"/>
      <c r="H66" s="13"/>
    </row>
    <row r="67" spans="1:8" ht="16.8" thickBot="1" x14ac:dyDescent="0.35">
      <c r="A67" s="7">
        <v>66</v>
      </c>
      <c r="B67" s="11"/>
      <c r="C67" s="11"/>
      <c r="D67" s="11"/>
      <c r="E67" s="8">
        <v>197</v>
      </c>
      <c r="F67" s="11"/>
      <c r="G67" s="11"/>
      <c r="H67" s="13"/>
    </row>
    <row r="68" spans="1:8" ht="16.8" thickBot="1" x14ac:dyDescent="0.35">
      <c r="A68" s="7">
        <v>74</v>
      </c>
      <c r="B68" s="11"/>
      <c r="C68" s="11"/>
      <c r="D68" s="11"/>
      <c r="E68" s="8">
        <v>206</v>
      </c>
      <c r="F68" s="11"/>
      <c r="G68" s="11"/>
      <c r="H68" s="13"/>
    </row>
    <row r="69" spans="1:8" ht="16.8" thickBot="1" x14ac:dyDescent="0.35">
      <c r="A69" s="7">
        <v>82</v>
      </c>
      <c r="B69" s="11"/>
      <c r="C69" s="11"/>
      <c r="D69" s="11"/>
      <c r="E69" s="8">
        <v>214</v>
      </c>
      <c r="F69" s="11"/>
      <c r="G69" s="11"/>
      <c r="H69" s="13"/>
    </row>
    <row r="70" spans="1:8" ht="16.8" thickBot="1" x14ac:dyDescent="0.35">
      <c r="A70" s="7">
        <v>90</v>
      </c>
      <c r="B70" s="11"/>
      <c r="C70" s="11"/>
      <c r="D70" s="11"/>
      <c r="E70" s="8">
        <v>222</v>
      </c>
      <c r="F70" s="11"/>
      <c r="G70" s="11"/>
      <c r="H70" s="13"/>
    </row>
    <row r="71" spans="1:8" ht="16.8" thickBot="1" x14ac:dyDescent="0.35">
      <c r="A71" s="7">
        <v>99</v>
      </c>
      <c r="B71" s="11"/>
      <c r="C71" s="11"/>
      <c r="D71" s="11"/>
      <c r="E71" s="8">
        <v>230</v>
      </c>
      <c r="F71" s="11"/>
      <c r="G71" s="11"/>
      <c r="H71" s="13"/>
    </row>
    <row r="72" spans="1:8" ht="16.8" thickBot="1" x14ac:dyDescent="0.35">
      <c r="A72" s="7">
        <v>107</v>
      </c>
      <c r="B72" s="11"/>
      <c r="C72" s="11"/>
      <c r="D72" s="11"/>
      <c r="E72" s="8">
        <v>239</v>
      </c>
      <c r="F72" s="11"/>
      <c r="G72" s="11"/>
      <c r="H72" s="13"/>
    </row>
    <row r="73" spans="1:8" ht="16.8" thickBot="1" x14ac:dyDescent="0.35">
      <c r="A73" s="7">
        <v>115</v>
      </c>
      <c r="B73" s="11"/>
      <c r="C73" s="11"/>
      <c r="D73" s="11"/>
      <c r="E73" s="8">
        <v>247</v>
      </c>
      <c r="F73" s="11"/>
      <c r="G73" s="11"/>
      <c r="H73" s="13"/>
    </row>
    <row r="74" spans="1:8" ht="16.8" thickBot="1" x14ac:dyDescent="0.35">
      <c r="A74" s="9">
        <v>123</v>
      </c>
      <c r="B74" s="12"/>
      <c r="C74" s="12"/>
      <c r="D74" s="12"/>
      <c r="E74" s="10">
        <v>255</v>
      </c>
      <c r="F74" s="12"/>
      <c r="G74" s="12"/>
      <c r="H74" s="14"/>
    </row>
    <row r="75" spans="1:8" ht="17.399999999999999" thickTop="1" thickBot="1" x14ac:dyDescent="0.35"/>
    <row r="76" spans="1:8" ht="17.399999999999999" thickTop="1" thickBot="1" x14ac:dyDescent="0.35">
      <c r="A76" s="54" t="s">
        <v>30</v>
      </c>
      <c r="B76" s="55"/>
      <c r="C76" s="55"/>
      <c r="D76" s="55"/>
      <c r="E76" s="55"/>
      <c r="F76" s="55"/>
      <c r="G76" s="55"/>
      <c r="H76" s="56"/>
    </row>
    <row r="77" spans="1:8" ht="17.399999999999999" thickTop="1" thickBot="1" x14ac:dyDescent="0.35">
      <c r="A77" s="4" t="s">
        <v>23</v>
      </c>
      <c r="B77" s="5" t="s">
        <v>24</v>
      </c>
      <c r="C77" s="5" t="s">
        <v>25</v>
      </c>
      <c r="D77" s="5" t="s">
        <v>26</v>
      </c>
      <c r="E77" s="5" t="s">
        <v>23</v>
      </c>
      <c r="F77" s="5" t="s">
        <v>24</v>
      </c>
      <c r="G77" s="5" t="s">
        <v>25</v>
      </c>
      <c r="H77" s="6" t="s">
        <v>26</v>
      </c>
    </row>
    <row r="78" spans="1:8" ht="16.8" thickBot="1" x14ac:dyDescent="0.35">
      <c r="A78" s="7">
        <v>0</v>
      </c>
      <c r="B78" s="11"/>
      <c r="C78" s="11"/>
      <c r="D78" s="11"/>
      <c r="E78" s="8">
        <v>132</v>
      </c>
      <c r="F78" s="11"/>
      <c r="G78" s="11"/>
      <c r="H78" s="13"/>
    </row>
    <row r="79" spans="1:8" ht="16.8" thickBot="1" x14ac:dyDescent="0.35">
      <c r="A79" s="7">
        <v>8</v>
      </c>
      <c r="B79" s="11"/>
      <c r="C79" s="11"/>
      <c r="D79" s="11"/>
      <c r="E79" s="8">
        <v>140</v>
      </c>
      <c r="F79" s="11"/>
      <c r="G79" s="11"/>
      <c r="H79" s="13"/>
    </row>
    <row r="80" spans="1:8" ht="16.8" thickBot="1" x14ac:dyDescent="0.35">
      <c r="A80" s="7">
        <v>16</v>
      </c>
      <c r="B80" s="11"/>
      <c r="C80" s="11"/>
      <c r="D80" s="11"/>
      <c r="E80" s="8">
        <v>148</v>
      </c>
      <c r="F80" s="11"/>
      <c r="G80" s="11"/>
      <c r="H80" s="13"/>
    </row>
    <row r="81" spans="1:8" ht="16.8" thickBot="1" x14ac:dyDescent="0.35">
      <c r="A81" s="7">
        <v>25</v>
      </c>
      <c r="B81" s="11"/>
      <c r="C81" s="11"/>
      <c r="D81" s="11"/>
      <c r="E81" s="8">
        <v>156</v>
      </c>
      <c r="F81" s="11"/>
      <c r="G81" s="11"/>
      <c r="H81" s="13"/>
    </row>
    <row r="82" spans="1:8" ht="16.8" thickBot="1" x14ac:dyDescent="0.35">
      <c r="A82" s="7">
        <v>33</v>
      </c>
      <c r="B82" s="11"/>
      <c r="C82" s="11"/>
      <c r="D82" s="11"/>
      <c r="E82" s="8">
        <v>165</v>
      </c>
      <c r="F82" s="11"/>
      <c r="G82" s="11"/>
      <c r="H82" s="13"/>
    </row>
    <row r="83" spans="1:8" ht="16.8" thickBot="1" x14ac:dyDescent="0.35">
      <c r="A83" s="7">
        <v>41</v>
      </c>
      <c r="B83" s="11"/>
      <c r="C83" s="11"/>
      <c r="D83" s="11"/>
      <c r="E83" s="8">
        <v>173</v>
      </c>
      <c r="F83" s="11"/>
      <c r="G83" s="11"/>
      <c r="H83" s="13"/>
    </row>
    <row r="84" spans="1:8" ht="16.8" thickBot="1" x14ac:dyDescent="0.35">
      <c r="A84" s="7">
        <v>49</v>
      </c>
      <c r="B84" s="11"/>
      <c r="C84" s="11"/>
      <c r="D84" s="11"/>
      <c r="E84" s="8">
        <v>181</v>
      </c>
      <c r="F84" s="11"/>
      <c r="G84" s="11"/>
      <c r="H84" s="13"/>
    </row>
    <row r="85" spans="1:8" ht="16.8" thickBot="1" x14ac:dyDescent="0.35">
      <c r="A85" s="7">
        <v>58</v>
      </c>
      <c r="B85" s="11"/>
      <c r="C85" s="11"/>
      <c r="D85" s="11"/>
      <c r="E85" s="8">
        <v>189</v>
      </c>
      <c r="F85" s="11"/>
      <c r="G85" s="11"/>
      <c r="H85" s="13"/>
    </row>
    <row r="86" spans="1:8" ht="16.8" thickBot="1" x14ac:dyDescent="0.35">
      <c r="A86" s="7">
        <v>66</v>
      </c>
      <c r="B86" s="11"/>
      <c r="C86" s="11"/>
      <c r="D86" s="11"/>
      <c r="E86" s="8">
        <v>197</v>
      </c>
      <c r="F86" s="11"/>
      <c r="G86" s="11"/>
      <c r="H86" s="13"/>
    </row>
    <row r="87" spans="1:8" ht="16.8" thickBot="1" x14ac:dyDescent="0.35">
      <c r="A87" s="7">
        <v>74</v>
      </c>
      <c r="B87" s="11"/>
      <c r="C87" s="11"/>
      <c r="D87" s="11"/>
      <c r="E87" s="8">
        <v>206</v>
      </c>
      <c r="F87" s="11"/>
      <c r="G87" s="11"/>
      <c r="H87" s="13"/>
    </row>
    <row r="88" spans="1:8" ht="16.8" thickBot="1" x14ac:dyDescent="0.35">
      <c r="A88" s="7">
        <v>82</v>
      </c>
      <c r="B88" s="11"/>
      <c r="C88" s="11"/>
      <c r="D88" s="11"/>
      <c r="E88" s="8">
        <v>214</v>
      </c>
      <c r="F88" s="11"/>
      <c r="G88" s="11"/>
      <c r="H88" s="13"/>
    </row>
    <row r="89" spans="1:8" ht="16.8" thickBot="1" x14ac:dyDescent="0.35">
      <c r="A89" s="7">
        <v>90</v>
      </c>
      <c r="B89" s="11"/>
      <c r="C89" s="11"/>
      <c r="D89" s="11"/>
      <c r="E89" s="8">
        <v>222</v>
      </c>
      <c r="F89" s="11"/>
      <c r="G89" s="11"/>
      <c r="H89" s="13"/>
    </row>
    <row r="90" spans="1:8" ht="16.8" thickBot="1" x14ac:dyDescent="0.35">
      <c r="A90" s="7">
        <v>99</v>
      </c>
      <c r="B90" s="11"/>
      <c r="C90" s="11"/>
      <c r="D90" s="11"/>
      <c r="E90" s="8">
        <v>230</v>
      </c>
      <c r="F90" s="11"/>
      <c r="G90" s="11"/>
      <c r="H90" s="13"/>
    </row>
    <row r="91" spans="1:8" ht="16.8" thickBot="1" x14ac:dyDescent="0.35">
      <c r="A91" s="7">
        <v>107</v>
      </c>
      <c r="B91" s="11"/>
      <c r="C91" s="11"/>
      <c r="D91" s="11"/>
      <c r="E91" s="8">
        <v>239</v>
      </c>
      <c r="F91" s="11"/>
      <c r="G91" s="11"/>
      <c r="H91" s="13"/>
    </row>
    <row r="92" spans="1:8" ht="16.8" thickBot="1" x14ac:dyDescent="0.35">
      <c r="A92" s="7">
        <v>115</v>
      </c>
      <c r="B92" s="11"/>
      <c r="C92" s="11"/>
      <c r="D92" s="11"/>
      <c r="E92" s="8">
        <v>247</v>
      </c>
      <c r="F92" s="11"/>
      <c r="G92" s="11"/>
      <c r="H92" s="13"/>
    </row>
    <row r="93" spans="1:8" ht="16.8" thickBot="1" x14ac:dyDescent="0.35">
      <c r="A93" s="9">
        <v>123</v>
      </c>
      <c r="B93" s="12"/>
      <c r="C93" s="12"/>
      <c r="D93" s="12"/>
      <c r="E93" s="10">
        <v>255</v>
      </c>
      <c r="F93" s="12"/>
      <c r="G93" s="12"/>
      <c r="H93" s="14"/>
    </row>
    <row r="94" spans="1:8" ht="17.399999999999999" thickTop="1" thickBot="1" x14ac:dyDescent="0.35"/>
    <row r="95" spans="1:8" ht="17.399999999999999" thickTop="1" thickBot="1" x14ac:dyDescent="0.35">
      <c r="A95" s="54" t="s">
        <v>31</v>
      </c>
      <c r="B95" s="55"/>
      <c r="C95" s="55"/>
      <c r="D95" s="55"/>
      <c r="E95" s="55"/>
      <c r="F95" s="55"/>
      <c r="G95" s="55"/>
      <c r="H95" s="56"/>
    </row>
    <row r="96" spans="1:8" ht="17.399999999999999" thickTop="1" thickBot="1" x14ac:dyDescent="0.35">
      <c r="A96" s="4" t="s">
        <v>23</v>
      </c>
      <c r="B96" s="5" t="s">
        <v>24</v>
      </c>
      <c r="C96" s="5" t="s">
        <v>25</v>
      </c>
      <c r="D96" s="5" t="s">
        <v>26</v>
      </c>
      <c r="E96" s="5" t="s">
        <v>23</v>
      </c>
      <c r="F96" s="5" t="s">
        <v>24</v>
      </c>
      <c r="G96" s="5" t="s">
        <v>25</v>
      </c>
      <c r="H96" s="6" t="s">
        <v>26</v>
      </c>
    </row>
    <row r="97" spans="1:17" ht="16.8" thickBot="1" x14ac:dyDescent="0.35">
      <c r="A97" s="7">
        <v>0</v>
      </c>
      <c r="B97" s="11"/>
      <c r="C97" s="11"/>
      <c r="D97" s="11"/>
      <c r="E97" s="8">
        <v>132</v>
      </c>
      <c r="F97" s="11"/>
      <c r="G97" s="11"/>
      <c r="H97" s="13"/>
    </row>
    <row r="98" spans="1:17" ht="16.8" thickBot="1" x14ac:dyDescent="0.35">
      <c r="A98" s="7">
        <v>8</v>
      </c>
      <c r="B98" s="11"/>
      <c r="C98" s="11"/>
      <c r="D98" s="11"/>
      <c r="E98" s="8">
        <v>140</v>
      </c>
      <c r="F98" s="11"/>
      <c r="G98" s="11"/>
      <c r="H98" s="13"/>
    </row>
    <row r="99" spans="1:17" ht="16.8" thickBot="1" x14ac:dyDescent="0.35">
      <c r="A99" s="7">
        <v>16</v>
      </c>
      <c r="B99" s="11"/>
      <c r="C99" s="11"/>
      <c r="D99" s="11"/>
      <c r="E99" s="8">
        <v>148</v>
      </c>
      <c r="F99" s="11"/>
      <c r="G99" s="11"/>
      <c r="H99" s="13"/>
    </row>
    <row r="100" spans="1:17" ht="16.8" thickBot="1" x14ac:dyDescent="0.35">
      <c r="A100" s="7">
        <v>25</v>
      </c>
      <c r="B100" s="11"/>
      <c r="C100" s="11"/>
      <c r="D100" s="11"/>
      <c r="E100" s="8">
        <v>156</v>
      </c>
      <c r="F100" s="11"/>
      <c r="G100" s="11"/>
      <c r="H100" s="13"/>
    </row>
    <row r="101" spans="1:17" ht="16.8" thickBot="1" x14ac:dyDescent="0.35">
      <c r="A101" s="7">
        <v>33</v>
      </c>
      <c r="B101" s="11"/>
      <c r="C101" s="11"/>
      <c r="D101" s="11"/>
      <c r="E101" s="8">
        <v>165</v>
      </c>
      <c r="F101" s="11"/>
      <c r="G101" s="11"/>
      <c r="H101" s="13"/>
    </row>
    <row r="102" spans="1:17" ht="16.8" thickBot="1" x14ac:dyDescent="0.35">
      <c r="A102" s="7">
        <v>41</v>
      </c>
      <c r="B102" s="11"/>
      <c r="C102" s="11"/>
      <c r="D102" s="11"/>
      <c r="E102" s="8">
        <v>173</v>
      </c>
      <c r="F102" s="11"/>
      <c r="G102" s="11"/>
      <c r="H102" s="13"/>
    </row>
    <row r="103" spans="1:17" ht="16.8" thickBot="1" x14ac:dyDescent="0.35">
      <c r="A103" s="7">
        <v>49</v>
      </c>
      <c r="B103" s="11"/>
      <c r="C103" s="11"/>
      <c r="D103" s="11"/>
      <c r="E103" s="8">
        <v>181</v>
      </c>
      <c r="F103" s="11"/>
      <c r="G103" s="11"/>
      <c r="H103" s="13"/>
    </row>
    <row r="104" spans="1:17" ht="16.8" thickBot="1" x14ac:dyDescent="0.35">
      <c r="A104" s="7">
        <v>58</v>
      </c>
      <c r="B104" s="11"/>
      <c r="C104" s="11"/>
      <c r="D104" s="11"/>
      <c r="E104" s="8">
        <v>189</v>
      </c>
      <c r="F104" s="11"/>
      <c r="G104" s="11"/>
      <c r="H104" s="13"/>
    </row>
    <row r="105" spans="1:17" ht="17.399999999999999" thickTop="1" thickBot="1" x14ac:dyDescent="0.35">
      <c r="A105" s="7">
        <v>66</v>
      </c>
      <c r="B105" s="11"/>
      <c r="C105" s="11"/>
      <c r="D105" s="11"/>
      <c r="E105" s="8">
        <v>197</v>
      </c>
      <c r="F105" s="11"/>
      <c r="G105" s="11"/>
      <c r="H105" s="13"/>
      <c r="K105" s="78" t="s">
        <v>58</v>
      </c>
      <c r="L105" s="79"/>
      <c r="M105" s="80"/>
      <c r="N105" s="41"/>
      <c r="O105" s="81" t="s">
        <v>62</v>
      </c>
      <c r="P105" s="82"/>
      <c r="Q105" s="83"/>
    </row>
    <row r="106" spans="1:17" ht="16.8" thickBot="1" x14ac:dyDescent="0.35">
      <c r="A106" s="7">
        <v>74</v>
      </c>
      <c r="B106" s="11"/>
      <c r="C106" s="11"/>
      <c r="D106" s="11"/>
      <c r="E106" s="8">
        <v>206</v>
      </c>
      <c r="F106" s="11"/>
      <c r="G106" s="11"/>
      <c r="H106" s="13"/>
      <c r="K106" s="44" t="s">
        <v>59</v>
      </c>
      <c r="L106" s="50">
        <v>0.64</v>
      </c>
      <c r="M106" s="51">
        <v>0.33</v>
      </c>
      <c r="N106" s="41"/>
      <c r="O106" s="42" t="s">
        <v>63</v>
      </c>
      <c r="P106" s="52" t="str">
        <f>IF(F74="","",F74)</f>
        <v/>
      </c>
      <c r="Q106" s="53" t="str">
        <f>IF(G74="","",G74)</f>
        <v/>
      </c>
    </row>
    <row r="107" spans="1:17" ht="16.8" thickBot="1" x14ac:dyDescent="0.35">
      <c r="A107" s="7">
        <v>82</v>
      </c>
      <c r="B107" s="11"/>
      <c r="C107" s="11"/>
      <c r="D107" s="11"/>
      <c r="E107" s="8">
        <v>214</v>
      </c>
      <c r="F107" s="11"/>
      <c r="G107" s="11"/>
      <c r="H107" s="13"/>
      <c r="K107" s="44" t="s">
        <v>60</v>
      </c>
      <c r="L107" s="50">
        <v>0.3</v>
      </c>
      <c r="M107" s="51">
        <v>0.6</v>
      </c>
      <c r="N107" s="41"/>
      <c r="O107" s="42" t="s">
        <v>64</v>
      </c>
      <c r="P107" s="52" t="str">
        <f>IF(F93="","",F93)</f>
        <v/>
      </c>
      <c r="Q107" s="53" t="str">
        <f>IF(G93="","",G93)</f>
        <v/>
      </c>
    </row>
    <row r="108" spans="1:17" ht="16.8" thickBot="1" x14ac:dyDescent="0.35">
      <c r="A108" s="7">
        <v>90</v>
      </c>
      <c r="B108" s="11"/>
      <c r="C108" s="11"/>
      <c r="D108" s="11"/>
      <c r="E108" s="8">
        <v>222</v>
      </c>
      <c r="F108" s="11"/>
      <c r="G108" s="11"/>
      <c r="H108" s="13"/>
      <c r="K108" s="44" t="s">
        <v>61</v>
      </c>
      <c r="L108" s="50">
        <v>0.15</v>
      </c>
      <c r="M108" s="51">
        <v>0.06</v>
      </c>
      <c r="N108" s="41"/>
      <c r="O108" s="42" t="s">
        <v>65</v>
      </c>
      <c r="P108" s="52" t="str">
        <f>IF(F112="","",F112)</f>
        <v/>
      </c>
      <c r="Q108" s="53" t="str">
        <f>IF(G112="","",G112)</f>
        <v/>
      </c>
    </row>
    <row r="109" spans="1:17" ht="16.8" thickBot="1" x14ac:dyDescent="0.35">
      <c r="A109" s="7">
        <v>99</v>
      </c>
      <c r="B109" s="11"/>
      <c r="C109" s="11"/>
      <c r="D109" s="11"/>
      <c r="E109" s="8">
        <v>230</v>
      </c>
      <c r="F109" s="11"/>
      <c r="G109" s="11"/>
      <c r="H109" s="13"/>
      <c r="K109" s="45" t="s">
        <v>66</v>
      </c>
      <c r="L109" s="46">
        <v>0.313</v>
      </c>
      <c r="M109" s="47">
        <v>0.32900000000000001</v>
      </c>
      <c r="N109" s="41"/>
      <c r="O109" s="43" t="s">
        <v>67</v>
      </c>
      <c r="P109" s="48" t="str">
        <f>IF(F55="","",F55)</f>
        <v/>
      </c>
      <c r="Q109" s="49" t="str">
        <f>IF(G55="","",G55)</f>
        <v/>
      </c>
    </row>
    <row r="110" spans="1:17" ht="16.8" thickBot="1" x14ac:dyDescent="0.35">
      <c r="A110" s="7">
        <v>107</v>
      </c>
      <c r="B110" s="11"/>
      <c r="C110" s="11"/>
      <c r="D110" s="11"/>
      <c r="E110" s="8">
        <v>239</v>
      </c>
      <c r="F110" s="11"/>
      <c r="G110" s="11"/>
      <c r="H110" s="13"/>
    </row>
    <row r="111" spans="1:17" ht="16.8" thickBot="1" x14ac:dyDescent="0.35">
      <c r="A111" s="7">
        <v>115</v>
      </c>
      <c r="B111" s="11"/>
      <c r="C111" s="11"/>
      <c r="D111" s="11"/>
      <c r="E111" s="8">
        <v>247</v>
      </c>
      <c r="F111" s="11"/>
      <c r="G111" s="11"/>
      <c r="H111" s="13"/>
    </row>
    <row r="112" spans="1:17" ht="16.8" thickBot="1" x14ac:dyDescent="0.35">
      <c r="A112" s="9">
        <v>123</v>
      </c>
      <c r="B112" s="12"/>
      <c r="C112" s="12"/>
      <c r="D112" s="12"/>
      <c r="E112" s="10">
        <v>255</v>
      </c>
      <c r="F112" s="12"/>
      <c r="G112" s="12"/>
      <c r="H112" s="14"/>
    </row>
    <row r="113" ht="16.8" thickTop="1" x14ac:dyDescent="0.3"/>
  </sheetData>
  <mergeCells count="63">
    <mergeCell ref="O105:Q105"/>
    <mergeCell ref="A19:H19"/>
    <mergeCell ref="A38:H38"/>
    <mergeCell ref="A16:B16"/>
    <mergeCell ref="C16:D16"/>
    <mergeCell ref="E16:F16"/>
    <mergeCell ref="G16:H16"/>
    <mergeCell ref="A17:B17"/>
    <mergeCell ref="C17:D17"/>
    <mergeCell ref="E17:F17"/>
    <mergeCell ref="G17:H17"/>
    <mergeCell ref="K38:R38"/>
    <mergeCell ref="A15:B15"/>
    <mergeCell ref="C15:D15"/>
    <mergeCell ref="E15:F15"/>
    <mergeCell ref="G15:H15"/>
    <mergeCell ref="K105:M105"/>
    <mergeCell ref="A13:B13"/>
    <mergeCell ref="C13:D13"/>
    <mergeCell ref="E13:F13"/>
    <mergeCell ref="G13:H13"/>
    <mergeCell ref="A14:B14"/>
    <mergeCell ref="C14:D14"/>
    <mergeCell ref="E14:F14"/>
    <mergeCell ref="G14:H14"/>
    <mergeCell ref="A11:B11"/>
    <mergeCell ref="C11:D11"/>
    <mergeCell ref="E11:F11"/>
    <mergeCell ref="G11:H11"/>
    <mergeCell ref="A12:B12"/>
    <mergeCell ref="C12:D12"/>
    <mergeCell ref="E12:F12"/>
    <mergeCell ref="G12:H12"/>
    <mergeCell ref="A9:B9"/>
    <mergeCell ref="C9:D9"/>
    <mergeCell ref="E9:F9"/>
    <mergeCell ref="G9:H9"/>
    <mergeCell ref="A10:B10"/>
    <mergeCell ref="C10:D10"/>
    <mergeCell ref="E10:F10"/>
    <mergeCell ref="G10:H10"/>
    <mergeCell ref="A1:H1"/>
    <mergeCell ref="A2:D2"/>
    <mergeCell ref="E2:H2"/>
    <mergeCell ref="F3:H3"/>
    <mergeCell ref="C3:D3"/>
    <mergeCell ref="A3:B3"/>
    <mergeCell ref="A5:H5"/>
    <mergeCell ref="A57:H57"/>
    <mergeCell ref="A76:H76"/>
    <mergeCell ref="A95:H95"/>
    <mergeCell ref="A6:B6"/>
    <mergeCell ref="C6:D6"/>
    <mergeCell ref="E6:F6"/>
    <mergeCell ref="G6:H6"/>
    <mergeCell ref="A7:B7"/>
    <mergeCell ref="C7:D7"/>
    <mergeCell ref="E7:F7"/>
    <mergeCell ref="G7:H7"/>
    <mergeCell ref="A8:B8"/>
    <mergeCell ref="C8:D8"/>
    <mergeCell ref="E8:F8"/>
    <mergeCell ref="G8:H8"/>
  </mergeCells>
  <phoneticPr fontId="6" type="noConversion"/>
  <conditionalFormatting sqref="G11:H11">
    <cfRule type="containsText" priority="2" operator="containsText" text="FAILED">
      <formula>NOT(ISERROR(SEARCH("FAILED",G11)))</formula>
    </cfRule>
    <cfRule type="containsText" dxfId="5" priority="3" operator="containsText" text="FAILED">
      <formula>NOT(ISERROR(SEARCH("FAILED",G11)))</formula>
    </cfRule>
  </conditionalFormatting>
  <conditionalFormatting sqref="G11:H17">
    <cfRule type="containsText" dxfId="4" priority="1" operator="containsText" text="FAILED">
      <formula>NOT(ISERROR(SEARCH("FAILED",G11)))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0"/>
  <sheetViews>
    <sheetView tabSelected="1" zoomScale="55" zoomScaleNormal="55" workbookViewId="0">
      <selection activeCell="H34" sqref="H34"/>
    </sheetView>
  </sheetViews>
  <sheetFormatPr defaultRowHeight="16.2" x14ac:dyDescent="0.3"/>
  <cols>
    <col min="2" max="2" width="9" customWidth="1"/>
  </cols>
  <sheetData>
    <row r="1" spans="1:18" ht="27" thickTop="1" thickBot="1" x14ac:dyDescent="0.35">
      <c r="A1" s="108" t="s">
        <v>38</v>
      </c>
      <c r="B1" s="96"/>
      <c r="C1" s="96"/>
      <c r="D1" s="96"/>
      <c r="E1" s="96"/>
      <c r="F1" s="96"/>
      <c r="G1" s="96"/>
      <c r="H1" s="97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27" thickTop="1" thickBot="1" x14ac:dyDescent="0.35">
      <c r="A2" s="60" t="s">
        <v>1</v>
      </c>
      <c r="B2" s="61"/>
      <c r="C2" s="61"/>
      <c r="D2" s="61"/>
      <c r="E2" s="62" t="s">
        <v>2</v>
      </c>
      <c r="F2" s="63"/>
      <c r="G2" s="63"/>
      <c r="H2" s="64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spans="1:18" ht="27.75" customHeight="1" thickTop="1" thickBot="1" x14ac:dyDescent="0.35">
      <c r="A3" s="84" t="s">
        <v>54</v>
      </c>
      <c r="B3" s="85"/>
      <c r="C3" s="86" t="s">
        <v>55</v>
      </c>
      <c r="D3" s="99"/>
      <c r="E3" s="40" t="s">
        <v>53</v>
      </c>
      <c r="F3" s="86"/>
      <c r="G3" s="86"/>
      <c r="H3" s="88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7.399999999999999" thickTop="1" thickBot="1" x14ac:dyDescent="0.35">
      <c r="A4" s="1"/>
      <c r="B4" s="2"/>
      <c r="C4" s="2"/>
      <c r="D4" s="2"/>
      <c r="E4" s="2"/>
      <c r="F4" s="2"/>
      <c r="G4" s="2"/>
      <c r="H4" s="3"/>
      <c r="I4" s="16"/>
      <c r="J4" s="16"/>
      <c r="K4" s="16"/>
      <c r="L4" s="16"/>
      <c r="M4" s="16"/>
      <c r="N4" s="16"/>
      <c r="O4" s="16"/>
      <c r="P4" s="16"/>
      <c r="Q4" s="16"/>
      <c r="R4" s="16"/>
    </row>
    <row r="5" spans="1:18" ht="17.399999999999999" thickTop="1" thickBot="1" x14ac:dyDescent="0.35">
      <c r="A5" s="54" t="s">
        <v>3</v>
      </c>
      <c r="B5" s="55"/>
      <c r="C5" s="55"/>
      <c r="D5" s="55"/>
      <c r="E5" s="55"/>
      <c r="F5" s="55"/>
      <c r="G5" s="55"/>
      <c r="H5" s="56"/>
      <c r="I5" s="16"/>
      <c r="J5" s="16"/>
      <c r="K5" s="16"/>
      <c r="L5" s="16"/>
      <c r="M5" s="16"/>
      <c r="N5" s="16"/>
      <c r="O5" s="16"/>
      <c r="P5" s="16"/>
      <c r="Q5" s="16"/>
      <c r="R5" s="16"/>
    </row>
    <row r="6" spans="1:18" ht="17.399999999999999" thickTop="1" thickBot="1" x14ac:dyDescent="0.35">
      <c r="A6" s="65" t="s">
        <v>4</v>
      </c>
      <c r="B6" s="66"/>
      <c r="C6" s="67" t="s">
        <v>5</v>
      </c>
      <c r="D6" s="66"/>
      <c r="E6" s="67" t="s">
        <v>6</v>
      </c>
      <c r="F6" s="66"/>
      <c r="G6" s="67" t="s">
        <v>52</v>
      </c>
      <c r="H6" s="68"/>
      <c r="I6" s="16"/>
      <c r="J6" s="16"/>
      <c r="K6" s="16"/>
      <c r="L6" s="16"/>
      <c r="M6" s="16"/>
      <c r="N6" s="16"/>
      <c r="O6" s="16"/>
      <c r="P6" s="16"/>
      <c r="Q6" s="16"/>
      <c r="R6" s="16"/>
    </row>
    <row r="7" spans="1:18" ht="16.8" thickBot="1" x14ac:dyDescent="0.35">
      <c r="A7" s="69" t="s">
        <v>8</v>
      </c>
      <c r="B7" s="70"/>
      <c r="C7" s="71"/>
      <c r="D7" s="72"/>
      <c r="E7" s="73"/>
      <c r="F7" s="74"/>
      <c r="G7" s="71"/>
      <c r="H7" s="75"/>
      <c r="I7" s="16"/>
      <c r="J7" s="16"/>
      <c r="K7" s="16"/>
      <c r="L7" s="16"/>
      <c r="M7" s="16"/>
      <c r="N7" s="16"/>
      <c r="O7" s="16"/>
      <c r="P7" s="16"/>
      <c r="Q7" s="16"/>
      <c r="R7" s="16"/>
    </row>
    <row r="8" spans="1:18" ht="16.8" thickBot="1" x14ac:dyDescent="0.35">
      <c r="A8" s="69" t="s">
        <v>9</v>
      </c>
      <c r="B8" s="70"/>
      <c r="C8" s="76" t="s">
        <v>39</v>
      </c>
      <c r="D8" s="70"/>
      <c r="E8" s="73"/>
      <c r="F8" s="74"/>
      <c r="G8" s="71"/>
      <c r="H8" s="75"/>
      <c r="I8" s="16"/>
      <c r="J8" s="16"/>
      <c r="K8" s="16"/>
      <c r="L8" s="16"/>
      <c r="M8" s="16"/>
      <c r="N8" s="16"/>
      <c r="O8" s="16"/>
      <c r="P8" s="16"/>
      <c r="Q8" s="16"/>
      <c r="R8" s="16"/>
    </row>
    <row r="9" spans="1:18" ht="16.8" thickBot="1" x14ac:dyDescent="0.35">
      <c r="A9" s="69" t="s">
        <v>10</v>
      </c>
      <c r="B9" s="70"/>
      <c r="C9" s="71"/>
      <c r="D9" s="72"/>
      <c r="E9" s="73" t="str">
        <f>IF(D39="","",D39)</f>
        <v/>
      </c>
      <c r="F9" s="74"/>
      <c r="G9" s="71"/>
      <c r="H9" s="75"/>
      <c r="I9" s="16"/>
      <c r="J9" s="16"/>
      <c r="K9" s="16"/>
      <c r="L9" s="16"/>
      <c r="M9" s="16"/>
      <c r="N9" s="16"/>
      <c r="O9" s="16"/>
      <c r="P9" s="16"/>
      <c r="Q9" s="16"/>
      <c r="R9" s="16"/>
    </row>
    <row r="10" spans="1:18" ht="16.8" thickBot="1" x14ac:dyDescent="0.35">
      <c r="A10" s="69" t="s">
        <v>11</v>
      </c>
      <c r="B10" s="70"/>
      <c r="C10" s="71"/>
      <c r="D10" s="72"/>
      <c r="E10" s="73" t="str">
        <f>IF(D22="","",D22)</f>
        <v/>
      </c>
      <c r="F10" s="74"/>
      <c r="G10" s="71"/>
      <c r="H10" s="75"/>
      <c r="I10" s="16"/>
      <c r="J10" s="16"/>
      <c r="K10" s="16"/>
      <c r="L10" s="16"/>
      <c r="M10" s="16"/>
      <c r="N10" s="16"/>
      <c r="O10" s="16"/>
      <c r="P10" s="16"/>
      <c r="Q10" s="16"/>
      <c r="R10" s="16"/>
    </row>
    <row r="11" spans="1:18" ht="16.8" thickBot="1" x14ac:dyDescent="0.35">
      <c r="A11" s="69" t="s">
        <v>12</v>
      </c>
      <c r="B11" s="70"/>
      <c r="C11" s="71"/>
      <c r="D11" s="72"/>
      <c r="E11" s="73" t="str">
        <f>IF(OR(E9="",E10=""),"",E9/E10)</f>
        <v/>
      </c>
      <c r="F11" s="74"/>
      <c r="G11" s="73" t="str">
        <f>IF(E11="","",IF(AND(E11&gt;=1000),"PASS","FAILED"))</f>
        <v/>
      </c>
      <c r="H11" s="77"/>
      <c r="I11" s="16"/>
      <c r="J11" s="16"/>
      <c r="K11" s="16"/>
      <c r="L11" s="16"/>
      <c r="M11" s="16"/>
      <c r="N11" s="16"/>
      <c r="O11" s="16"/>
      <c r="P11" s="16"/>
      <c r="Q11" s="16"/>
      <c r="R11" s="16"/>
    </row>
    <row r="12" spans="1:18" ht="16.8" thickBot="1" x14ac:dyDescent="0.35">
      <c r="A12" s="69" t="s">
        <v>13</v>
      </c>
      <c r="B12" s="70"/>
      <c r="C12" s="76">
        <v>6500</v>
      </c>
      <c r="D12" s="70"/>
      <c r="E12" s="73" t="str">
        <f>IF(D39="","",(-437)*POWER((B39-0.332)/(C39-0.1858),3)+3601*POWER((B39-0.332)/(C39-0.1858),2)-6831*((B39-0.332)/(C39-0.1858))+5517)</f>
        <v/>
      </c>
      <c r="F12" s="74"/>
      <c r="G12" s="73" t="str">
        <f>IF(E12="","",IF(AND(AND(B39&gt;=0.263,B39&lt;=0.363),AND(C39&gt;=0.279,C39&lt;=0.379)),"PASS","FAILED"))</f>
        <v/>
      </c>
      <c r="H12" s="77"/>
      <c r="I12" s="16"/>
      <c r="J12" s="16"/>
      <c r="K12" s="16"/>
      <c r="L12" s="16"/>
      <c r="M12" s="16"/>
      <c r="N12" s="16"/>
      <c r="O12" s="16"/>
      <c r="P12" s="16"/>
      <c r="Q12" s="16"/>
      <c r="R12" s="16"/>
    </row>
    <row r="13" spans="1:18" ht="16.8" thickBot="1" x14ac:dyDescent="0.35">
      <c r="A13" s="69" t="s">
        <v>14</v>
      </c>
      <c r="B13" s="105"/>
      <c r="C13" s="104" t="s">
        <v>15</v>
      </c>
      <c r="D13" s="105"/>
      <c r="E13" s="106"/>
      <c r="F13" s="107"/>
      <c r="G13" s="73" t="str">
        <f>IF(E13="","",IF(AND(E13&lt;=5),"PASS","FAILED"))</f>
        <v/>
      </c>
      <c r="H13" s="77"/>
      <c r="I13" s="16"/>
      <c r="J13" s="16"/>
      <c r="K13" s="16"/>
      <c r="L13" s="16"/>
      <c r="M13" s="16"/>
      <c r="N13" s="16"/>
      <c r="O13" s="16"/>
      <c r="P13" s="16"/>
      <c r="Q13" s="16"/>
      <c r="R13" s="16"/>
    </row>
    <row r="14" spans="1:18" ht="16.8" thickBot="1" x14ac:dyDescent="0.35">
      <c r="A14" s="69" t="s">
        <v>16</v>
      </c>
      <c r="B14" s="70"/>
      <c r="C14" s="76" t="s">
        <v>17</v>
      </c>
      <c r="D14" s="70"/>
      <c r="E14" s="73"/>
      <c r="F14" s="74"/>
      <c r="G14" s="73" t="str">
        <f>IF(E14="","",IF(AND(E14&lt;=7),"PASS","FAILED"))</f>
        <v/>
      </c>
      <c r="H14" s="77"/>
      <c r="I14" s="16"/>
      <c r="J14" s="16"/>
      <c r="K14" s="16"/>
      <c r="L14" s="16"/>
      <c r="M14" s="16"/>
      <c r="N14" s="16"/>
      <c r="O14" s="16"/>
      <c r="P14" s="16"/>
      <c r="Q14" s="16"/>
      <c r="R14" s="16"/>
    </row>
    <row r="15" spans="1:18" ht="16.8" thickBot="1" x14ac:dyDescent="0.35">
      <c r="A15" s="69" t="s">
        <v>40</v>
      </c>
      <c r="B15" s="70"/>
      <c r="C15" s="76" t="s">
        <v>41</v>
      </c>
      <c r="D15" s="70"/>
      <c r="E15" s="111" t="str">
        <f>IF(OR(H23="",H39=""),"",MAX(H23:H39)/100)</f>
        <v/>
      </c>
      <c r="F15" s="112"/>
      <c r="G15" s="73" t="str">
        <f>IF(E15="","",IF(E15&lt;10%,"PASS","FAILED"))</f>
        <v/>
      </c>
      <c r="H15" s="77"/>
      <c r="I15" s="16"/>
      <c r="J15" s="16"/>
      <c r="K15" s="16"/>
      <c r="L15" s="16"/>
      <c r="M15" s="16"/>
      <c r="N15" s="16"/>
      <c r="O15" s="16"/>
      <c r="P15" s="16"/>
      <c r="Q15" s="16"/>
      <c r="R15" s="16"/>
    </row>
    <row r="16" spans="1:18" ht="16.8" thickBot="1" x14ac:dyDescent="0.35">
      <c r="A16" s="69" t="s">
        <v>42</v>
      </c>
      <c r="B16" s="70"/>
      <c r="C16" s="71"/>
      <c r="D16" s="72"/>
      <c r="E16" s="73" t="str">
        <f>IF(E17="","",SQRT((POWER((E23-E22)/15-E17,2)+POWER((E24-E23)/15-E17,2)+POWER((E25-E24)/15-E17,2)+POWER((E26-E25)/15-E17,2)+POWER((E27-E26)/15-E17,2)+POWER((E28-E27)/15-E17,2)+POWER((E29-E28)/15-E17,2)+POWER((E30-E29)/15-E17,2)+POWER((E31-E30)/15-E17,2)+POWER((E32-E31)/15-E17,2)+POWER((E33-E32)/15-E17,2)+POWER((E34-E33)/15-E17,2)+POWER((E35-E34)/15-E17,2)+POWER((E36-E35)/15-E17,2)+POWER((E37-E36)/15-E17,2)+POWER((E38-E37)/15-E17,2)+POWER((E39-E38)/15-E17,2))/17))</f>
        <v/>
      </c>
      <c r="F16" s="74"/>
      <c r="G16" s="113"/>
      <c r="H16" s="114"/>
      <c r="I16" s="16"/>
      <c r="J16" s="16"/>
      <c r="K16" s="16"/>
      <c r="L16" s="16"/>
      <c r="M16" s="16"/>
      <c r="N16" s="16"/>
      <c r="O16" s="16"/>
      <c r="P16" s="16"/>
      <c r="Q16" s="16"/>
      <c r="R16" s="16"/>
    </row>
    <row r="17" spans="1:18" ht="16.8" thickBot="1" x14ac:dyDescent="0.35">
      <c r="A17" s="69" t="s">
        <v>43</v>
      </c>
      <c r="B17" s="70"/>
      <c r="C17" s="71"/>
      <c r="D17" s="72"/>
      <c r="E17" s="73" t="str">
        <f>IF(OR(E22="",E39=""),"",(E39-E22)/255)</f>
        <v/>
      </c>
      <c r="F17" s="74"/>
      <c r="G17" s="109"/>
      <c r="H17" s="110"/>
      <c r="I17" s="16"/>
      <c r="J17" s="16"/>
      <c r="K17" s="16"/>
      <c r="L17" s="16"/>
      <c r="M17" s="16"/>
      <c r="N17" s="16"/>
      <c r="O17" s="16"/>
      <c r="P17" s="16"/>
      <c r="Q17" s="16"/>
      <c r="R17" s="16"/>
    </row>
    <row r="18" spans="1:18" ht="16.8" thickBot="1" x14ac:dyDescent="0.35">
      <c r="A18" s="89" t="s">
        <v>21</v>
      </c>
      <c r="B18" s="90"/>
      <c r="C18" s="91"/>
      <c r="D18" s="92"/>
      <c r="E18" s="100"/>
      <c r="F18" s="101"/>
      <c r="G18" s="102" t="str">
        <f>IF(AND(G11="", G12="", G13="", G14="", G15=""),"",IF(OR(G11="FAILED", G12="FAILED", G13="FAILED", G14="FAILED", G15="FAILED"), "FAILED", "PASS"))</f>
        <v/>
      </c>
      <c r="H18" s="103"/>
      <c r="I18" s="16"/>
      <c r="J18" s="16"/>
      <c r="K18" s="16"/>
      <c r="L18" s="16"/>
      <c r="M18" s="16"/>
      <c r="N18" s="16"/>
      <c r="O18" s="16"/>
      <c r="P18" s="16"/>
      <c r="Q18" s="16"/>
      <c r="R18" s="16"/>
    </row>
    <row r="19" spans="1:18" ht="17.399999999999999" thickTop="1" thickBot="1" x14ac:dyDescent="0.35">
      <c r="A19" s="1"/>
      <c r="B19" s="2"/>
      <c r="C19" s="2"/>
      <c r="D19" s="2"/>
      <c r="E19" s="2"/>
      <c r="F19" s="2"/>
      <c r="G19" s="2"/>
      <c r="H19" s="3"/>
      <c r="I19" s="16"/>
      <c r="J19" s="16"/>
      <c r="K19" s="16"/>
      <c r="L19" s="16"/>
      <c r="M19" s="16"/>
      <c r="N19" s="16"/>
      <c r="O19" s="16"/>
      <c r="P19" s="16"/>
      <c r="Q19" s="16"/>
      <c r="R19" s="16"/>
    </row>
    <row r="20" spans="1:18" ht="17.399999999999999" thickTop="1" thickBot="1" x14ac:dyDescent="0.35">
      <c r="A20" s="54" t="s">
        <v>27</v>
      </c>
      <c r="B20" s="55"/>
      <c r="C20" s="55"/>
      <c r="D20" s="55"/>
      <c r="E20" s="55"/>
      <c r="F20" s="55"/>
      <c r="G20" s="55"/>
      <c r="H20" s="56"/>
      <c r="I20" s="16"/>
      <c r="J20" s="16"/>
      <c r="K20" s="54" t="s">
        <v>44</v>
      </c>
      <c r="L20" s="55"/>
      <c r="M20" s="55"/>
      <c r="N20" s="55"/>
      <c r="O20" s="55"/>
      <c r="P20" s="55"/>
      <c r="Q20" s="55"/>
      <c r="R20" s="56"/>
    </row>
    <row r="21" spans="1:18" ht="17.399999999999999" thickTop="1" thickBot="1" x14ac:dyDescent="0.35">
      <c r="A21" s="17" t="s">
        <v>23</v>
      </c>
      <c r="B21" s="18" t="s">
        <v>24</v>
      </c>
      <c r="C21" s="18" t="s">
        <v>25</v>
      </c>
      <c r="D21" s="18" t="s">
        <v>26</v>
      </c>
      <c r="E21" s="18" t="s">
        <v>45</v>
      </c>
      <c r="F21" s="18" t="s">
        <v>46</v>
      </c>
      <c r="G21" s="18" t="s">
        <v>47</v>
      </c>
      <c r="H21" s="19" t="s">
        <v>48</v>
      </c>
      <c r="I21" s="16"/>
      <c r="J21" s="16"/>
      <c r="K21" s="17" t="s">
        <v>23</v>
      </c>
      <c r="L21" s="18" t="s">
        <v>24</v>
      </c>
      <c r="M21" s="18" t="s">
        <v>25</v>
      </c>
      <c r="N21" s="18" t="s">
        <v>26</v>
      </c>
      <c r="O21" s="18" t="s">
        <v>45</v>
      </c>
      <c r="P21" s="18" t="s">
        <v>46</v>
      </c>
      <c r="Q21" s="18" t="s">
        <v>49</v>
      </c>
      <c r="R21" s="19" t="s">
        <v>50</v>
      </c>
    </row>
    <row r="22" spans="1:18" ht="16.8" thickBot="1" x14ac:dyDescent="0.35">
      <c r="A22" s="20" t="s">
        <v>51</v>
      </c>
      <c r="B22" s="24"/>
      <c r="C22" s="24"/>
      <c r="D22" s="24"/>
      <c r="E22" s="24"/>
      <c r="F22" s="38"/>
      <c r="G22" s="25"/>
      <c r="H22" s="39"/>
      <c r="I22" s="16"/>
      <c r="J22" s="16"/>
      <c r="K22" s="20">
        <v>0</v>
      </c>
      <c r="L22" s="24"/>
      <c r="M22" s="24"/>
      <c r="N22" s="24"/>
      <c r="O22" s="24"/>
      <c r="P22" s="38"/>
      <c r="Q22" s="38"/>
      <c r="R22" s="39"/>
    </row>
    <row r="23" spans="1:18" ht="16.8" thickBot="1" x14ac:dyDescent="0.35">
      <c r="A23" s="20">
        <v>15</v>
      </c>
      <c r="B23" s="24"/>
      <c r="C23" s="24"/>
      <c r="D23" s="24"/>
      <c r="E23" s="24"/>
      <c r="F23" s="38" t="str">
        <f t="shared" ref="F23:F39" si="0">IF(D23="","",(D23-D22)/(0.5*(D23+D22)))</f>
        <v/>
      </c>
      <c r="G23" s="25"/>
      <c r="H23" s="39" t="str">
        <f>IF(OR(P23="",F23=""), "", ((P23-F23)/P23)*100)</f>
        <v/>
      </c>
      <c r="I23" s="16"/>
      <c r="J23" s="16"/>
      <c r="K23" s="20">
        <v>15</v>
      </c>
      <c r="L23" s="24"/>
      <c r="M23" s="24"/>
      <c r="N23" s="24"/>
      <c r="O23" s="24"/>
      <c r="P23" s="38" t="str">
        <f t="shared" ref="P23:P39" si="1">IF(N23="","",(N23-N22)/(0.5*(N23+N22)))</f>
        <v/>
      </c>
      <c r="Q23" s="38" t="str">
        <f t="shared" ref="Q23:Q39" si="2">IF(P23="", "", P23*0.9)</f>
        <v/>
      </c>
      <c r="R23" s="38" t="str">
        <f t="shared" ref="R23:R39" si="3">IF(P23="", "", P23*1.1)</f>
        <v/>
      </c>
    </row>
    <row r="24" spans="1:18" ht="16.8" thickBot="1" x14ac:dyDescent="0.35">
      <c r="A24" s="20">
        <v>30</v>
      </c>
      <c r="B24" s="24"/>
      <c r="C24" s="24"/>
      <c r="D24" s="24"/>
      <c r="E24" s="24"/>
      <c r="F24" s="38" t="str">
        <f t="shared" si="0"/>
        <v/>
      </c>
      <c r="G24" s="25"/>
      <c r="H24" s="39" t="str">
        <f t="shared" ref="H24:H39" si="4">IF(OR(P24="",F24=""), "", ((P24-F24)/P24)*100)</f>
        <v/>
      </c>
      <c r="I24" s="16"/>
      <c r="J24" s="16"/>
      <c r="K24" s="20">
        <v>30</v>
      </c>
      <c r="L24" s="24"/>
      <c r="M24" s="24"/>
      <c r="N24" s="24"/>
      <c r="O24" s="24"/>
      <c r="P24" s="38" t="str">
        <f t="shared" si="1"/>
        <v/>
      </c>
      <c r="Q24" s="38" t="str">
        <f t="shared" si="2"/>
        <v/>
      </c>
      <c r="R24" s="38" t="str">
        <f t="shared" si="3"/>
        <v/>
      </c>
    </row>
    <row r="25" spans="1:18" ht="16.8" thickBot="1" x14ac:dyDescent="0.35">
      <c r="A25" s="20">
        <v>45</v>
      </c>
      <c r="B25" s="24"/>
      <c r="C25" s="24"/>
      <c r="D25" s="24"/>
      <c r="E25" s="24"/>
      <c r="F25" s="38" t="str">
        <f t="shared" si="0"/>
        <v/>
      </c>
      <c r="G25" s="25"/>
      <c r="H25" s="39" t="str">
        <f t="shared" si="4"/>
        <v/>
      </c>
      <c r="I25" s="16"/>
      <c r="J25" s="16"/>
      <c r="K25" s="20">
        <v>45</v>
      </c>
      <c r="L25" s="24"/>
      <c r="M25" s="24"/>
      <c r="N25" s="24"/>
      <c r="O25" s="24"/>
      <c r="P25" s="38" t="str">
        <f t="shared" si="1"/>
        <v/>
      </c>
      <c r="Q25" s="38" t="str">
        <f t="shared" si="2"/>
        <v/>
      </c>
      <c r="R25" s="38" t="str">
        <f t="shared" si="3"/>
        <v/>
      </c>
    </row>
    <row r="26" spans="1:18" ht="16.8" thickBot="1" x14ac:dyDescent="0.35">
      <c r="A26" s="20">
        <v>60</v>
      </c>
      <c r="B26" s="24"/>
      <c r="C26" s="24"/>
      <c r="D26" s="24"/>
      <c r="E26" s="24"/>
      <c r="F26" s="38" t="str">
        <f t="shared" si="0"/>
        <v/>
      </c>
      <c r="G26" s="25"/>
      <c r="H26" s="39" t="str">
        <f t="shared" si="4"/>
        <v/>
      </c>
      <c r="I26" s="16"/>
      <c r="J26" s="16"/>
      <c r="K26" s="20">
        <v>60</v>
      </c>
      <c r="L26" s="24"/>
      <c r="M26" s="24"/>
      <c r="N26" s="24"/>
      <c r="O26" s="24"/>
      <c r="P26" s="38" t="str">
        <f t="shared" si="1"/>
        <v/>
      </c>
      <c r="Q26" s="38" t="str">
        <f t="shared" si="2"/>
        <v/>
      </c>
      <c r="R26" s="38" t="str">
        <f t="shared" si="3"/>
        <v/>
      </c>
    </row>
    <row r="27" spans="1:18" ht="16.8" thickBot="1" x14ac:dyDescent="0.35">
      <c r="A27" s="20">
        <v>75</v>
      </c>
      <c r="B27" s="24"/>
      <c r="C27" s="24"/>
      <c r="D27" s="24"/>
      <c r="E27" s="24"/>
      <c r="F27" s="38" t="str">
        <f t="shared" si="0"/>
        <v/>
      </c>
      <c r="G27" s="25"/>
      <c r="H27" s="39" t="str">
        <f t="shared" si="4"/>
        <v/>
      </c>
      <c r="I27" s="16"/>
      <c r="J27" s="16"/>
      <c r="K27" s="20">
        <v>75</v>
      </c>
      <c r="L27" s="24"/>
      <c r="M27" s="24"/>
      <c r="N27" s="24"/>
      <c r="O27" s="24"/>
      <c r="P27" s="38" t="str">
        <f t="shared" si="1"/>
        <v/>
      </c>
      <c r="Q27" s="38" t="str">
        <f t="shared" si="2"/>
        <v/>
      </c>
      <c r="R27" s="38" t="str">
        <f t="shared" si="3"/>
        <v/>
      </c>
    </row>
    <row r="28" spans="1:18" ht="16.8" thickBot="1" x14ac:dyDescent="0.35">
      <c r="A28" s="20">
        <v>90</v>
      </c>
      <c r="B28" s="24"/>
      <c r="C28" s="24"/>
      <c r="D28" s="24"/>
      <c r="E28" s="24"/>
      <c r="F28" s="38" t="str">
        <f t="shared" si="0"/>
        <v/>
      </c>
      <c r="G28" s="25"/>
      <c r="H28" s="39" t="str">
        <f t="shared" si="4"/>
        <v/>
      </c>
      <c r="I28" s="16"/>
      <c r="J28" s="16"/>
      <c r="K28" s="20">
        <v>90</v>
      </c>
      <c r="L28" s="24"/>
      <c r="M28" s="24"/>
      <c r="N28" s="24"/>
      <c r="O28" s="24"/>
      <c r="P28" s="38" t="str">
        <f t="shared" si="1"/>
        <v/>
      </c>
      <c r="Q28" s="38" t="str">
        <f t="shared" si="2"/>
        <v/>
      </c>
      <c r="R28" s="38" t="str">
        <f t="shared" si="3"/>
        <v/>
      </c>
    </row>
    <row r="29" spans="1:18" ht="16.8" thickBot="1" x14ac:dyDescent="0.35">
      <c r="A29" s="20">
        <v>105</v>
      </c>
      <c r="B29" s="24"/>
      <c r="C29" s="24"/>
      <c r="D29" s="24"/>
      <c r="E29" s="24"/>
      <c r="F29" s="38" t="str">
        <f t="shared" si="0"/>
        <v/>
      </c>
      <c r="G29" s="25"/>
      <c r="H29" s="39" t="str">
        <f t="shared" si="4"/>
        <v/>
      </c>
      <c r="I29" s="16"/>
      <c r="J29" s="16"/>
      <c r="K29" s="20">
        <v>105</v>
      </c>
      <c r="L29" s="24"/>
      <c r="M29" s="24"/>
      <c r="N29" s="24"/>
      <c r="O29" s="24"/>
      <c r="P29" s="38" t="str">
        <f t="shared" si="1"/>
        <v/>
      </c>
      <c r="Q29" s="38" t="str">
        <f t="shared" si="2"/>
        <v/>
      </c>
      <c r="R29" s="38" t="str">
        <f t="shared" si="3"/>
        <v/>
      </c>
    </row>
    <row r="30" spans="1:18" ht="16.8" thickBot="1" x14ac:dyDescent="0.35">
      <c r="A30" s="20">
        <v>120</v>
      </c>
      <c r="B30" s="24"/>
      <c r="C30" s="24"/>
      <c r="D30" s="24"/>
      <c r="E30" s="24"/>
      <c r="F30" s="38" t="str">
        <f t="shared" si="0"/>
        <v/>
      </c>
      <c r="G30" s="25"/>
      <c r="H30" s="39" t="str">
        <f t="shared" si="4"/>
        <v/>
      </c>
      <c r="I30" s="16"/>
      <c r="J30" s="16"/>
      <c r="K30" s="20">
        <v>120</v>
      </c>
      <c r="L30" s="24"/>
      <c r="M30" s="24"/>
      <c r="N30" s="24"/>
      <c r="O30" s="24"/>
      <c r="P30" s="38" t="str">
        <f t="shared" si="1"/>
        <v/>
      </c>
      <c r="Q30" s="38" t="str">
        <f t="shared" si="2"/>
        <v/>
      </c>
      <c r="R30" s="38" t="str">
        <f t="shared" si="3"/>
        <v/>
      </c>
    </row>
    <row r="31" spans="1:18" ht="16.8" thickBot="1" x14ac:dyDescent="0.35">
      <c r="A31" s="20">
        <v>135</v>
      </c>
      <c r="B31" s="24"/>
      <c r="C31" s="24"/>
      <c r="D31" s="24"/>
      <c r="E31" s="24"/>
      <c r="F31" s="38" t="str">
        <f t="shared" si="0"/>
        <v/>
      </c>
      <c r="G31" s="25"/>
      <c r="H31" s="39" t="str">
        <f t="shared" si="4"/>
        <v/>
      </c>
      <c r="I31" s="16"/>
      <c r="J31" s="16"/>
      <c r="K31" s="20">
        <v>135</v>
      </c>
      <c r="L31" s="24"/>
      <c r="M31" s="24"/>
      <c r="N31" s="24"/>
      <c r="O31" s="24"/>
      <c r="P31" s="38" t="str">
        <f t="shared" si="1"/>
        <v/>
      </c>
      <c r="Q31" s="38" t="str">
        <f t="shared" si="2"/>
        <v/>
      </c>
      <c r="R31" s="38" t="str">
        <f t="shared" si="3"/>
        <v/>
      </c>
    </row>
    <row r="32" spans="1:18" ht="16.8" thickBot="1" x14ac:dyDescent="0.35">
      <c r="A32" s="20">
        <v>150</v>
      </c>
      <c r="B32" s="24"/>
      <c r="C32" s="24"/>
      <c r="D32" s="24"/>
      <c r="E32" s="24"/>
      <c r="F32" s="38" t="str">
        <f t="shared" si="0"/>
        <v/>
      </c>
      <c r="G32" s="25"/>
      <c r="H32" s="39" t="str">
        <f t="shared" si="4"/>
        <v/>
      </c>
      <c r="I32" s="16"/>
      <c r="J32" s="16"/>
      <c r="K32" s="20">
        <v>150</v>
      </c>
      <c r="L32" s="24"/>
      <c r="M32" s="24"/>
      <c r="N32" s="24"/>
      <c r="O32" s="24"/>
      <c r="P32" s="38" t="str">
        <f t="shared" si="1"/>
        <v/>
      </c>
      <c r="Q32" s="38" t="str">
        <f t="shared" si="2"/>
        <v/>
      </c>
      <c r="R32" s="38" t="str">
        <f t="shared" si="3"/>
        <v/>
      </c>
    </row>
    <row r="33" spans="1:18" ht="16.8" thickBot="1" x14ac:dyDescent="0.35">
      <c r="A33" s="20">
        <v>165</v>
      </c>
      <c r="B33" s="24"/>
      <c r="C33" s="24"/>
      <c r="D33" s="24"/>
      <c r="E33" s="24"/>
      <c r="F33" s="38" t="str">
        <f t="shared" si="0"/>
        <v/>
      </c>
      <c r="G33" s="25"/>
      <c r="H33" s="39" t="str">
        <f t="shared" si="4"/>
        <v/>
      </c>
      <c r="I33" s="16"/>
      <c r="J33" s="16"/>
      <c r="K33" s="20">
        <v>165</v>
      </c>
      <c r="L33" s="24"/>
      <c r="M33" s="24"/>
      <c r="N33" s="24"/>
      <c r="O33" s="24"/>
      <c r="P33" s="38" t="str">
        <f t="shared" si="1"/>
        <v/>
      </c>
      <c r="Q33" s="38" t="str">
        <f t="shared" si="2"/>
        <v/>
      </c>
      <c r="R33" s="38" t="str">
        <f t="shared" si="3"/>
        <v/>
      </c>
    </row>
    <row r="34" spans="1:18" ht="16.8" thickBot="1" x14ac:dyDescent="0.35">
      <c r="A34" s="20">
        <v>180</v>
      </c>
      <c r="B34" s="24"/>
      <c r="C34" s="24"/>
      <c r="D34" s="24"/>
      <c r="E34" s="24"/>
      <c r="F34" s="38" t="str">
        <f t="shared" si="0"/>
        <v/>
      </c>
      <c r="G34" s="25"/>
      <c r="H34" s="39" t="str">
        <f t="shared" si="4"/>
        <v/>
      </c>
      <c r="I34" s="16"/>
      <c r="J34" s="16"/>
      <c r="K34" s="20">
        <v>180</v>
      </c>
      <c r="L34" s="24"/>
      <c r="M34" s="24"/>
      <c r="N34" s="24"/>
      <c r="O34" s="24"/>
      <c r="P34" s="38" t="str">
        <f t="shared" si="1"/>
        <v/>
      </c>
      <c r="Q34" s="38" t="str">
        <f t="shared" si="2"/>
        <v/>
      </c>
      <c r="R34" s="38" t="str">
        <f t="shared" si="3"/>
        <v/>
      </c>
    </row>
    <row r="35" spans="1:18" ht="16.8" thickBot="1" x14ac:dyDescent="0.35">
      <c r="A35" s="20">
        <v>195</v>
      </c>
      <c r="B35" s="24"/>
      <c r="C35" s="24"/>
      <c r="D35" s="24"/>
      <c r="E35" s="24"/>
      <c r="F35" s="38" t="str">
        <f t="shared" si="0"/>
        <v/>
      </c>
      <c r="G35" s="25"/>
      <c r="H35" s="39" t="str">
        <f t="shared" si="4"/>
        <v/>
      </c>
      <c r="I35" s="16"/>
      <c r="J35" s="16"/>
      <c r="K35" s="20">
        <v>195</v>
      </c>
      <c r="L35" s="24"/>
      <c r="M35" s="24"/>
      <c r="N35" s="24"/>
      <c r="O35" s="24"/>
      <c r="P35" s="38" t="str">
        <f t="shared" si="1"/>
        <v/>
      </c>
      <c r="Q35" s="38" t="str">
        <f t="shared" si="2"/>
        <v/>
      </c>
      <c r="R35" s="38" t="str">
        <f t="shared" si="3"/>
        <v/>
      </c>
    </row>
    <row r="36" spans="1:18" ht="16.8" thickBot="1" x14ac:dyDescent="0.35">
      <c r="A36" s="20">
        <v>210</v>
      </c>
      <c r="B36" s="24"/>
      <c r="C36" s="24"/>
      <c r="D36" s="24"/>
      <c r="E36" s="24"/>
      <c r="F36" s="38" t="str">
        <f t="shared" si="0"/>
        <v/>
      </c>
      <c r="G36" s="25"/>
      <c r="H36" s="39" t="str">
        <f t="shared" si="4"/>
        <v/>
      </c>
      <c r="I36" s="16"/>
      <c r="J36" s="16"/>
      <c r="K36" s="20">
        <v>210</v>
      </c>
      <c r="L36" s="24"/>
      <c r="M36" s="24"/>
      <c r="N36" s="24"/>
      <c r="O36" s="24"/>
      <c r="P36" s="38" t="str">
        <f t="shared" si="1"/>
        <v/>
      </c>
      <c r="Q36" s="38" t="str">
        <f t="shared" si="2"/>
        <v/>
      </c>
      <c r="R36" s="38" t="str">
        <f t="shared" si="3"/>
        <v/>
      </c>
    </row>
    <row r="37" spans="1:18" ht="16.8" thickBot="1" x14ac:dyDescent="0.35">
      <c r="A37" s="21">
        <v>225</v>
      </c>
      <c r="B37" s="26"/>
      <c r="C37" s="26"/>
      <c r="D37" s="26"/>
      <c r="E37" s="26"/>
      <c r="F37" s="38" t="str">
        <f t="shared" si="0"/>
        <v/>
      </c>
      <c r="G37" s="27"/>
      <c r="H37" s="39" t="str">
        <f t="shared" si="4"/>
        <v/>
      </c>
      <c r="I37" s="16"/>
      <c r="J37" s="16"/>
      <c r="K37" s="21">
        <v>225</v>
      </c>
      <c r="L37" s="26"/>
      <c r="M37" s="26"/>
      <c r="N37" s="26"/>
      <c r="O37" s="26"/>
      <c r="P37" s="38" t="str">
        <f t="shared" si="1"/>
        <v/>
      </c>
      <c r="Q37" s="38" t="str">
        <f t="shared" si="2"/>
        <v/>
      </c>
      <c r="R37" s="38" t="str">
        <f t="shared" si="3"/>
        <v/>
      </c>
    </row>
    <row r="38" spans="1:18" ht="16.8" thickBot="1" x14ac:dyDescent="0.35">
      <c r="A38" s="22">
        <v>240</v>
      </c>
      <c r="B38" s="15"/>
      <c r="C38" s="15"/>
      <c r="D38" s="15"/>
      <c r="E38" s="15"/>
      <c r="F38" s="38" t="str">
        <f t="shared" si="0"/>
        <v/>
      </c>
      <c r="G38" s="28"/>
      <c r="H38" s="39" t="str">
        <f t="shared" si="4"/>
        <v/>
      </c>
      <c r="I38" s="16"/>
      <c r="J38" s="16"/>
      <c r="K38" s="22">
        <v>240</v>
      </c>
      <c r="L38" s="15"/>
      <c r="M38" s="15"/>
      <c r="N38" s="15"/>
      <c r="O38" s="15"/>
      <c r="P38" s="38" t="str">
        <f t="shared" si="1"/>
        <v/>
      </c>
      <c r="Q38" s="38" t="str">
        <f t="shared" si="2"/>
        <v/>
      </c>
      <c r="R38" s="38" t="str">
        <f t="shared" si="3"/>
        <v/>
      </c>
    </row>
    <row r="39" spans="1:18" ht="16.8" thickBot="1" x14ac:dyDescent="0.35">
      <c r="A39" s="23">
        <v>255</v>
      </c>
      <c r="B39" s="29"/>
      <c r="C39" s="29"/>
      <c r="D39" s="29"/>
      <c r="E39" s="29"/>
      <c r="F39" s="38" t="str">
        <f t="shared" si="0"/>
        <v/>
      </c>
      <c r="G39" s="30"/>
      <c r="H39" s="39" t="str">
        <f t="shared" si="4"/>
        <v/>
      </c>
      <c r="I39" s="16"/>
      <c r="J39" s="16"/>
      <c r="K39" s="23">
        <v>255</v>
      </c>
      <c r="L39" s="29"/>
      <c r="M39" s="29"/>
      <c r="N39" s="29"/>
      <c r="O39" s="29"/>
      <c r="P39" s="38" t="str">
        <f t="shared" si="1"/>
        <v/>
      </c>
      <c r="Q39" s="38" t="str">
        <f t="shared" si="2"/>
        <v/>
      </c>
      <c r="R39" s="38" t="str">
        <f t="shared" si="3"/>
        <v/>
      </c>
    </row>
    <row r="40" spans="1:18" ht="16.8" thickTop="1" x14ac:dyDescent="0.3"/>
  </sheetData>
  <mergeCells count="61">
    <mergeCell ref="A5:H5"/>
    <mergeCell ref="A6:B6"/>
    <mergeCell ref="C6:D6"/>
    <mergeCell ref="E6:F6"/>
    <mergeCell ref="G6:H6"/>
    <mergeCell ref="A7:B7"/>
    <mergeCell ref="C7:D7"/>
    <mergeCell ref="E7:F7"/>
    <mergeCell ref="G7:H7"/>
    <mergeCell ref="A8:B8"/>
    <mergeCell ref="C8:D8"/>
    <mergeCell ref="E8:F8"/>
    <mergeCell ref="G8:H8"/>
    <mergeCell ref="A9:B9"/>
    <mergeCell ref="C9:D9"/>
    <mergeCell ref="E9:F9"/>
    <mergeCell ref="G9:H9"/>
    <mergeCell ref="A10:B10"/>
    <mergeCell ref="C10:D10"/>
    <mergeCell ref="E10:F10"/>
    <mergeCell ref="G10:H10"/>
    <mergeCell ref="A11:B11"/>
    <mergeCell ref="C11:D11"/>
    <mergeCell ref="E11:F11"/>
    <mergeCell ref="G11:H11"/>
    <mergeCell ref="A12:B12"/>
    <mergeCell ref="C12:D12"/>
    <mergeCell ref="E12:F12"/>
    <mergeCell ref="G12:H12"/>
    <mergeCell ref="A1:H1"/>
    <mergeCell ref="A2:D2"/>
    <mergeCell ref="E2:H2"/>
    <mergeCell ref="A17:B17"/>
    <mergeCell ref="C17:D17"/>
    <mergeCell ref="E17:F17"/>
    <mergeCell ref="G17:H17"/>
    <mergeCell ref="A15:B15"/>
    <mergeCell ref="C15:D15"/>
    <mergeCell ref="E15:F15"/>
    <mergeCell ref="G15:H15"/>
    <mergeCell ref="A16:B16"/>
    <mergeCell ref="C16:D16"/>
    <mergeCell ref="E16:F16"/>
    <mergeCell ref="G16:H16"/>
    <mergeCell ref="A13:B13"/>
    <mergeCell ref="F3:H3"/>
    <mergeCell ref="C3:D3"/>
    <mergeCell ref="A3:B3"/>
    <mergeCell ref="A20:H20"/>
    <mergeCell ref="K20:R20"/>
    <mergeCell ref="A18:B18"/>
    <mergeCell ref="C18:D18"/>
    <mergeCell ref="E18:F18"/>
    <mergeCell ref="G18:H18"/>
    <mergeCell ref="C13:D13"/>
    <mergeCell ref="E13:F13"/>
    <mergeCell ref="G13:H13"/>
    <mergeCell ref="A14:B14"/>
    <mergeCell ref="C14:D14"/>
    <mergeCell ref="E14:F14"/>
    <mergeCell ref="G14:H14"/>
  </mergeCells>
  <phoneticPr fontId="6" type="noConversion"/>
  <conditionalFormatting sqref="G11:H11">
    <cfRule type="containsText" priority="5" operator="containsText" text="FAILED">
      <formula>NOT(ISERROR(SEARCH("FAILED",G11)))</formula>
    </cfRule>
    <cfRule type="containsText" dxfId="3" priority="6" operator="containsText" text="FAILED">
      <formula>NOT(ISERROR(SEARCH("FAILED",G11)))</formula>
    </cfRule>
  </conditionalFormatting>
  <conditionalFormatting sqref="G11:H14">
    <cfRule type="containsText" dxfId="2" priority="1" operator="containsText" text="FAILED">
      <formula>NOT(ISERROR(SEARCH("FAILED",G11)))</formula>
    </cfRule>
  </conditionalFormatting>
  <conditionalFormatting sqref="G18:H18">
    <cfRule type="containsText" dxfId="1" priority="2" operator="containsText" text="PASS">
      <formula>NOT(ISERROR(SEARCH("PASS",G18)))</formula>
    </cfRule>
    <cfRule type="containsText" dxfId="0" priority="3" operator="containsText" text="FAILED">
      <formula>NOT(ISERROR(SEARCH("FAILED",G18)))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Gamma 1.8</vt:lpstr>
      <vt:lpstr>Gamma 2.0</vt:lpstr>
      <vt:lpstr>Gamma 2.2</vt:lpstr>
      <vt:lpstr>Gamma 2.4</vt:lpstr>
      <vt:lpstr>Gamma 2.6</vt:lpstr>
      <vt:lpstr>DICOM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ZhixiangYang[楊智翔]</dc:creator>
  <cp:keywords/>
  <dc:description/>
  <cp:lastModifiedBy>LI CHIH HSIANG</cp:lastModifiedBy>
  <cp:revision/>
  <dcterms:created xsi:type="dcterms:W3CDTF">2024-10-16T10:22:43Z</dcterms:created>
  <dcterms:modified xsi:type="dcterms:W3CDTF">2025-06-12T03:55:05Z</dcterms:modified>
  <cp:category/>
  <cp:contentStatus/>
</cp:coreProperties>
</file>