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home\"/>
    </mc:Choice>
  </mc:AlternateContent>
  <xr:revisionPtr revIDLastSave="0" documentId="13_ncr:1_{7CFF5477-59B2-42A7-A730-E287A683B51E}" xr6:coauthVersionLast="47" xr6:coauthVersionMax="47" xr10:uidLastSave="{00000000-0000-0000-0000-000000000000}"/>
  <bookViews>
    <workbookView xWindow="-110" yWindow="-110" windowWidth="25820" windowHeight="13900" tabRatio="862" activeTab="2" xr2:uid="{47860750-A5D9-4AD5-9316-ED0B16271A51}"/>
  </bookViews>
  <sheets>
    <sheet name="Gamma 1.8  9300K" sheetId="4" r:id="rId1"/>
    <sheet name="Gamma 2.0  9300K" sheetId="25" r:id="rId2"/>
    <sheet name="Gamma 2.2  9300K" sheetId="26" r:id="rId3"/>
    <sheet name="Gamma 2.6  9300K" sheetId="27" r:id="rId4"/>
    <sheet name="Gamma 1.8  6500K" sheetId="29" r:id="rId5"/>
    <sheet name="Gamma 2.0  6500K" sheetId="30" r:id="rId6"/>
    <sheet name="Gamma 2.2  6500K" sheetId="31" r:id="rId7"/>
    <sheet name="Gamma 2.6 6500K" sheetId="28" r:id="rId8"/>
    <sheet name="Gamma 1.8 5400K" sheetId="32" r:id="rId9"/>
    <sheet name="Gamma 2.0 5400K" sheetId="33" r:id="rId10"/>
    <sheet name="Gamma 2.2 5400K" sheetId="34" r:id="rId11"/>
    <sheet name="Gamma 2.6 5400K" sheetId="35" r:id="rId12"/>
    <sheet name="Gamma 2.2 5400K-長" sheetId="37" r:id="rId13"/>
    <sheet name="Gamma 2.6 5400K-長" sheetId="3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71" i="37" l="1"/>
  <c r="D115" i="37"/>
  <c r="C115" i="37" s="1"/>
  <c r="D83" i="37"/>
  <c r="E83" i="37" s="1"/>
  <c r="D65" i="37"/>
  <c r="E65" i="37" s="1"/>
  <c r="E16" i="37"/>
  <c r="C16" i="37"/>
  <c r="C12" i="37"/>
  <c r="D272" i="37" s="1"/>
  <c r="D265" i="37" s="1"/>
  <c r="C11" i="37"/>
  <c r="I271" i="36"/>
  <c r="E16" i="36"/>
  <c r="C16" i="36"/>
  <c r="C12" i="36"/>
  <c r="D272" i="36" s="1"/>
  <c r="D244" i="36" s="1"/>
  <c r="C11" i="36"/>
  <c r="I271" i="35"/>
  <c r="E16" i="35"/>
  <c r="C16" i="35"/>
  <c r="C12" i="35"/>
  <c r="D272" i="35" s="1"/>
  <c r="D271" i="35" s="1"/>
  <c r="E271" i="35" s="1"/>
  <c r="C11" i="35"/>
  <c r="I271" i="34"/>
  <c r="E16" i="34"/>
  <c r="C16" i="34"/>
  <c r="C12" i="34"/>
  <c r="D272" i="34" s="1"/>
  <c r="D62" i="34" s="1"/>
  <c r="C11" i="34"/>
  <c r="I271" i="33"/>
  <c r="E16" i="33"/>
  <c r="C16" i="33"/>
  <c r="C12" i="33"/>
  <c r="D272" i="33" s="1"/>
  <c r="D223" i="33" s="1"/>
  <c r="C11" i="33"/>
  <c r="I271" i="32"/>
  <c r="D246" i="32"/>
  <c r="D242" i="32"/>
  <c r="C242" i="32" s="1"/>
  <c r="D240" i="32"/>
  <c r="D236" i="32"/>
  <c r="E236" i="32" s="1"/>
  <c r="D230" i="32"/>
  <c r="D229" i="32"/>
  <c r="C229" i="32" s="1"/>
  <c r="D226" i="32"/>
  <c r="E226" i="32" s="1"/>
  <c r="C226" i="32"/>
  <c r="D223" i="32"/>
  <c r="E223" i="32" s="1"/>
  <c r="D210" i="32"/>
  <c r="D206" i="32"/>
  <c r="C206" i="32" s="1"/>
  <c r="D204" i="32"/>
  <c r="D203" i="32"/>
  <c r="E203" i="32" s="1"/>
  <c r="C203" i="32"/>
  <c r="D200" i="32"/>
  <c r="E200" i="32" s="1"/>
  <c r="D194" i="32"/>
  <c r="C194" i="32" s="1"/>
  <c r="D193" i="32"/>
  <c r="C193" i="32" s="1"/>
  <c r="D190" i="32"/>
  <c r="E190" i="32" s="1"/>
  <c r="D180" i="32"/>
  <c r="C180" i="32" s="1"/>
  <c r="D178" i="32"/>
  <c r="E178" i="32" s="1"/>
  <c r="D177" i="32"/>
  <c r="C177" i="32" s="1"/>
  <c r="D170" i="32"/>
  <c r="C170" i="32" s="1"/>
  <c r="D168" i="32"/>
  <c r="C168" i="32" s="1"/>
  <c r="D167" i="32"/>
  <c r="C167" i="32" s="1"/>
  <c r="D165" i="32"/>
  <c r="D164" i="32"/>
  <c r="E164" i="32" s="1"/>
  <c r="C164" i="32"/>
  <c r="G164" i="32" s="1"/>
  <c r="D154" i="32"/>
  <c r="E154" i="32" s="1"/>
  <c r="C154" i="32"/>
  <c r="D151" i="32"/>
  <c r="E151" i="32" s="1"/>
  <c r="D145" i="32"/>
  <c r="C145" i="32" s="1"/>
  <c r="D144" i="32"/>
  <c r="C144" i="32" s="1"/>
  <c r="D141" i="32"/>
  <c r="C141" i="32" s="1"/>
  <c r="D138" i="32"/>
  <c r="D134" i="32"/>
  <c r="C134" i="32" s="1"/>
  <c r="D132" i="32"/>
  <c r="C132" i="32" s="1"/>
  <c r="D122" i="32"/>
  <c r="C122" i="32" s="1"/>
  <c r="D121" i="32"/>
  <c r="C121" i="32" s="1"/>
  <c r="D119" i="32"/>
  <c r="E119" i="32" s="1"/>
  <c r="D118" i="32"/>
  <c r="E118" i="32" s="1"/>
  <c r="C118" i="32"/>
  <c r="D115" i="32"/>
  <c r="E115" i="32" s="1"/>
  <c r="D109" i="32"/>
  <c r="C109" i="32" s="1"/>
  <c r="D105" i="32"/>
  <c r="C105" i="32" s="1"/>
  <c r="D102" i="32"/>
  <c r="D98" i="32"/>
  <c r="C98" i="32" s="1"/>
  <c r="D96" i="32"/>
  <c r="C96" i="32" s="1"/>
  <c r="D95" i="32"/>
  <c r="E95" i="32" s="1"/>
  <c r="D93" i="32"/>
  <c r="D92" i="32"/>
  <c r="E92" i="32" s="1"/>
  <c r="D86" i="32"/>
  <c r="C86" i="32" s="1"/>
  <c r="D79" i="32"/>
  <c r="E79" i="32" s="1"/>
  <c r="C79" i="32"/>
  <c r="G79" i="32" s="1"/>
  <c r="D73" i="32"/>
  <c r="C73" i="32" s="1"/>
  <c r="D72" i="32"/>
  <c r="C72" i="32" s="1"/>
  <c r="D70" i="32"/>
  <c r="E70" i="32" s="1"/>
  <c r="D69" i="32"/>
  <c r="C69" i="32" s="1"/>
  <c r="D66" i="32"/>
  <c r="D57" i="32"/>
  <c r="D50" i="32"/>
  <c r="C50" i="32" s="1"/>
  <c r="D47" i="32"/>
  <c r="E47" i="32" s="1"/>
  <c r="C47" i="32"/>
  <c r="G47" i="32" s="1"/>
  <c r="D46" i="32"/>
  <c r="E46" i="32" s="1"/>
  <c r="D43" i="32"/>
  <c r="E43" i="32" s="1"/>
  <c r="D39" i="32"/>
  <c r="C39" i="32" s="1"/>
  <c r="D37" i="32"/>
  <c r="C37" i="32" s="1"/>
  <c r="D29" i="32"/>
  <c r="C29" i="32" s="1"/>
  <c r="D26" i="32"/>
  <c r="E26" i="32" s="1"/>
  <c r="C26" i="32"/>
  <c r="G26" i="32" s="1"/>
  <c r="D24" i="32"/>
  <c r="C24" i="32" s="1"/>
  <c r="D23" i="32"/>
  <c r="E23" i="32" s="1"/>
  <c r="D20" i="32"/>
  <c r="E20" i="32" s="1"/>
  <c r="C20" i="32"/>
  <c r="G20" i="32" s="1"/>
  <c r="D17" i="32"/>
  <c r="E17" i="32" s="1"/>
  <c r="E16" i="32"/>
  <c r="C16" i="32"/>
  <c r="C12" i="32"/>
  <c r="D272" i="32" s="1"/>
  <c r="D266" i="32" s="1"/>
  <c r="E266" i="32" s="1"/>
  <c r="C11" i="32"/>
  <c r="I271" i="31"/>
  <c r="E16" i="31"/>
  <c r="C16" i="31"/>
  <c r="C12" i="31"/>
  <c r="D272" i="31" s="1"/>
  <c r="D107" i="31" s="1"/>
  <c r="C11" i="31"/>
  <c r="I271" i="30"/>
  <c r="D231" i="30"/>
  <c r="C231" i="30" s="1"/>
  <c r="D194" i="30"/>
  <c r="E194" i="30" s="1"/>
  <c r="D99" i="30"/>
  <c r="D96" i="30"/>
  <c r="C96" i="30" s="1"/>
  <c r="D67" i="30"/>
  <c r="E67" i="30" s="1"/>
  <c r="E16" i="30"/>
  <c r="C16" i="30"/>
  <c r="C12" i="30"/>
  <c r="D272" i="30" s="1"/>
  <c r="D261" i="30" s="1"/>
  <c r="C11" i="30"/>
  <c r="I271" i="29"/>
  <c r="D175" i="29"/>
  <c r="C175" i="29" s="1"/>
  <c r="D173" i="29"/>
  <c r="C173" i="29" s="1"/>
  <c r="D137" i="29"/>
  <c r="C137" i="29" s="1"/>
  <c r="D19" i="29"/>
  <c r="C19" i="29" s="1"/>
  <c r="D18" i="29"/>
  <c r="C18" i="29" s="1"/>
  <c r="E16" i="29"/>
  <c r="C16" i="29"/>
  <c r="C12" i="29"/>
  <c r="D272" i="29" s="1"/>
  <c r="D232" i="29" s="1"/>
  <c r="C11" i="29"/>
  <c r="I271" i="28"/>
  <c r="D265" i="28"/>
  <c r="C265" i="28" s="1"/>
  <c r="D263" i="28"/>
  <c r="C263" i="28" s="1"/>
  <c r="D262" i="28"/>
  <c r="E262" i="28" s="1"/>
  <c r="D251" i="28"/>
  <c r="E251" i="28" s="1"/>
  <c r="D250" i="28"/>
  <c r="E250" i="28" s="1"/>
  <c r="C250" i="28"/>
  <c r="E248" i="28"/>
  <c r="D248" i="28"/>
  <c r="C248" i="28" s="1"/>
  <c r="D247" i="28"/>
  <c r="E247" i="28" s="1"/>
  <c r="D233" i="28"/>
  <c r="E233" i="28" s="1"/>
  <c r="D232" i="28"/>
  <c r="E232" i="28" s="1"/>
  <c r="D226" i="28"/>
  <c r="E226" i="28" s="1"/>
  <c r="D223" i="28"/>
  <c r="C223" i="28" s="1"/>
  <c r="D221" i="28"/>
  <c r="E221" i="28" s="1"/>
  <c r="D218" i="28"/>
  <c r="C218" i="28" s="1"/>
  <c r="D215" i="28"/>
  <c r="E215" i="28" s="1"/>
  <c r="D211" i="28"/>
  <c r="E211" i="28" s="1"/>
  <c r="D203" i="28"/>
  <c r="E203" i="28" s="1"/>
  <c r="D200" i="28"/>
  <c r="E200" i="28" s="1"/>
  <c r="D194" i="28"/>
  <c r="C194" i="28" s="1"/>
  <c r="D193" i="28"/>
  <c r="E193" i="28" s="1"/>
  <c r="D190" i="28"/>
  <c r="E190" i="28" s="1"/>
  <c r="D187" i="28"/>
  <c r="C187" i="28" s="1"/>
  <c r="D179" i="28"/>
  <c r="E179" i="28" s="1"/>
  <c r="D175" i="28"/>
  <c r="E175" i="28" s="1"/>
  <c r="D172" i="28"/>
  <c r="E172" i="28" s="1"/>
  <c r="D167" i="28"/>
  <c r="E167" i="28" s="1"/>
  <c r="D164" i="28"/>
  <c r="E164" i="28" s="1"/>
  <c r="D161" i="28"/>
  <c r="E161" i="28" s="1"/>
  <c r="C161" i="28"/>
  <c r="G161" i="28" s="1"/>
  <c r="D160" i="28"/>
  <c r="E160" i="28" s="1"/>
  <c r="D154" i="28"/>
  <c r="E154" i="28" s="1"/>
  <c r="D146" i="28"/>
  <c r="E146" i="28" s="1"/>
  <c r="C146" i="28"/>
  <c r="G146" i="28" s="1"/>
  <c r="D140" i="28"/>
  <c r="C140" i="28" s="1"/>
  <c r="D139" i="28"/>
  <c r="E139" i="28" s="1"/>
  <c r="D136" i="28"/>
  <c r="E136" i="28" s="1"/>
  <c r="D133" i="28"/>
  <c r="C133" i="28" s="1"/>
  <c r="D131" i="28"/>
  <c r="E131" i="28" s="1"/>
  <c r="D125" i="28"/>
  <c r="E125" i="28" s="1"/>
  <c r="D121" i="28"/>
  <c r="E121" i="28" s="1"/>
  <c r="D118" i="28"/>
  <c r="E118" i="28" s="1"/>
  <c r="D110" i="28"/>
  <c r="E110" i="28" s="1"/>
  <c r="C110" i="28"/>
  <c r="D107" i="28"/>
  <c r="E107" i="28" s="1"/>
  <c r="C107" i="28"/>
  <c r="G107" i="28" s="1"/>
  <c r="D106" i="28"/>
  <c r="E106" i="28" s="1"/>
  <c r="D104" i="28"/>
  <c r="C104" i="28" s="1"/>
  <c r="D97" i="28"/>
  <c r="C97" i="28" s="1"/>
  <c r="D89" i="28"/>
  <c r="E89" i="28" s="1"/>
  <c r="D88" i="28"/>
  <c r="E88" i="28" s="1"/>
  <c r="D82" i="28"/>
  <c r="E82" i="28" s="1"/>
  <c r="D79" i="28"/>
  <c r="C79" i="28" s="1"/>
  <c r="D77" i="28"/>
  <c r="E77" i="28" s="1"/>
  <c r="D74" i="28"/>
  <c r="E74" i="28" s="1"/>
  <c r="D71" i="28"/>
  <c r="E71" i="28" s="1"/>
  <c r="D67" i="28"/>
  <c r="C67" i="28" s="1"/>
  <c r="D64" i="28"/>
  <c r="E64" i="28" s="1"/>
  <c r="D56" i="28"/>
  <c r="C56" i="28" s="1"/>
  <c r="D53" i="28"/>
  <c r="E53" i="28" s="1"/>
  <c r="D47" i="28"/>
  <c r="E47" i="28" s="1"/>
  <c r="C47" i="28"/>
  <c r="G47" i="28" s="1"/>
  <c r="D46" i="28"/>
  <c r="E46" i="28" s="1"/>
  <c r="D44" i="28"/>
  <c r="C44" i="28" s="1"/>
  <c r="D43" i="28"/>
  <c r="E43" i="28" s="1"/>
  <c r="D41" i="28"/>
  <c r="E41" i="28" s="1"/>
  <c r="D35" i="28"/>
  <c r="E35" i="28" s="1"/>
  <c r="D29" i="28"/>
  <c r="C29" i="28" s="1"/>
  <c r="D28" i="28"/>
  <c r="E28" i="28" s="1"/>
  <c r="D23" i="28"/>
  <c r="C23" i="28" s="1"/>
  <c r="D22" i="28"/>
  <c r="E22" i="28" s="1"/>
  <c r="D20" i="28"/>
  <c r="E20" i="28" s="1"/>
  <c r="C20" i="28"/>
  <c r="D18" i="28"/>
  <c r="C18" i="28" s="1"/>
  <c r="D17" i="28"/>
  <c r="E17" i="28" s="1"/>
  <c r="E16" i="28"/>
  <c r="C16" i="28"/>
  <c r="C12" i="28"/>
  <c r="D272" i="28" s="1"/>
  <c r="D260" i="28" s="1"/>
  <c r="C11" i="28"/>
  <c r="I271" i="4"/>
  <c r="E16" i="4"/>
  <c r="C16" i="4"/>
  <c r="C12" i="4"/>
  <c r="D272" i="4" s="1"/>
  <c r="D208" i="4" s="1"/>
  <c r="C11" i="4"/>
  <c r="I271" i="25"/>
  <c r="D139" i="25"/>
  <c r="E139" i="25" s="1"/>
  <c r="E16" i="25"/>
  <c r="C16" i="25"/>
  <c r="C12" i="25"/>
  <c r="D272" i="25" s="1"/>
  <c r="D242" i="25" s="1"/>
  <c r="C11" i="25"/>
  <c r="I271" i="27"/>
  <c r="E16" i="27"/>
  <c r="C16" i="27"/>
  <c r="C12" i="27"/>
  <c r="D272" i="27" s="1"/>
  <c r="D265" i="27" s="1"/>
  <c r="C11" i="27"/>
  <c r="I271" i="26"/>
  <c r="D263" i="26"/>
  <c r="E16" i="26"/>
  <c r="C16" i="26"/>
  <c r="C12" i="26"/>
  <c r="D272" i="26" s="1"/>
  <c r="D266" i="26" s="1"/>
  <c r="C11" i="26"/>
  <c r="C67" i="30" l="1"/>
  <c r="D233" i="30"/>
  <c r="D62" i="35"/>
  <c r="E62" i="35" s="1"/>
  <c r="D18" i="35"/>
  <c r="E18" i="35" s="1"/>
  <c r="D47" i="35"/>
  <c r="E47" i="35" s="1"/>
  <c r="D79" i="35"/>
  <c r="E79" i="35" s="1"/>
  <c r="D35" i="35"/>
  <c r="E35" i="35" s="1"/>
  <c r="C62" i="35"/>
  <c r="G62" i="35" s="1"/>
  <c r="D97" i="35"/>
  <c r="E97" i="35" s="1"/>
  <c r="D148" i="35"/>
  <c r="E148" i="35" s="1"/>
  <c r="D229" i="35"/>
  <c r="E229" i="35" s="1"/>
  <c r="D155" i="35"/>
  <c r="C155" i="35" s="1"/>
  <c r="D38" i="35"/>
  <c r="D64" i="35"/>
  <c r="C64" i="35" s="1"/>
  <c r="D98" i="35"/>
  <c r="D172" i="35"/>
  <c r="E172" i="35" s="1"/>
  <c r="D232" i="35"/>
  <c r="D41" i="35"/>
  <c r="C41" i="35" s="1"/>
  <c r="D74" i="35"/>
  <c r="C74" i="35" s="1"/>
  <c r="D119" i="35"/>
  <c r="C119" i="35" s="1"/>
  <c r="D179" i="35"/>
  <c r="C179" i="35" s="1"/>
  <c r="D239" i="35"/>
  <c r="C239" i="35" s="1"/>
  <c r="D17" i="35"/>
  <c r="D46" i="35"/>
  <c r="E46" i="35" s="1"/>
  <c r="D77" i="35"/>
  <c r="C77" i="35" s="1"/>
  <c r="D253" i="35"/>
  <c r="E253" i="35" s="1"/>
  <c r="D121" i="35"/>
  <c r="D181" i="35"/>
  <c r="D256" i="35"/>
  <c r="D23" i="35"/>
  <c r="E23" i="35" s="1"/>
  <c r="D49" i="35"/>
  <c r="D124" i="35"/>
  <c r="D184" i="35"/>
  <c r="D263" i="35"/>
  <c r="C263" i="35" s="1"/>
  <c r="D52" i="35"/>
  <c r="C52" i="35" s="1"/>
  <c r="D82" i="35"/>
  <c r="D131" i="35"/>
  <c r="C131" i="35" s="1"/>
  <c r="D205" i="35"/>
  <c r="E205" i="35" s="1"/>
  <c r="D25" i="35"/>
  <c r="D59" i="35"/>
  <c r="E59" i="35" s="1"/>
  <c r="D94" i="35"/>
  <c r="E94" i="35" s="1"/>
  <c r="D143" i="35"/>
  <c r="C143" i="35" s="1"/>
  <c r="D265" i="35"/>
  <c r="D208" i="35"/>
  <c r="D26" i="35"/>
  <c r="D61" i="35"/>
  <c r="D95" i="35"/>
  <c r="D145" i="35"/>
  <c r="D215" i="35"/>
  <c r="C215" i="35" s="1"/>
  <c r="E265" i="37"/>
  <c r="C265" i="37"/>
  <c r="G265" i="37" s="1"/>
  <c r="D86" i="37"/>
  <c r="D139" i="37"/>
  <c r="D193" i="37"/>
  <c r="D247" i="37"/>
  <c r="D50" i="37"/>
  <c r="D175" i="37"/>
  <c r="D71" i="37"/>
  <c r="E71" i="37" s="1"/>
  <c r="D91" i="37"/>
  <c r="D35" i="37"/>
  <c r="D130" i="37"/>
  <c r="D184" i="37"/>
  <c r="D238" i="37"/>
  <c r="D18" i="37"/>
  <c r="D37" i="37"/>
  <c r="D58" i="37"/>
  <c r="D76" i="37"/>
  <c r="D97" i="37"/>
  <c r="D22" i="37"/>
  <c r="D38" i="37"/>
  <c r="E38" i="37" s="1"/>
  <c r="D61" i="37"/>
  <c r="D79" i="37"/>
  <c r="D103" i="37"/>
  <c r="D220" i="37"/>
  <c r="D47" i="37"/>
  <c r="E47" i="37" s="1"/>
  <c r="D229" i="37"/>
  <c r="D25" i="37"/>
  <c r="E25" i="37" s="1"/>
  <c r="D148" i="37"/>
  <c r="D202" i="37"/>
  <c r="D256" i="37"/>
  <c r="D44" i="37"/>
  <c r="E115" i="37"/>
  <c r="G115" i="37" s="1"/>
  <c r="D34" i="37"/>
  <c r="E34" i="37" s="1"/>
  <c r="D88" i="37"/>
  <c r="D41" i="37"/>
  <c r="D64" i="37"/>
  <c r="E64" i="37" s="1"/>
  <c r="D82" i="37"/>
  <c r="E82" i="37" s="1"/>
  <c r="D109" i="37"/>
  <c r="D166" i="37"/>
  <c r="D31" i="37"/>
  <c r="D68" i="37"/>
  <c r="D121" i="37"/>
  <c r="D28" i="37"/>
  <c r="C65" i="37"/>
  <c r="G65" i="37" s="1"/>
  <c r="C83" i="37"/>
  <c r="G83" i="37" s="1"/>
  <c r="D157" i="37"/>
  <c r="D211" i="37"/>
  <c r="C47" i="37"/>
  <c r="G47" i="37" s="1"/>
  <c r="C64" i="37"/>
  <c r="G64" i="37" s="1"/>
  <c r="C82" i="37"/>
  <c r="G82" i="37" s="1"/>
  <c r="C38" i="37"/>
  <c r="G38" i="37" s="1"/>
  <c r="D270" i="37"/>
  <c r="D267" i="37"/>
  <c r="D264" i="37"/>
  <c r="D261" i="37"/>
  <c r="D258" i="37"/>
  <c r="D255" i="37"/>
  <c r="D252" i="37"/>
  <c r="D249" i="37"/>
  <c r="D246" i="37"/>
  <c r="D243" i="37"/>
  <c r="D240" i="37"/>
  <c r="D237" i="37"/>
  <c r="D234" i="37"/>
  <c r="D231" i="37"/>
  <c r="D228" i="37"/>
  <c r="D225" i="37"/>
  <c r="D222" i="37"/>
  <c r="D219" i="37"/>
  <c r="D216" i="37"/>
  <c r="D213" i="37"/>
  <c r="D210" i="37"/>
  <c r="D207" i="37"/>
  <c r="D204" i="37"/>
  <c r="D201" i="37"/>
  <c r="D198" i="37"/>
  <c r="D195" i="37"/>
  <c r="D192" i="37"/>
  <c r="D189" i="37"/>
  <c r="D186" i="37"/>
  <c r="D183" i="37"/>
  <c r="D180" i="37"/>
  <c r="D177" i="37"/>
  <c r="D174" i="37"/>
  <c r="D171" i="37"/>
  <c r="D168" i="37"/>
  <c r="D165" i="37"/>
  <c r="D162" i="37"/>
  <c r="D159" i="37"/>
  <c r="D156" i="37"/>
  <c r="D153" i="37"/>
  <c r="D150" i="37"/>
  <c r="D147" i="37"/>
  <c r="D144" i="37"/>
  <c r="D141" i="37"/>
  <c r="D138" i="37"/>
  <c r="D135" i="37"/>
  <c r="D132" i="37"/>
  <c r="D129" i="37"/>
  <c r="D126" i="37"/>
  <c r="D123" i="37"/>
  <c r="D120" i="37"/>
  <c r="D117" i="37"/>
  <c r="D114" i="37"/>
  <c r="D111" i="37"/>
  <c r="D108" i="37"/>
  <c r="D105" i="37"/>
  <c r="D102" i="37"/>
  <c r="D99" i="37"/>
  <c r="D96" i="37"/>
  <c r="D93" i="37"/>
  <c r="D90" i="37"/>
  <c r="D87" i="37"/>
  <c r="D84" i="37"/>
  <c r="D81" i="37"/>
  <c r="D78" i="37"/>
  <c r="D75" i="37"/>
  <c r="D72" i="37"/>
  <c r="D69" i="37"/>
  <c r="D66" i="37"/>
  <c r="D63" i="37"/>
  <c r="D60" i="37"/>
  <c r="D57" i="37"/>
  <c r="D54" i="37"/>
  <c r="D51" i="37"/>
  <c r="D48" i="37"/>
  <c r="D45" i="37"/>
  <c r="D42" i="37"/>
  <c r="D39" i="37"/>
  <c r="D36" i="37"/>
  <c r="D33" i="37"/>
  <c r="D30" i="37"/>
  <c r="D27" i="37"/>
  <c r="D24" i="37"/>
  <c r="D21" i="37"/>
  <c r="E272" i="37"/>
  <c r="C272" i="37"/>
  <c r="D269" i="37"/>
  <c r="D266" i="37"/>
  <c r="D263" i="37"/>
  <c r="D260" i="37"/>
  <c r="D257" i="37"/>
  <c r="D254" i="37"/>
  <c r="D251" i="37"/>
  <c r="D248" i="37"/>
  <c r="D245" i="37"/>
  <c r="D242" i="37"/>
  <c r="D239" i="37"/>
  <c r="D236" i="37"/>
  <c r="D233" i="37"/>
  <c r="D230" i="37"/>
  <c r="D227" i="37"/>
  <c r="D224" i="37"/>
  <c r="D221" i="37"/>
  <c r="D218" i="37"/>
  <c r="D215" i="37"/>
  <c r="D212" i="37"/>
  <c r="D209" i="37"/>
  <c r="D206" i="37"/>
  <c r="D203" i="37"/>
  <c r="D200" i="37"/>
  <c r="D197" i="37"/>
  <c r="D194" i="37"/>
  <c r="D191" i="37"/>
  <c r="D188" i="37"/>
  <c r="D185" i="37"/>
  <c r="D182" i="37"/>
  <c r="D179" i="37"/>
  <c r="D176" i="37"/>
  <c r="D173" i="37"/>
  <c r="D170" i="37"/>
  <c r="D167" i="37"/>
  <c r="D164" i="37"/>
  <c r="D161" i="37"/>
  <c r="D158" i="37"/>
  <c r="D155" i="37"/>
  <c r="D152" i="37"/>
  <c r="D149" i="37"/>
  <c r="D146" i="37"/>
  <c r="D143" i="37"/>
  <c r="D140" i="37"/>
  <c r="D137" i="37"/>
  <c r="D134" i="37"/>
  <c r="D131" i="37"/>
  <c r="D128" i="37"/>
  <c r="D125" i="37"/>
  <c r="D122" i="37"/>
  <c r="D119" i="37"/>
  <c r="D116" i="37"/>
  <c r="D113" i="37"/>
  <c r="D110" i="37"/>
  <c r="D107" i="37"/>
  <c r="D104" i="37"/>
  <c r="D101" i="37"/>
  <c r="D98" i="37"/>
  <c r="D95" i="37"/>
  <c r="D92" i="37"/>
  <c r="D19" i="37"/>
  <c r="D32" i="37"/>
  <c r="D55" i="37"/>
  <c r="D94" i="37"/>
  <c r="D100" i="37"/>
  <c r="D106" i="37"/>
  <c r="D112" i="37"/>
  <c r="D118" i="37"/>
  <c r="D124" i="37"/>
  <c r="D133" i="37"/>
  <c r="D142" i="37"/>
  <c r="D151" i="37"/>
  <c r="D160" i="37"/>
  <c r="D169" i="37"/>
  <c r="D178" i="37"/>
  <c r="D187" i="37"/>
  <c r="D196" i="37"/>
  <c r="D205" i="37"/>
  <c r="D214" i="37"/>
  <c r="D223" i="37"/>
  <c r="D232" i="37"/>
  <c r="D241" i="37"/>
  <c r="D250" i="37"/>
  <c r="D259" i="37"/>
  <c r="D268" i="37"/>
  <c r="D29" i="37"/>
  <c r="D52" i="37"/>
  <c r="D62" i="37"/>
  <c r="D73" i="37"/>
  <c r="D80" i="37"/>
  <c r="D26" i="37"/>
  <c r="D49" i="37"/>
  <c r="D89" i="37"/>
  <c r="E86" i="37"/>
  <c r="C86" i="37"/>
  <c r="D23" i="37"/>
  <c r="D46" i="37"/>
  <c r="D59" i="37"/>
  <c r="D70" i="37"/>
  <c r="D77" i="37"/>
  <c r="D17" i="37"/>
  <c r="D20" i="37"/>
  <c r="D43" i="37"/>
  <c r="D56" i="37"/>
  <c r="D85" i="37"/>
  <c r="D127" i="37"/>
  <c r="D136" i="37"/>
  <c r="D145" i="37"/>
  <c r="D154" i="37"/>
  <c r="D163" i="37"/>
  <c r="D172" i="37"/>
  <c r="D181" i="37"/>
  <c r="D190" i="37"/>
  <c r="D199" i="37"/>
  <c r="D208" i="37"/>
  <c r="D217" i="37"/>
  <c r="D226" i="37"/>
  <c r="D235" i="37"/>
  <c r="D244" i="37"/>
  <c r="D253" i="37"/>
  <c r="D262" i="37"/>
  <c r="D271" i="37"/>
  <c r="D40" i="37"/>
  <c r="D53" i="37"/>
  <c r="D67" i="37"/>
  <c r="D74" i="37"/>
  <c r="D247" i="36"/>
  <c r="E247" i="36" s="1"/>
  <c r="D232" i="36"/>
  <c r="D64" i="36"/>
  <c r="E64" i="36" s="1"/>
  <c r="D205" i="36"/>
  <c r="D211" i="36"/>
  <c r="E211" i="36" s="1"/>
  <c r="D217" i="36"/>
  <c r="D40" i="36"/>
  <c r="D82" i="36"/>
  <c r="E82" i="36" s="1"/>
  <c r="D184" i="36"/>
  <c r="C184" i="36" s="1"/>
  <c r="D220" i="36"/>
  <c r="C220" i="36" s="1"/>
  <c r="D166" i="36"/>
  <c r="E166" i="36" s="1"/>
  <c r="D44" i="36"/>
  <c r="D238" i="36"/>
  <c r="E238" i="36" s="1"/>
  <c r="D67" i="36"/>
  <c r="D136" i="36"/>
  <c r="E136" i="36" s="1"/>
  <c r="D145" i="36"/>
  <c r="E145" i="36" s="1"/>
  <c r="D53" i="36"/>
  <c r="D154" i="36"/>
  <c r="D256" i="36"/>
  <c r="C256" i="36" s="1"/>
  <c r="D169" i="36"/>
  <c r="D46" i="36"/>
  <c r="C46" i="36" s="1"/>
  <c r="D175" i="36"/>
  <c r="E175" i="36" s="1"/>
  <c r="D34" i="36"/>
  <c r="D127" i="36"/>
  <c r="E127" i="36" s="1"/>
  <c r="D79" i="36"/>
  <c r="D20" i="36"/>
  <c r="D41" i="36"/>
  <c r="E41" i="36" s="1"/>
  <c r="D85" i="36"/>
  <c r="D190" i="36"/>
  <c r="D226" i="36"/>
  <c r="D262" i="36"/>
  <c r="C262" i="36" s="1"/>
  <c r="D202" i="36"/>
  <c r="E202" i="36" s="1"/>
  <c r="D109" i="36"/>
  <c r="E109" i="36" s="1"/>
  <c r="D118" i="36"/>
  <c r="E118" i="36" s="1"/>
  <c r="D17" i="36"/>
  <c r="D37" i="36"/>
  <c r="E37" i="36" s="1"/>
  <c r="D181" i="36"/>
  <c r="D18" i="36"/>
  <c r="D50" i="36"/>
  <c r="E50" i="36" s="1"/>
  <c r="D23" i="36"/>
  <c r="D268" i="36"/>
  <c r="C268" i="36" s="1"/>
  <c r="D31" i="36"/>
  <c r="D100" i="36"/>
  <c r="D241" i="36"/>
  <c r="D47" i="36"/>
  <c r="D253" i="36"/>
  <c r="D28" i="36"/>
  <c r="E28" i="36" s="1"/>
  <c r="D43" i="36"/>
  <c r="D61" i="36"/>
  <c r="D97" i="36"/>
  <c r="D160" i="36"/>
  <c r="D196" i="36"/>
  <c r="E196" i="36" s="1"/>
  <c r="C23" i="36"/>
  <c r="E23" i="36"/>
  <c r="E244" i="36"/>
  <c r="C244" i="36"/>
  <c r="G268" i="36"/>
  <c r="C50" i="36"/>
  <c r="G50" i="36" s="1"/>
  <c r="C64" i="36"/>
  <c r="G64" i="36" s="1"/>
  <c r="C109" i="36"/>
  <c r="G109" i="36" s="1"/>
  <c r="C127" i="36"/>
  <c r="G127" i="36" s="1"/>
  <c r="C136" i="36"/>
  <c r="G136" i="36" s="1"/>
  <c r="C145" i="36"/>
  <c r="G145" i="36" s="1"/>
  <c r="C211" i="36"/>
  <c r="G211" i="36" s="1"/>
  <c r="C247" i="36"/>
  <c r="G247" i="36" s="1"/>
  <c r="E268" i="36"/>
  <c r="C196" i="36"/>
  <c r="G196" i="36" s="1"/>
  <c r="E46" i="36"/>
  <c r="G46" i="36" s="1"/>
  <c r="C28" i="36"/>
  <c r="G28" i="36" s="1"/>
  <c r="C41" i="36"/>
  <c r="G41" i="36" s="1"/>
  <c r="C166" i="36"/>
  <c r="G166" i="36" s="1"/>
  <c r="C238" i="36"/>
  <c r="G238" i="36" s="1"/>
  <c r="D25" i="36"/>
  <c r="D38" i="36"/>
  <c r="D58" i="36"/>
  <c r="D76" i="36"/>
  <c r="D94" i="36"/>
  <c r="D106" i="36"/>
  <c r="D115" i="36"/>
  <c r="D124" i="36"/>
  <c r="D133" i="36"/>
  <c r="D142" i="36"/>
  <c r="D151" i="36"/>
  <c r="D187" i="36"/>
  <c r="D223" i="36"/>
  <c r="D259" i="36"/>
  <c r="D265" i="36"/>
  <c r="D271" i="36"/>
  <c r="D22" i="36"/>
  <c r="D35" i="36"/>
  <c r="D172" i="36"/>
  <c r="D208" i="36"/>
  <c r="D270" i="36"/>
  <c r="D267" i="36"/>
  <c r="D264" i="36"/>
  <c r="D261" i="36"/>
  <c r="D258" i="36"/>
  <c r="D255" i="36"/>
  <c r="D252" i="36"/>
  <c r="D249" i="36"/>
  <c r="D246" i="36"/>
  <c r="D243" i="36"/>
  <c r="D240" i="36"/>
  <c r="D237" i="36"/>
  <c r="D234" i="36"/>
  <c r="D231" i="36"/>
  <c r="D228" i="36"/>
  <c r="D225" i="36"/>
  <c r="D222" i="36"/>
  <c r="D219" i="36"/>
  <c r="D216" i="36"/>
  <c r="D213" i="36"/>
  <c r="D210" i="36"/>
  <c r="D207" i="36"/>
  <c r="D204" i="36"/>
  <c r="D201" i="36"/>
  <c r="D198" i="36"/>
  <c r="D195" i="36"/>
  <c r="D192" i="36"/>
  <c r="D189" i="36"/>
  <c r="D186" i="36"/>
  <c r="D183" i="36"/>
  <c r="D180" i="36"/>
  <c r="D177" i="36"/>
  <c r="D174" i="36"/>
  <c r="D171" i="36"/>
  <c r="D168" i="36"/>
  <c r="D165" i="36"/>
  <c r="D162" i="36"/>
  <c r="D159" i="36"/>
  <c r="D156" i="36"/>
  <c r="D153" i="36"/>
  <c r="D150" i="36"/>
  <c r="D147" i="36"/>
  <c r="D144" i="36"/>
  <c r="D141" i="36"/>
  <c r="D138" i="36"/>
  <c r="D135" i="36"/>
  <c r="D132" i="36"/>
  <c r="D129" i="36"/>
  <c r="D126" i="36"/>
  <c r="D123" i="36"/>
  <c r="D120" i="36"/>
  <c r="D117" i="36"/>
  <c r="D114" i="36"/>
  <c r="D111" i="36"/>
  <c r="D108" i="36"/>
  <c r="D105" i="36"/>
  <c r="D102" i="36"/>
  <c r="D99" i="36"/>
  <c r="D96" i="36"/>
  <c r="D93" i="36"/>
  <c r="D90" i="36"/>
  <c r="D87" i="36"/>
  <c r="D84" i="36"/>
  <c r="D81" i="36"/>
  <c r="D78" i="36"/>
  <c r="D75" i="36"/>
  <c r="D72" i="36"/>
  <c r="D69" i="36"/>
  <c r="D66" i="36"/>
  <c r="D63" i="36"/>
  <c r="D60" i="36"/>
  <c r="D57" i="36"/>
  <c r="D54" i="36"/>
  <c r="D51" i="36"/>
  <c r="D48" i="36"/>
  <c r="D45" i="36"/>
  <c r="D42" i="36"/>
  <c r="D39" i="36"/>
  <c r="D36" i="36"/>
  <c r="D33" i="36"/>
  <c r="D30" i="36"/>
  <c r="D27" i="36"/>
  <c r="D24" i="36"/>
  <c r="D21" i="36"/>
  <c r="E272" i="36"/>
  <c r="C272" i="36"/>
  <c r="G272" i="36" s="1"/>
  <c r="D269" i="36"/>
  <c r="D266" i="36"/>
  <c r="D263" i="36"/>
  <c r="D260" i="36"/>
  <c r="D257" i="36"/>
  <c r="D254" i="36"/>
  <c r="D251" i="36"/>
  <c r="D248" i="36"/>
  <c r="D245" i="36"/>
  <c r="D242" i="36"/>
  <c r="D239" i="36"/>
  <c r="D236" i="36"/>
  <c r="D233" i="36"/>
  <c r="D230" i="36"/>
  <c r="D227" i="36"/>
  <c r="D224" i="36"/>
  <c r="D221" i="36"/>
  <c r="D218" i="36"/>
  <c r="D215" i="36"/>
  <c r="D212" i="36"/>
  <c r="D209" i="36"/>
  <c r="D206" i="36"/>
  <c r="D203" i="36"/>
  <c r="D200" i="36"/>
  <c r="D197" i="36"/>
  <c r="D194" i="36"/>
  <c r="D191" i="36"/>
  <c r="D188" i="36"/>
  <c r="D185" i="36"/>
  <c r="D182" i="36"/>
  <c r="D179" i="36"/>
  <c r="D176" i="36"/>
  <c r="D173" i="36"/>
  <c r="D170" i="36"/>
  <c r="D167" i="36"/>
  <c r="D164" i="36"/>
  <c r="D161" i="36"/>
  <c r="D158" i="36"/>
  <c r="D155" i="36"/>
  <c r="D152" i="36"/>
  <c r="D149" i="36"/>
  <c r="D146" i="36"/>
  <c r="D143" i="36"/>
  <c r="D140" i="36"/>
  <c r="D137" i="36"/>
  <c r="D134" i="36"/>
  <c r="D131" i="36"/>
  <c r="D128" i="36"/>
  <c r="D125" i="36"/>
  <c r="D122" i="36"/>
  <c r="D119" i="36"/>
  <c r="D116" i="36"/>
  <c r="D113" i="36"/>
  <c r="D110" i="36"/>
  <c r="D107" i="36"/>
  <c r="D104" i="36"/>
  <c r="D101" i="36"/>
  <c r="D98" i="36"/>
  <c r="D95" i="36"/>
  <c r="D92" i="36"/>
  <c r="D89" i="36"/>
  <c r="D86" i="36"/>
  <c r="D83" i="36"/>
  <c r="D80" i="36"/>
  <c r="D77" i="36"/>
  <c r="D74" i="36"/>
  <c r="D71" i="36"/>
  <c r="D68" i="36"/>
  <c r="D65" i="36"/>
  <c r="D62" i="36"/>
  <c r="D59" i="36"/>
  <c r="D56" i="36"/>
  <c r="D19" i="36"/>
  <c r="D32" i="36"/>
  <c r="D55" i="36"/>
  <c r="D73" i="36"/>
  <c r="D91" i="36"/>
  <c r="D157" i="36"/>
  <c r="D193" i="36"/>
  <c r="D229" i="36"/>
  <c r="D29" i="36"/>
  <c r="D52" i="36"/>
  <c r="D103" i="36"/>
  <c r="D178" i="36"/>
  <c r="D214" i="36"/>
  <c r="D250" i="36"/>
  <c r="D26" i="36"/>
  <c r="D49" i="36"/>
  <c r="D70" i="36"/>
  <c r="D88" i="36"/>
  <c r="D112" i="36"/>
  <c r="D121" i="36"/>
  <c r="D130" i="36"/>
  <c r="D139" i="36"/>
  <c r="D148" i="36"/>
  <c r="D163" i="36"/>
  <c r="D199" i="36"/>
  <c r="D235" i="36"/>
  <c r="E41" i="35"/>
  <c r="G41" i="35" s="1"/>
  <c r="D22" i="35"/>
  <c r="D58" i="35"/>
  <c r="D70" i="35"/>
  <c r="E70" i="35" s="1"/>
  <c r="D109" i="35"/>
  <c r="D136" i="35"/>
  <c r="D196" i="35"/>
  <c r="D220" i="35"/>
  <c r="D34" i="35"/>
  <c r="E34" i="35" s="1"/>
  <c r="C59" i="35"/>
  <c r="G59" i="35" s="1"/>
  <c r="D71" i="35"/>
  <c r="E71" i="35" s="1"/>
  <c r="D92" i="35"/>
  <c r="D112" i="35"/>
  <c r="E112" i="35" s="1"/>
  <c r="D169" i="35"/>
  <c r="D203" i="35"/>
  <c r="C203" i="35" s="1"/>
  <c r="D227" i="35"/>
  <c r="C227" i="35" s="1"/>
  <c r="C35" i="35"/>
  <c r="G35" i="35" s="1"/>
  <c r="C205" i="35"/>
  <c r="G205" i="35" s="1"/>
  <c r="D28" i="35"/>
  <c r="C28" i="35" s="1"/>
  <c r="E52" i="35"/>
  <c r="G52" i="35" s="1"/>
  <c r="D65" i="35"/>
  <c r="C65" i="35" s="1"/>
  <c r="D83" i="35"/>
  <c r="E83" i="35" s="1"/>
  <c r="D100" i="35"/>
  <c r="C100" i="35" s="1"/>
  <c r="D157" i="35"/>
  <c r="D191" i="35"/>
  <c r="C191" i="35" s="1"/>
  <c r="D241" i="35"/>
  <c r="D29" i="35"/>
  <c r="C29" i="35" s="1"/>
  <c r="D43" i="35"/>
  <c r="D101" i="35"/>
  <c r="C101" i="35" s="1"/>
  <c r="D268" i="35"/>
  <c r="D20" i="35"/>
  <c r="D56" i="35"/>
  <c r="D67" i="35"/>
  <c r="D85" i="35"/>
  <c r="D107" i="35"/>
  <c r="C107" i="35" s="1"/>
  <c r="D133" i="35"/>
  <c r="D160" i="35"/>
  <c r="D193" i="35"/>
  <c r="D217" i="35"/>
  <c r="D244" i="35"/>
  <c r="D31" i="35"/>
  <c r="D44" i="35"/>
  <c r="D88" i="35"/>
  <c r="C88" i="35" s="1"/>
  <c r="D167" i="35"/>
  <c r="C167" i="35" s="1"/>
  <c r="D251" i="35"/>
  <c r="C272" i="35"/>
  <c r="D167" i="34"/>
  <c r="D68" i="34"/>
  <c r="E68" i="34" s="1"/>
  <c r="D74" i="34"/>
  <c r="C74" i="34" s="1"/>
  <c r="D118" i="34"/>
  <c r="C118" i="34" s="1"/>
  <c r="D130" i="34"/>
  <c r="E130" i="34" s="1"/>
  <c r="D22" i="34"/>
  <c r="D179" i="34"/>
  <c r="D17" i="34"/>
  <c r="D43" i="34"/>
  <c r="E43" i="34" s="1"/>
  <c r="D200" i="34"/>
  <c r="D49" i="34"/>
  <c r="C49" i="34" s="1"/>
  <c r="D206" i="34"/>
  <c r="C206" i="34" s="1"/>
  <c r="D55" i="34"/>
  <c r="C55" i="34" s="1"/>
  <c r="D242" i="34"/>
  <c r="C242" i="34" s="1"/>
  <c r="D30" i="32"/>
  <c r="D59" i="32"/>
  <c r="E59" i="32" s="1"/>
  <c r="D82" i="32"/>
  <c r="D128" i="32"/>
  <c r="E128" i="32" s="1"/>
  <c r="D181" i="32"/>
  <c r="C181" i="32" s="1"/>
  <c r="D213" i="32"/>
  <c r="C213" i="32" s="1"/>
  <c r="D252" i="32"/>
  <c r="C252" i="32" s="1"/>
  <c r="D33" i="32"/>
  <c r="C33" i="32" s="1"/>
  <c r="D60" i="32"/>
  <c r="C60" i="32" s="1"/>
  <c r="G60" i="32" s="1"/>
  <c r="D83" i="32"/>
  <c r="E83" i="32" s="1"/>
  <c r="D106" i="32"/>
  <c r="D129" i="32"/>
  <c r="C129" i="32" s="1"/>
  <c r="D155" i="32"/>
  <c r="D187" i="32"/>
  <c r="E187" i="32" s="1"/>
  <c r="D216" i="32"/>
  <c r="C216" i="32" s="1"/>
  <c r="D253" i="32"/>
  <c r="D36" i="32"/>
  <c r="C36" i="32" s="1"/>
  <c r="D62" i="32"/>
  <c r="C62" i="32" s="1"/>
  <c r="D85" i="32"/>
  <c r="C85" i="32" s="1"/>
  <c r="D108" i="32"/>
  <c r="D131" i="32"/>
  <c r="C131" i="32" s="1"/>
  <c r="D157" i="32"/>
  <c r="C157" i="32" s="1"/>
  <c r="C190" i="32"/>
  <c r="D217" i="32"/>
  <c r="E217" i="32" s="1"/>
  <c r="C43" i="32"/>
  <c r="G43" i="32" s="1"/>
  <c r="C70" i="32"/>
  <c r="G70" i="32" s="1"/>
  <c r="C115" i="32"/>
  <c r="G115" i="32" s="1"/>
  <c r="C23" i="32"/>
  <c r="G23" i="32" s="1"/>
  <c r="C95" i="32"/>
  <c r="G95" i="32" s="1"/>
  <c r="G167" i="32"/>
  <c r="C179" i="28"/>
  <c r="G179" i="28" s="1"/>
  <c r="C167" i="28"/>
  <c r="G167" i="28" s="1"/>
  <c r="C193" i="28"/>
  <c r="E133" i="28"/>
  <c r="D31" i="28"/>
  <c r="C31" i="28" s="1"/>
  <c r="D59" i="28"/>
  <c r="E59" i="28" s="1"/>
  <c r="D122" i="28"/>
  <c r="C122" i="28" s="1"/>
  <c r="D149" i="28"/>
  <c r="E149" i="28" s="1"/>
  <c r="D176" i="28"/>
  <c r="C176" i="28" s="1"/>
  <c r="D205" i="28"/>
  <c r="C205" i="28" s="1"/>
  <c r="D236" i="28"/>
  <c r="D266" i="28"/>
  <c r="E266" i="28" s="1"/>
  <c r="D61" i="28"/>
  <c r="C61" i="28" s="1"/>
  <c r="D92" i="28"/>
  <c r="D151" i="28"/>
  <c r="C151" i="28" s="1"/>
  <c r="D208" i="28"/>
  <c r="E208" i="28" s="1"/>
  <c r="D239" i="28"/>
  <c r="E239" i="28" s="1"/>
  <c r="D34" i="28"/>
  <c r="C64" i="28"/>
  <c r="G64" i="28" s="1"/>
  <c r="D95" i="28"/>
  <c r="E95" i="28" s="1"/>
  <c r="D124" i="28"/>
  <c r="C154" i="28"/>
  <c r="G154" i="28" s="1"/>
  <c r="D178" i="28"/>
  <c r="C211" i="28"/>
  <c r="G211" i="28" s="1"/>
  <c r="D244" i="28"/>
  <c r="E244" i="28" s="1"/>
  <c r="C17" i="32"/>
  <c r="G17" i="32" s="1"/>
  <c r="C59" i="32"/>
  <c r="E96" i="32"/>
  <c r="C223" i="32"/>
  <c r="G223" i="32" s="1"/>
  <c r="E29" i="32"/>
  <c r="G29" i="32" s="1"/>
  <c r="E144" i="32"/>
  <c r="G144" i="32" s="1"/>
  <c r="E167" i="32"/>
  <c r="E194" i="32"/>
  <c r="G194" i="32" s="1"/>
  <c r="E60" i="32"/>
  <c r="C83" i="32"/>
  <c r="G83" i="32" s="1"/>
  <c r="C46" i="32"/>
  <c r="G46" i="32" s="1"/>
  <c r="C236" i="32"/>
  <c r="G236" i="32" s="1"/>
  <c r="E74" i="35"/>
  <c r="G74" i="35" s="1"/>
  <c r="C172" i="35"/>
  <c r="G172" i="35" s="1"/>
  <c r="E107" i="35"/>
  <c r="G107" i="35" s="1"/>
  <c r="E227" i="35"/>
  <c r="G227" i="35" s="1"/>
  <c r="C94" i="35"/>
  <c r="G94" i="35" s="1"/>
  <c r="C112" i="35"/>
  <c r="G112" i="35" s="1"/>
  <c r="E167" i="35"/>
  <c r="G167" i="35" s="1"/>
  <c r="E143" i="35"/>
  <c r="G143" i="35" s="1"/>
  <c r="H271" i="35"/>
  <c r="C271" i="35"/>
  <c r="G271" i="35" s="1"/>
  <c r="D113" i="35"/>
  <c r="D125" i="35"/>
  <c r="D137" i="35"/>
  <c r="D149" i="35"/>
  <c r="D161" i="35"/>
  <c r="D173" i="35"/>
  <c r="D185" i="35"/>
  <c r="D197" i="35"/>
  <c r="D209" i="35"/>
  <c r="D221" i="35"/>
  <c r="D233" i="35"/>
  <c r="D245" i="35"/>
  <c r="D257" i="35"/>
  <c r="D269" i="35"/>
  <c r="D40" i="35"/>
  <c r="D53" i="35"/>
  <c r="D76" i="35"/>
  <c r="D89" i="35"/>
  <c r="D106" i="35"/>
  <c r="D118" i="35"/>
  <c r="D130" i="35"/>
  <c r="D142" i="35"/>
  <c r="D154" i="35"/>
  <c r="D166" i="35"/>
  <c r="D178" i="35"/>
  <c r="D190" i="35"/>
  <c r="D202" i="35"/>
  <c r="D214" i="35"/>
  <c r="D226" i="35"/>
  <c r="D238" i="35"/>
  <c r="D250" i="35"/>
  <c r="D262" i="35"/>
  <c r="D37" i="35"/>
  <c r="C47" i="35"/>
  <c r="G47" i="35" s="1"/>
  <c r="D50" i="35"/>
  <c r="C70" i="35"/>
  <c r="G70" i="35" s="1"/>
  <c r="D73" i="35"/>
  <c r="C83" i="35"/>
  <c r="G83" i="35" s="1"/>
  <c r="D86" i="35"/>
  <c r="D110" i="35"/>
  <c r="D122" i="35"/>
  <c r="D134" i="35"/>
  <c r="D146" i="35"/>
  <c r="D158" i="35"/>
  <c r="D170" i="35"/>
  <c r="D182" i="35"/>
  <c r="D194" i="35"/>
  <c r="D206" i="35"/>
  <c r="D218" i="35"/>
  <c r="D230" i="35"/>
  <c r="D242" i="35"/>
  <c r="D254" i="35"/>
  <c r="D266" i="35"/>
  <c r="D80" i="35"/>
  <c r="D103" i="35"/>
  <c r="D115" i="35"/>
  <c r="D127" i="35"/>
  <c r="D139" i="35"/>
  <c r="D151" i="35"/>
  <c r="D163" i="35"/>
  <c r="D175" i="35"/>
  <c r="D187" i="35"/>
  <c r="D199" i="35"/>
  <c r="D211" i="35"/>
  <c r="D223" i="35"/>
  <c r="D235" i="35"/>
  <c r="D247" i="35"/>
  <c r="D259" i="35"/>
  <c r="D270" i="35"/>
  <c r="D267" i="35"/>
  <c r="D264" i="35"/>
  <c r="D261" i="35"/>
  <c r="D258" i="35"/>
  <c r="D255" i="35"/>
  <c r="D252" i="35"/>
  <c r="D249" i="35"/>
  <c r="D246" i="35"/>
  <c r="D243" i="35"/>
  <c r="D240" i="35"/>
  <c r="D237" i="35"/>
  <c r="D234" i="35"/>
  <c r="D231" i="35"/>
  <c r="D228" i="35"/>
  <c r="D225" i="35"/>
  <c r="D222" i="35"/>
  <c r="D219" i="35"/>
  <c r="D216" i="35"/>
  <c r="D213" i="35"/>
  <c r="D210" i="35"/>
  <c r="D207" i="35"/>
  <c r="D204" i="35"/>
  <c r="D201" i="35"/>
  <c r="D198" i="35"/>
  <c r="D195" i="35"/>
  <c r="D192" i="35"/>
  <c r="D189" i="35"/>
  <c r="D186" i="35"/>
  <c r="D183" i="35"/>
  <c r="D180" i="35"/>
  <c r="D177" i="35"/>
  <c r="D174" i="35"/>
  <c r="D171" i="35"/>
  <c r="D168" i="35"/>
  <c r="D165" i="35"/>
  <c r="D162" i="35"/>
  <c r="D159" i="35"/>
  <c r="D156" i="35"/>
  <c r="D153" i="35"/>
  <c r="D150" i="35"/>
  <c r="D147" i="35"/>
  <c r="D144" i="35"/>
  <c r="D141" i="35"/>
  <c r="D138" i="35"/>
  <c r="D135" i="35"/>
  <c r="D132" i="35"/>
  <c r="D129" i="35"/>
  <c r="D126" i="35"/>
  <c r="D123" i="35"/>
  <c r="D120" i="35"/>
  <c r="D117" i="35"/>
  <c r="D114" i="35"/>
  <c r="D111" i="35"/>
  <c r="D108" i="35"/>
  <c r="D105" i="35"/>
  <c r="D102" i="35"/>
  <c r="D99" i="35"/>
  <c r="D96" i="35"/>
  <c r="D93" i="35"/>
  <c r="D90" i="35"/>
  <c r="D87" i="35"/>
  <c r="D84" i="35"/>
  <c r="D81" i="35"/>
  <c r="D78" i="35"/>
  <c r="D75" i="35"/>
  <c r="D72" i="35"/>
  <c r="D69" i="35"/>
  <c r="D66" i="35"/>
  <c r="D63" i="35"/>
  <c r="D60" i="35"/>
  <c r="D57" i="35"/>
  <c r="D54" i="35"/>
  <c r="D51" i="35"/>
  <c r="D48" i="35"/>
  <c r="D45" i="35"/>
  <c r="D42" i="35"/>
  <c r="D39" i="35"/>
  <c r="D36" i="35"/>
  <c r="D33" i="35"/>
  <c r="D30" i="35"/>
  <c r="D27" i="35"/>
  <c r="D24" i="35"/>
  <c r="D21" i="35"/>
  <c r="E272" i="35"/>
  <c r="G272" i="35" s="1"/>
  <c r="D19" i="35"/>
  <c r="D32" i="35"/>
  <c r="D55" i="35"/>
  <c r="D68" i="35"/>
  <c r="D91" i="35"/>
  <c r="D104" i="35"/>
  <c r="D116" i="35"/>
  <c r="D128" i="35"/>
  <c r="D140" i="35"/>
  <c r="D152" i="35"/>
  <c r="D164" i="35"/>
  <c r="D176" i="35"/>
  <c r="D188" i="35"/>
  <c r="D200" i="35"/>
  <c r="D212" i="35"/>
  <c r="D224" i="35"/>
  <c r="D236" i="35"/>
  <c r="D248" i="35"/>
  <c r="D260" i="35"/>
  <c r="C68" i="34"/>
  <c r="E200" i="34"/>
  <c r="C200" i="34"/>
  <c r="G200" i="34" s="1"/>
  <c r="D270" i="34"/>
  <c r="D267" i="34"/>
  <c r="D264" i="34"/>
  <c r="D261" i="34"/>
  <c r="D258" i="34"/>
  <c r="D255" i="34"/>
  <c r="D252" i="34"/>
  <c r="D249" i="34"/>
  <c r="D246" i="34"/>
  <c r="D243" i="34"/>
  <c r="D240" i="34"/>
  <c r="D237" i="34"/>
  <c r="D234" i="34"/>
  <c r="D231" i="34"/>
  <c r="D228" i="34"/>
  <c r="D225" i="34"/>
  <c r="D222" i="34"/>
  <c r="D219" i="34"/>
  <c r="D216" i="34"/>
  <c r="D213" i="34"/>
  <c r="D210" i="34"/>
  <c r="D207" i="34"/>
  <c r="D204" i="34"/>
  <c r="D201" i="34"/>
  <c r="D198" i="34"/>
  <c r="D195" i="34"/>
  <c r="D192" i="34"/>
  <c r="D189" i="34"/>
  <c r="D186" i="34"/>
  <c r="D183" i="34"/>
  <c r="D180" i="34"/>
  <c r="D177" i="34"/>
  <c r="D174" i="34"/>
  <c r="D171" i="34"/>
  <c r="D168" i="34"/>
  <c r="D165" i="34"/>
  <c r="D162" i="34"/>
  <c r="D159" i="34"/>
  <c r="D156" i="34"/>
  <c r="D153" i="34"/>
  <c r="D150" i="34"/>
  <c r="D147" i="34"/>
  <c r="D144" i="34"/>
  <c r="D141" i="34"/>
  <c r="D138" i="34"/>
  <c r="D135" i="34"/>
  <c r="D132" i="34"/>
  <c r="D129" i="34"/>
  <c r="D126" i="34"/>
  <c r="D123" i="34"/>
  <c r="D120" i="34"/>
  <c r="D117" i="34"/>
  <c r="D114" i="34"/>
  <c r="D111" i="34"/>
  <c r="D108" i="34"/>
  <c r="D105" i="34"/>
  <c r="D102" i="34"/>
  <c r="D99" i="34"/>
  <c r="D96" i="34"/>
  <c r="D93" i="34"/>
  <c r="D90" i="34"/>
  <c r="D87" i="34"/>
  <c r="D84" i="34"/>
  <c r="D81" i="34"/>
  <c r="D78" i="34"/>
  <c r="D75" i="34"/>
  <c r="D72" i="34"/>
  <c r="D69" i="34"/>
  <c r="D66" i="34"/>
  <c r="D63" i="34"/>
  <c r="D60" i="34"/>
  <c r="D57" i="34"/>
  <c r="D54" i="34"/>
  <c r="D51" i="34"/>
  <c r="D48" i="34"/>
  <c r="D45" i="34"/>
  <c r="D42" i="34"/>
  <c r="D39" i="34"/>
  <c r="D36" i="34"/>
  <c r="D33" i="34"/>
  <c r="D30" i="34"/>
  <c r="D27" i="34"/>
  <c r="D24" i="34"/>
  <c r="D21" i="34"/>
  <c r="E272" i="34"/>
  <c r="C272" i="34"/>
  <c r="D221" i="34"/>
  <c r="D208" i="34"/>
  <c r="D185" i="34"/>
  <c r="D172" i="34"/>
  <c r="D149" i="34"/>
  <c r="D136" i="34"/>
  <c r="D113" i="34"/>
  <c r="D100" i="34"/>
  <c r="D77" i="34"/>
  <c r="D64" i="34"/>
  <c r="D41" i="34"/>
  <c r="D28" i="34"/>
  <c r="D260" i="34"/>
  <c r="D248" i="34"/>
  <c r="D236" i="34"/>
  <c r="D224" i="34"/>
  <c r="D211" i="34"/>
  <c r="D188" i="34"/>
  <c r="D175" i="34"/>
  <c r="D152" i="34"/>
  <c r="D139" i="34"/>
  <c r="D116" i="34"/>
  <c r="D103" i="34"/>
  <c r="D80" i="34"/>
  <c r="D67" i="34"/>
  <c r="D44" i="34"/>
  <c r="D31" i="34"/>
  <c r="D18" i="34"/>
  <c r="D271" i="34"/>
  <c r="D247" i="34"/>
  <c r="D223" i="34"/>
  <c r="D268" i="34"/>
  <c r="D256" i="34"/>
  <c r="D244" i="34"/>
  <c r="D232" i="34"/>
  <c r="D214" i="34"/>
  <c r="D191" i="34"/>
  <c r="D178" i="34"/>
  <c r="D155" i="34"/>
  <c r="D142" i="34"/>
  <c r="D119" i="34"/>
  <c r="D106" i="34"/>
  <c r="D83" i="34"/>
  <c r="D70" i="34"/>
  <c r="D47" i="34"/>
  <c r="D34" i="34"/>
  <c r="D235" i="34"/>
  <c r="D217" i="34"/>
  <c r="D194" i="34"/>
  <c r="D181" i="34"/>
  <c r="D158" i="34"/>
  <c r="D145" i="34"/>
  <c r="D122" i="34"/>
  <c r="D109" i="34"/>
  <c r="D86" i="34"/>
  <c r="D73" i="34"/>
  <c r="D50" i="34"/>
  <c r="D37" i="34"/>
  <c r="D263" i="34"/>
  <c r="D251" i="34"/>
  <c r="D239" i="34"/>
  <c r="D227" i="34"/>
  <c r="D220" i="34"/>
  <c r="D197" i="34"/>
  <c r="D184" i="34"/>
  <c r="D161" i="34"/>
  <c r="D148" i="34"/>
  <c r="D125" i="34"/>
  <c r="D112" i="34"/>
  <c r="D89" i="34"/>
  <c r="D76" i="34"/>
  <c r="D53" i="34"/>
  <c r="D40" i="34"/>
  <c r="D265" i="34"/>
  <c r="D250" i="34"/>
  <c r="D226" i="34"/>
  <c r="D94" i="34"/>
  <c r="D88" i="34"/>
  <c r="D82" i="34"/>
  <c r="D38" i="34"/>
  <c r="D32" i="34"/>
  <c r="D26" i="34"/>
  <c r="D20" i="34"/>
  <c r="D230" i="34"/>
  <c r="D46" i="34"/>
  <c r="D238" i="34"/>
  <c r="D257" i="34"/>
  <c r="D212" i="34"/>
  <c r="D133" i="34"/>
  <c r="D127" i="34"/>
  <c r="D121" i="34"/>
  <c r="D115" i="34"/>
  <c r="D71" i="34"/>
  <c r="D65" i="34"/>
  <c r="D59" i="34"/>
  <c r="D254" i="34"/>
  <c r="D29" i="34"/>
  <c r="D233" i="34"/>
  <c r="D166" i="34"/>
  <c r="D160" i="34"/>
  <c r="D154" i="34"/>
  <c r="D110" i="34"/>
  <c r="D104" i="34"/>
  <c r="D98" i="34"/>
  <c r="D92" i="34"/>
  <c r="D209" i="34"/>
  <c r="D97" i="34"/>
  <c r="D85" i="34"/>
  <c r="D241" i="34"/>
  <c r="D218" i="34"/>
  <c r="D205" i="34"/>
  <c r="D199" i="34"/>
  <c r="D193" i="34"/>
  <c r="D187" i="34"/>
  <c r="D143" i="34"/>
  <c r="D137" i="34"/>
  <c r="D131" i="34"/>
  <c r="D52" i="34"/>
  <c r="D91" i="34"/>
  <c r="D79" i="34"/>
  <c r="D35" i="34"/>
  <c r="D262" i="34"/>
  <c r="D182" i="34"/>
  <c r="D176" i="34"/>
  <c r="D170" i="34"/>
  <c r="D164" i="34"/>
  <c r="D25" i="34"/>
  <c r="D19" i="34"/>
  <c r="D269" i="34"/>
  <c r="D203" i="34"/>
  <c r="D58" i="34"/>
  <c r="D23" i="34"/>
  <c r="D266" i="34"/>
  <c r="D259" i="34"/>
  <c r="D245" i="34"/>
  <c r="D215" i="34"/>
  <c r="D169" i="34"/>
  <c r="D163" i="34"/>
  <c r="D157" i="34"/>
  <c r="D151" i="34"/>
  <c r="D107" i="34"/>
  <c r="D101" i="34"/>
  <c r="D95" i="34"/>
  <c r="D253" i="34"/>
  <c r="D229" i="34"/>
  <c r="D202" i="34"/>
  <c r="D196" i="34"/>
  <c r="D190" i="34"/>
  <c r="D146" i="34"/>
  <c r="D140" i="34"/>
  <c r="D134" i="34"/>
  <c r="D128" i="34"/>
  <c r="D56" i="34"/>
  <c r="D124" i="34"/>
  <c r="E17" i="34"/>
  <c r="C17" i="34"/>
  <c r="E118" i="34"/>
  <c r="D61" i="34"/>
  <c r="E62" i="34"/>
  <c r="C62" i="34"/>
  <c r="G55" i="34"/>
  <c r="E55" i="34"/>
  <c r="D173" i="34"/>
  <c r="E223" i="33"/>
  <c r="C223" i="33"/>
  <c r="G223" i="33" s="1"/>
  <c r="D22" i="33"/>
  <c r="D35" i="33"/>
  <c r="D122" i="33"/>
  <c r="D187" i="33"/>
  <c r="D37" i="33"/>
  <c r="D104" i="33"/>
  <c r="D212" i="33"/>
  <c r="D58" i="33"/>
  <c r="D115" i="33"/>
  <c r="D158" i="33"/>
  <c r="D270" i="33"/>
  <c r="D267" i="33"/>
  <c r="D264" i="33"/>
  <c r="D261" i="33"/>
  <c r="D258" i="33"/>
  <c r="D255" i="33"/>
  <c r="D252" i="33"/>
  <c r="D249" i="33"/>
  <c r="D246" i="33"/>
  <c r="D243" i="33"/>
  <c r="D240" i="33"/>
  <c r="D237" i="33"/>
  <c r="D234" i="33"/>
  <c r="D231" i="33"/>
  <c r="D228" i="33"/>
  <c r="D225" i="33"/>
  <c r="D222" i="33"/>
  <c r="D219" i="33"/>
  <c r="D216" i="33"/>
  <c r="D213" i="33"/>
  <c r="D210" i="33"/>
  <c r="D207" i="33"/>
  <c r="D204" i="33"/>
  <c r="D201" i="33"/>
  <c r="D198" i="33"/>
  <c r="D195" i="33"/>
  <c r="D192" i="33"/>
  <c r="D189" i="33"/>
  <c r="D186" i="33"/>
  <c r="D183" i="33"/>
  <c r="D180" i="33"/>
  <c r="D177" i="33"/>
  <c r="D174" i="33"/>
  <c r="D171" i="33"/>
  <c r="D168" i="33"/>
  <c r="D165" i="33"/>
  <c r="D162" i="33"/>
  <c r="D159" i="33"/>
  <c r="D156" i="33"/>
  <c r="D153" i="33"/>
  <c r="D150" i="33"/>
  <c r="D147" i="33"/>
  <c r="D144" i="33"/>
  <c r="D141" i="33"/>
  <c r="D138" i="33"/>
  <c r="D135" i="33"/>
  <c r="D132" i="33"/>
  <c r="D129" i="33"/>
  <c r="D126" i="33"/>
  <c r="D123" i="33"/>
  <c r="D120" i="33"/>
  <c r="D117" i="33"/>
  <c r="D114" i="33"/>
  <c r="D111" i="33"/>
  <c r="D108" i="33"/>
  <c r="D105" i="33"/>
  <c r="D102" i="33"/>
  <c r="D99" i="33"/>
  <c r="D96" i="33"/>
  <c r="D93" i="33"/>
  <c r="D90" i="33"/>
  <c r="D87" i="33"/>
  <c r="D84" i="33"/>
  <c r="D81" i="33"/>
  <c r="D78" i="33"/>
  <c r="D75" i="33"/>
  <c r="D72" i="33"/>
  <c r="D69" i="33"/>
  <c r="D66" i="33"/>
  <c r="D63" i="33"/>
  <c r="D60" i="33"/>
  <c r="D57" i="33"/>
  <c r="D54" i="33"/>
  <c r="D51" i="33"/>
  <c r="D48" i="33"/>
  <c r="D45" i="33"/>
  <c r="D42" i="33"/>
  <c r="D39" i="33"/>
  <c r="D36" i="33"/>
  <c r="D33" i="33"/>
  <c r="D30" i="33"/>
  <c r="D27" i="33"/>
  <c r="D24" i="33"/>
  <c r="D21" i="33"/>
  <c r="E272" i="33"/>
  <c r="D269" i="33"/>
  <c r="D262" i="33"/>
  <c r="D251" i="33"/>
  <c r="D244" i="33"/>
  <c r="D233" i="33"/>
  <c r="D226" i="33"/>
  <c r="D215" i="33"/>
  <c r="D208" i="33"/>
  <c r="D197" i="33"/>
  <c r="D190" i="33"/>
  <c r="D179" i="33"/>
  <c r="D172" i="33"/>
  <c r="D161" i="33"/>
  <c r="D154" i="33"/>
  <c r="D143" i="33"/>
  <c r="D136" i="33"/>
  <c r="D125" i="33"/>
  <c r="D118" i="33"/>
  <c r="D107" i="33"/>
  <c r="D100" i="33"/>
  <c r="D89" i="33"/>
  <c r="D76" i="33"/>
  <c r="D53" i="33"/>
  <c r="D40" i="33"/>
  <c r="D242" i="33"/>
  <c r="D188" i="33"/>
  <c r="D170" i="33"/>
  <c r="D91" i="33"/>
  <c r="D71" i="33"/>
  <c r="C272" i="33"/>
  <c r="G272" i="33" s="1"/>
  <c r="D79" i="33"/>
  <c r="D56" i="33"/>
  <c r="D43" i="33"/>
  <c r="D20" i="33"/>
  <c r="D17" i="33"/>
  <c r="D271" i="33"/>
  <c r="D163" i="33"/>
  <c r="D98" i="33"/>
  <c r="D265" i="33"/>
  <c r="D254" i="33"/>
  <c r="D247" i="33"/>
  <c r="D236" i="33"/>
  <c r="D229" i="33"/>
  <c r="D218" i="33"/>
  <c r="D211" i="33"/>
  <c r="D200" i="33"/>
  <c r="D193" i="33"/>
  <c r="D182" i="33"/>
  <c r="D175" i="33"/>
  <c r="D164" i="33"/>
  <c r="D157" i="33"/>
  <c r="D146" i="33"/>
  <c r="D139" i="33"/>
  <c r="D128" i="33"/>
  <c r="D121" i="33"/>
  <c r="D110" i="33"/>
  <c r="D103" i="33"/>
  <c r="D92" i="33"/>
  <c r="D82" i="33"/>
  <c r="D59" i="33"/>
  <c r="D46" i="33"/>
  <c r="D23" i="33"/>
  <c r="D253" i="33"/>
  <c r="D199" i="33"/>
  <c r="D152" i="33"/>
  <c r="D85" i="33"/>
  <c r="D62" i="33"/>
  <c r="D49" i="33"/>
  <c r="D26" i="33"/>
  <c r="D260" i="33"/>
  <c r="D235" i="33"/>
  <c r="D206" i="33"/>
  <c r="D145" i="33"/>
  <c r="D127" i="33"/>
  <c r="D268" i="33"/>
  <c r="D257" i="33"/>
  <c r="D250" i="33"/>
  <c r="D239" i="33"/>
  <c r="D232" i="33"/>
  <c r="D221" i="33"/>
  <c r="D214" i="33"/>
  <c r="D203" i="33"/>
  <c r="D196" i="33"/>
  <c r="D185" i="33"/>
  <c r="D178" i="33"/>
  <c r="D167" i="33"/>
  <c r="D160" i="33"/>
  <c r="D149" i="33"/>
  <c r="D142" i="33"/>
  <c r="D131" i="33"/>
  <c r="D124" i="33"/>
  <c r="D113" i="33"/>
  <c r="D106" i="33"/>
  <c r="D95" i="33"/>
  <c r="D88" i="33"/>
  <c r="D65" i="33"/>
  <c r="D52" i="33"/>
  <c r="D29" i="33"/>
  <c r="D116" i="33"/>
  <c r="D68" i="33"/>
  <c r="D55" i="33"/>
  <c r="D32" i="33"/>
  <c r="D19" i="33"/>
  <c r="D224" i="33"/>
  <c r="D217" i="33"/>
  <c r="D181" i="33"/>
  <c r="D134" i="33"/>
  <c r="D109" i="33"/>
  <c r="D74" i="33"/>
  <c r="D61" i="33"/>
  <c r="D38" i="33"/>
  <c r="D25" i="33"/>
  <c r="D67" i="33"/>
  <c r="D266" i="33"/>
  <c r="D259" i="33"/>
  <c r="D248" i="33"/>
  <c r="D230" i="33"/>
  <c r="D263" i="33"/>
  <c r="D256" i="33"/>
  <c r="D245" i="33"/>
  <c r="D238" i="33"/>
  <c r="D227" i="33"/>
  <c r="D220" i="33"/>
  <c r="D209" i="33"/>
  <c r="D202" i="33"/>
  <c r="D191" i="33"/>
  <c r="D184" i="33"/>
  <c r="D173" i="33"/>
  <c r="D166" i="33"/>
  <c r="D155" i="33"/>
  <c r="D148" i="33"/>
  <c r="D137" i="33"/>
  <c r="D130" i="33"/>
  <c r="D119" i="33"/>
  <c r="D112" i="33"/>
  <c r="D101" i="33"/>
  <c r="D94" i="33"/>
  <c r="D77" i="33"/>
  <c r="D64" i="33"/>
  <c r="D41" i="33"/>
  <c r="D28" i="33"/>
  <c r="D18" i="33"/>
  <c r="D241" i="33"/>
  <c r="D80" i="33"/>
  <c r="D44" i="33"/>
  <c r="D31" i="33"/>
  <c r="D151" i="33"/>
  <c r="D73" i="33"/>
  <c r="D133" i="33"/>
  <c r="D176" i="33"/>
  <c r="D83" i="33"/>
  <c r="D169" i="33"/>
  <c r="D86" i="33"/>
  <c r="D70" i="33"/>
  <c r="D194" i="33"/>
  <c r="D50" i="33"/>
  <c r="D97" i="33"/>
  <c r="D140" i="33"/>
  <c r="D205" i="33"/>
  <c r="D34" i="33"/>
  <c r="D47" i="33"/>
  <c r="C66" i="32"/>
  <c r="E66" i="32"/>
  <c r="E121" i="32"/>
  <c r="G121" i="32" s="1"/>
  <c r="G203" i="32"/>
  <c r="E50" i="32"/>
  <c r="G50" i="32" s="1"/>
  <c r="E242" i="32"/>
  <c r="G242" i="32" s="1"/>
  <c r="G96" i="32"/>
  <c r="C128" i="32"/>
  <c r="G128" i="32" s="1"/>
  <c r="C210" i="32"/>
  <c r="E210" i="32"/>
  <c r="C57" i="32"/>
  <c r="E57" i="32"/>
  <c r="C30" i="32"/>
  <c r="E30" i="32"/>
  <c r="G177" i="32"/>
  <c r="G122" i="32"/>
  <c r="C138" i="32"/>
  <c r="G138" i="32" s="1"/>
  <c r="E138" i="32"/>
  <c r="E145" i="32"/>
  <c r="G145" i="32" s="1"/>
  <c r="E177" i="32"/>
  <c r="C240" i="32"/>
  <c r="G240" i="32" s="1"/>
  <c r="E240" i="32"/>
  <c r="E73" i="32"/>
  <c r="E105" i="32"/>
  <c r="G105" i="32" s="1"/>
  <c r="G154" i="32"/>
  <c r="E24" i="32"/>
  <c r="G24" i="32" s="1"/>
  <c r="E37" i="32"/>
  <c r="G37" i="32" s="1"/>
  <c r="C92" i="32"/>
  <c r="G92" i="32" s="1"/>
  <c r="E122" i="32"/>
  <c r="E170" i="32"/>
  <c r="G170" i="32" s="1"/>
  <c r="C178" i="32"/>
  <c r="G178" i="32" s="1"/>
  <c r="C187" i="32"/>
  <c r="G187" i="32" s="1"/>
  <c r="C204" i="32"/>
  <c r="E204" i="32"/>
  <c r="E253" i="32"/>
  <c r="C253" i="32"/>
  <c r="C266" i="32"/>
  <c r="G266" i="32" s="1"/>
  <c r="E230" i="32"/>
  <c r="C230" i="32"/>
  <c r="G230" i="32" s="1"/>
  <c r="G59" i="32"/>
  <c r="E193" i="32"/>
  <c r="G193" i="32" s="1"/>
  <c r="G226" i="32"/>
  <c r="E39" i="32"/>
  <c r="G39" i="32" s="1"/>
  <c r="E85" i="32"/>
  <c r="G85" i="32" s="1"/>
  <c r="E216" i="32"/>
  <c r="G216" i="32" s="1"/>
  <c r="C93" i="32"/>
  <c r="E93" i="32"/>
  <c r="C246" i="32"/>
  <c r="E246" i="32"/>
  <c r="E168" i="32"/>
  <c r="E69" i="32"/>
  <c r="E206" i="32"/>
  <c r="G206" i="32" s="1"/>
  <c r="E132" i="32"/>
  <c r="G132" i="32" s="1"/>
  <c r="G73" i="32"/>
  <c r="G168" i="32"/>
  <c r="E98" i="32"/>
  <c r="G98" i="32" s="1"/>
  <c r="E129" i="32"/>
  <c r="G69" i="32"/>
  <c r="G118" i="32"/>
  <c r="E180" i="32"/>
  <c r="G180" i="32" s="1"/>
  <c r="E33" i="32"/>
  <c r="G33" i="32" s="1"/>
  <c r="C102" i="32"/>
  <c r="E102" i="32"/>
  <c r="E109" i="32"/>
  <c r="G109" i="32" s="1"/>
  <c r="E141" i="32"/>
  <c r="G141" i="32" s="1"/>
  <c r="E157" i="32"/>
  <c r="G157" i="32" s="1"/>
  <c r="G190" i="32"/>
  <c r="E86" i="32"/>
  <c r="G86" i="32" s="1"/>
  <c r="E134" i="32"/>
  <c r="G134" i="32" s="1"/>
  <c r="C165" i="32"/>
  <c r="G165" i="32" s="1"/>
  <c r="E165" i="32"/>
  <c r="D270" i="32"/>
  <c r="D267" i="32"/>
  <c r="D264" i="32"/>
  <c r="D261" i="32"/>
  <c r="D258" i="32"/>
  <c r="E272" i="32"/>
  <c r="C272" i="32"/>
  <c r="G272" i="32" s="1"/>
  <c r="D248" i="32"/>
  <c r="D235" i="32"/>
  <c r="D222" i="32"/>
  <c r="D212" i="32"/>
  <c r="D199" i="32"/>
  <c r="D186" i="32"/>
  <c r="D176" i="32"/>
  <c r="D163" i="32"/>
  <c r="D150" i="32"/>
  <c r="D140" i="32"/>
  <c r="D127" i="32"/>
  <c r="D114" i="32"/>
  <c r="D104" i="32"/>
  <c r="D91" i="32"/>
  <c r="D78" i="32"/>
  <c r="D68" i="32"/>
  <c r="D55" i="32"/>
  <c r="D42" i="32"/>
  <c r="D32" i="32"/>
  <c r="D19" i="32"/>
  <c r="D260" i="32"/>
  <c r="D237" i="32"/>
  <c r="D265" i="32"/>
  <c r="D251" i="32"/>
  <c r="D238" i="32"/>
  <c r="D225" i="32"/>
  <c r="D215" i="32"/>
  <c r="D202" i="32"/>
  <c r="D189" i="32"/>
  <c r="D179" i="32"/>
  <c r="D166" i="32"/>
  <c r="D153" i="32"/>
  <c r="D143" i="32"/>
  <c r="D130" i="32"/>
  <c r="D117" i="32"/>
  <c r="D107" i="32"/>
  <c r="D94" i="32"/>
  <c r="D81" i="32"/>
  <c r="D71" i="32"/>
  <c r="D58" i="32"/>
  <c r="D45" i="32"/>
  <c r="D35" i="32"/>
  <c r="D22" i="32"/>
  <c r="D250" i="32"/>
  <c r="D214" i="32"/>
  <c r="D201" i="32"/>
  <c r="D254" i="32"/>
  <c r="D241" i="32"/>
  <c r="D228" i="32"/>
  <c r="D218" i="32"/>
  <c r="D205" i="32"/>
  <c r="D192" i="32"/>
  <c r="D182" i="32"/>
  <c r="D169" i="32"/>
  <c r="D156" i="32"/>
  <c r="D146" i="32"/>
  <c r="D133" i="32"/>
  <c r="D120" i="32"/>
  <c r="D110" i="32"/>
  <c r="D97" i="32"/>
  <c r="D84" i="32"/>
  <c r="D74" i="32"/>
  <c r="D61" i="32"/>
  <c r="D48" i="32"/>
  <c r="D38" i="32"/>
  <c r="D25" i="32"/>
  <c r="D31" i="32"/>
  <c r="D271" i="32"/>
  <c r="D227" i="32"/>
  <c r="D191" i="32"/>
  <c r="D268" i="32"/>
  <c r="D257" i="32"/>
  <c r="D244" i="32"/>
  <c r="D231" i="32"/>
  <c r="D221" i="32"/>
  <c r="D208" i="32"/>
  <c r="D195" i="32"/>
  <c r="D185" i="32"/>
  <c r="D172" i="32"/>
  <c r="D159" i="32"/>
  <c r="D149" i="32"/>
  <c r="D136" i="32"/>
  <c r="D123" i="32"/>
  <c r="D113" i="32"/>
  <c r="D100" i="32"/>
  <c r="D87" i="32"/>
  <c r="D77" i="32"/>
  <c r="D64" i="32"/>
  <c r="D51" i="32"/>
  <c r="D41" i="32"/>
  <c r="D28" i="32"/>
  <c r="D247" i="32"/>
  <c r="D234" i="32"/>
  <c r="D224" i="32"/>
  <c r="D211" i="32"/>
  <c r="D198" i="32"/>
  <c r="D188" i="32"/>
  <c r="D175" i="32"/>
  <c r="D162" i="32"/>
  <c r="D152" i="32"/>
  <c r="D139" i="32"/>
  <c r="D126" i="32"/>
  <c r="D116" i="32"/>
  <c r="D103" i="32"/>
  <c r="D90" i="32"/>
  <c r="D80" i="32"/>
  <c r="D67" i="32"/>
  <c r="D54" i="32"/>
  <c r="D44" i="32"/>
  <c r="D18" i="32"/>
  <c r="D263" i="32"/>
  <c r="D256" i="32"/>
  <c r="D243" i="32"/>
  <c r="D233" i="32"/>
  <c r="D220" i="32"/>
  <c r="D207" i="32"/>
  <c r="D197" i="32"/>
  <c r="D184" i="32"/>
  <c r="D171" i="32"/>
  <c r="D161" i="32"/>
  <c r="D148" i="32"/>
  <c r="D135" i="32"/>
  <c r="D125" i="32"/>
  <c r="D112" i="32"/>
  <c r="D99" i="32"/>
  <c r="D89" i="32"/>
  <c r="D76" i="32"/>
  <c r="D63" i="32"/>
  <c r="D53" i="32"/>
  <c r="D40" i="32"/>
  <c r="D27" i="32"/>
  <c r="D269" i="32"/>
  <c r="D262" i="32"/>
  <c r="D255" i="32"/>
  <c r="D245" i="32"/>
  <c r="D232" i="32"/>
  <c r="D219" i="32"/>
  <c r="D209" i="32"/>
  <c r="D196" i="32"/>
  <c r="D183" i="32"/>
  <c r="D173" i="32"/>
  <c r="D160" i="32"/>
  <c r="D147" i="32"/>
  <c r="D137" i="32"/>
  <c r="D124" i="32"/>
  <c r="D111" i="32"/>
  <c r="D101" i="32"/>
  <c r="D88" i="32"/>
  <c r="D75" i="32"/>
  <c r="D65" i="32"/>
  <c r="D52" i="32"/>
  <c r="D21" i="32"/>
  <c r="D34" i="32"/>
  <c r="D49" i="32"/>
  <c r="D56" i="32"/>
  <c r="E72" i="32"/>
  <c r="G72" i="32" s="1"/>
  <c r="C119" i="32"/>
  <c r="G119" i="32" s="1"/>
  <c r="D142" i="32"/>
  <c r="C151" i="32"/>
  <c r="G151" i="32" s="1"/>
  <c r="D158" i="32"/>
  <c r="D174" i="32"/>
  <c r="C200" i="32"/>
  <c r="G200" i="32" s="1"/>
  <c r="E229" i="32"/>
  <c r="G229" i="32" s="1"/>
  <c r="D239" i="32"/>
  <c r="D249" i="32"/>
  <c r="D259" i="32"/>
  <c r="D27" i="30"/>
  <c r="C27" i="30" s="1"/>
  <c r="D263" i="30"/>
  <c r="C263" i="30" s="1"/>
  <c r="D135" i="30"/>
  <c r="D155" i="30"/>
  <c r="E155" i="30" s="1"/>
  <c r="D28" i="30"/>
  <c r="E28" i="30" s="1"/>
  <c r="D158" i="30"/>
  <c r="D123" i="30"/>
  <c r="C123" i="30" s="1"/>
  <c r="D257" i="30"/>
  <c r="E257" i="30" s="1"/>
  <c r="D132" i="30"/>
  <c r="C132" i="30" s="1"/>
  <c r="D266" i="30"/>
  <c r="E266" i="30" s="1"/>
  <c r="D34" i="30"/>
  <c r="E34" i="30" s="1"/>
  <c r="D191" i="30"/>
  <c r="E191" i="30" s="1"/>
  <c r="D57" i="30"/>
  <c r="C57" i="30" s="1"/>
  <c r="C194" i="30"/>
  <c r="G194" i="30" s="1"/>
  <c r="D82" i="29"/>
  <c r="D23" i="29"/>
  <c r="E23" i="29" s="1"/>
  <c r="D59" i="29"/>
  <c r="E59" i="29" s="1"/>
  <c r="D85" i="29"/>
  <c r="E85" i="29" s="1"/>
  <c r="D221" i="29"/>
  <c r="C221" i="29" s="1"/>
  <c r="G221" i="29" s="1"/>
  <c r="D52" i="29"/>
  <c r="E52" i="29" s="1"/>
  <c r="D110" i="29"/>
  <c r="E110" i="29" s="1"/>
  <c r="D113" i="29"/>
  <c r="E113" i="29" s="1"/>
  <c r="D136" i="29"/>
  <c r="E136" i="29" s="1"/>
  <c r="D110" i="27"/>
  <c r="E110" i="27" s="1"/>
  <c r="D118" i="27"/>
  <c r="C118" i="27" s="1"/>
  <c r="D267" i="27"/>
  <c r="E267" i="27" s="1"/>
  <c r="D123" i="27"/>
  <c r="E123" i="27" s="1"/>
  <c r="D190" i="27"/>
  <c r="C190" i="27" s="1"/>
  <c r="D138" i="27"/>
  <c r="E138" i="27" s="1"/>
  <c r="D79" i="27"/>
  <c r="C79" i="27" s="1"/>
  <c r="D141" i="27"/>
  <c r="E141" i="27" s="1"/>
  <c r="D208" i="27"/>
  <c r="C208" i="27" s="1"/>
  <c r="D32" i="27"/>
  <c r="E32" i="27" s="1"/>
  <c r="D80" i="27"/>
  <c r="E80" i="27" s="1"/>
  <c r="D142" i="27"/>
  <c r="C142" i="27" s="1"/>
  <c r="D209" i="27"/>
  <c r="E209" i="27" s="1"/>
  <c r="D255" i="27"/>
  <c r="E255" i="27" s="1"/>
  <c r="D48" i="27"/>
  <c r="D111" i="27"/>
  <c r="E111" i="27" s="1"/>
  <c r="D51" i="27"/>
  <c r="E51" i="27" s="1"/>
  <c r="D61" i="27"/>
  <c r="C61" i="27" s="1"/>
  <c r="D71" i="27"/>
  <c r="E71" i="27" s="1"/>
  <c r="D21" i="27"/>
  <c r="D169" i="27"/>
  <c r="C169" i="27" s="1"/>
  <c r="D264" i="27"/>
  <c r="D119" i="27"/>
  <c r="E119" i="27" s="1"/>
  <c r="D20" i="27"/>
  <c r="D268" i="27"/>
  <c r="C268" i="27" s="1"/>
  <c r="D73" i="27"/>
  <c r="C73" i="27" s="1"/>
  <c r="D75" i="27"/>
  <c r="E75" i="27" s="1"/>
  <c r="D26" i="27"/>
  <c r="E26" i="27" s="1"/>
  <c r="D40" i="27"/>
  <c r="C40" i="27" s="1"/>
  <c r="D82" i="27"/>
  <c r="C82" i="27" s="1"/>
  <c r="D146" i="27"/>
  <c r="E146" i="27" s="1"/>
  <c r="D44" i="27"/>
  <c r="E44" i="27" s="1"/>
  <c r="D96" i="27"/>
  <c r="E96" i="27" s="1"/>
  <c r="D152" i="27"/>
  <c r="E152" i="27" s="1"/>
  <c r="D219" i="27"/>
  <c r="D165" i="27"/>
  <c r="E165" i="27" s="1"/>
  <c r="D172" i="27"/>
  <c r="C172" i="27" s="1"/>
  <c r="D179" i="27"/>
  <c r="D133" i="27"/>
  <c r="C133" i="27" s="1"/>
  <c r="D200" i="27"/>
  <c r="E200" i="27" s="1"/>
  <c r="D47" i="27"/>
  <c r="E47" i="27" s="1"/>
  <c r="D101" i="27"/>
  <c r="E101" i="27" s="1"/>
  <c r="D163" i="27"/>
  <c r="C163" i="27" s="1"/>
  <c r="D232" i="27"/>
  <c r="C232" i="27" s="1"/>
  <c r="D223" i="26"/>
  <c r="E223" i="26" s="1"/>
  <c r="D87" i="25"/>
  <c r="C87" i="25" s="1"/>
  <c r="D57" i="25"/>
  <c r="C57" i="25" s="1"/>
  <c r="D131" i="25"/>
  <c r="E131" i="25" s="1"/>
  <c r="D105" i="4"/>
  <c r="D133" i="4"/>
  <c r="C133" i="4" s="1"/>
  <c r="D26" i="4"/>
  <c r="C26" i="4" s="1"/>
  <c r="D22" i="4"/>
  <c r="E22" i="4" s="1"/>
  <c r="D117" i="4"/>
  <c r="C117" i="4" s="1"/>
  <c r="D244" i="4"/>
  <c r="C244" i="4" s="1"/>
  <c r="D38" i="4"/>
  <c r="D50" i="4"/>
  <c r="D62" i="4"/>
  <c r="D102" i="30"/>
  <c r="C102" i="30" s="1"/>
  <c r="D73" i="30"/>
  <c r="E73" i="30" s="1"/>
  <c r="D139" i="30"/>
  <c r="E139" i="30" s="1"/>
  <c r="D208" i="30"/>
  <c r="E208" i="30" s="1"/>
  <c r="D40" i="30"/>
  <c r="E40" i="30" s="1"/>
  <c r="D113" i="30"/>
  <c r="E113" i="30" s="1"/>
  <c r="D174" i="30"/>
  <c r="C174" i="30" s="1"/>
  <c r="D270" i="30"/>
  <c r="C270" i="30" s="1"/>
  <c r="D50" i="30"/>
  <c r="E50" i="30" s="1"/>
  <c r="D115" i="30"/>
  <c r="C115" i="30" s="1"/>
  <c r="D175" i="30"/>
  <c r="E175" i="30" s="1"/>
  <c r="D18" i="30"/>
  <c r="E18" i="30" s="1"/>
  <c r="D51" i="30"/>
  <c r="D116" i="30"/>
  <c r="C116" i="30" s="1"/>
  <c r="D149" i="30"/>
  <c r="E149" i="30" s="1"/>
  <c r="D178" i="30"/>
  <c r="E178" i="30" s="1"/>
  <c r="D214" i="30"/>
  <c r="E214" i="30" s="1"/>
  <c r="D204" i="30"/>
  <c r="C204" i="30" s="1"/>
  <c r="D70" i="30"/>
  <c r="D171" i="30"/>
  <c r="C171" i="30" s="1"/>
  <c r="D207" i="30"/>
  <c r="D244" i="30"/>
  <c r="E244" i="30" s="1"/>
  <c r="D247" i="30"/>
  <c r="E247" i="30" s="1"/>
  <c r="D20" i="30"/>
  <c r="C20" i="30" s="1"/>
  <c r="D53" i="30"/>
  <c r="E53" i="30" s="1"/>
  <c r="D86" i="30"/>
  <c r="D119" i="30"/>
  <c r="E119" i="30" s="1"/>
  <c r="D151" i="30"/>
  <c r="C151" i="30" s="1"/>
  <c r="D187" i="30"/>
  <c r="C187" i="30" s="1"/>
  <c r="D217" i="30"/>
  <c r="E217" i="30" s="1"/>
  <c r="D250" i="30"/>
  <c r="D100" i="30"/>
  <c r="D168" i="30"/>
  <c r="C168" i="30" s="1"/>
  <c r="D234" i="30"/>
  <c r="C234" i="30" s="1"/>
  <c r="D267" i="30"/>
  <c r="C267" i="30" s="1"/>
  <c r="D37" i="30"/>
  <c r="D138" i="30"/>
  <c r="C138" i="30" s="1"/>
  <c r="D236" i="30"/>
  <c r="C236" i="30" s="1"/>
  <c r="D39" i="30"/>
  <c r="C39" i="30" s="1"/>
  <c r="D103" i="30"/>
  <c r="C103" i="30" s="1"/>
  <c r="D172" i="30"/>
  <c r="E172" i="30" s="1"/>
  <c r="D269" i="30"/>
  <c r="D210" i="30"/>
  <c r="C210" i="30" s="1"/>
  <c r="D246" i="30"/>
  <c r="C246" i="30" s="1"/>
  <c r="D17" i="30"/>
  <c r="C17" i="30" s="1"/>
  <c r="D83" i="30"/>
  <c r="D142" i="30"/>
  <c r="D211" i="30"/>
  <c r="E211" i="30" s="1"/>
  <c r="D21" i="30"/>
  <c r="C21" i="30" s="1"/>
  <c r="D54" i="30"/>
  <c r="C54" i="30" s="1"/>
  <c r="D87" i="30"/>
  <c r="C87" i="30" s="1"/>
  <c r="D152" i="30"/>
  <c r="E152" i="30" s="1"/>
  <c r="D188" i="30"/>
  <c r="D227" i="30"/>
  <c r="E227" i="30" s="1"/>
  <c r="D253" i="30"/>
  <c r="E253" i="30" s="1"/>
  <c r="D136" i="30"/>
  <c r="E136" i="30" s="1"/>
  <c r="D24" i="30"/>
  <c r="C24" i="30" s="1"/>
  <c r="D56" i="30"/>
  <c r="C56" i="30" s="1"/>
  <c r="D93" i="30"/>
  <c r="C93" i="30" s="1"/>
  <c r="D122" i="30"/>
  <c r="D230" i="30"/>
  <c r="E230" i="30" s="1"/>
  <c r="D256" i="30"/>
  <c r="E256" i="30" s="1"/>
  <c r="D109" i="31"/>
  <c r="D155" i="31"/>
  <c r="E155" i="31" s="1"/>
  <c r="D157" i="31"/>
  <c r="E157" i="31" s="1"/>
  <c r="D203" i="31"/>
  <c r="E203" i="31" s="1"/>
  <c r="D205" i="31"/>
  <c r="C205" i="31" s="1"/>
  <c r="D227" i="31"/>
  <c r="E227" i="31" s="1"/>
  <c r="D229" i="31"/>
  <c r="E229" i="31" s="1"/>
  <c r="D251" i="31"/>
  <c r="E251" i="31" s="1"/>
  <c r="D253" i="31"/>
  <c r="C253" i="31" s="1"/>
  <c r="E57" i="30"/>
  <c r="G57" i="30" s="1"/>
  <c r="D60" i="30"/>
  <c r="D44" i="30"/>
  <c r="C44" i="30" s="1"/>
  <c r="D63" i="30"/>
  <c r="C63" i="30" s="1"/>
  <c r="D79" i="30"/>
  <c r="C79" i="30" s="1"/>
  <c r="D90" i="30"/>
  <c r="D126" i="30"/>
  <c r="C126" i="30" s="1"/>
  <c r="D162" i="30"/>
  <c r="C162" i="30" s="1"/>
  <c r="D184" i="30"/>
  <c r="E184" i="30" s="1"/>
  <c r="D198" i="30"/>
  <c r="C198" i="30" s="1"/>
  <c r="D240" i="30"/>
  <c r="C240" i="30" s="1"/>
  <c r="D31" i="30"/>
  <c r="D47" i="30"/>
  <c r="E47" i="30" s="1"/>
  <c r="D64" i="30"/>
  <c r="E64" i="30" s="1"/>
  <c r="D112" i="30"/>
  <c r="D128" i="30"/>
  <c r="C128" i="30" s="1"/>
  <c r="D148" i="30"/>
  <c r="D164" i="30"/>
  <c r="C164" i="30" s="1"/>
  <c r="D200" i="30"/>
  <c r="C200" i="30" s="1"/>
  <c r="D223" i="30"/>
  <c r="C223" i="30" s="1"/>
  <c r="D243" i="30"/>
  <c r="C243" i="30" s="1"/>
  <c r="D259" i="30"/>
  <c r="C259" i="30" s="1"/>
  <c r="D221" i="30"/>
  <c r="C34" i="30"/>
  <c r="G34" i="30" s="1"/>
  <c r="D66" i="30"/>
  <c r="D80" i="30"/>
  <c r="D92" i="30"/>
  <c r="C92" i="30" s="1"/>
  <c r="D129" i="30"/>
  <c r="C129" i="30" s="1"/>
  <c r="D165" i="30"/>
  <c r="C165" i="30" s="1"/>
  <c r="D185" i="30"/>
  <c r="D201" i="30"/>
  <c r="C201" i="30" s="1"/>
  <c r="D224" i="30"/>
  <c r="D260" i="30"/>
  <c r="E260" i="30" s="1"/>
  <c r="D29" i="30"/>
  <c r="E29" i="30" s="1"/>
  <c r="D41" i="30"/>
  <c r="D76" i="30"/>
  <c r="E76" i="30" s="1"/>
  <c r="D106" i="30"/>
  <c r="E106" i="30" s="1"/>
  <c r="D159" i="30"/>
  <c r="C159" i="30" s="1"/>
  <c r="D195" i="30"/>
  <c r="C195" i="30" s="1"/>
  <c r="D220" i="30"/>
  <c r="E220" i="30" s="1"/>
  <c r="D237" i="30"/>
  <c r="D30" i="30"/>
  <c r="C30" i="30" s="1"/>
  <c r="D43" i="30"/>
  <c r="C43" i="30" s="1"/>
  <c r="D77" i="30"/>
  <c r="E77" i="30" s="1"/>
  <c r="D89" i="30"/>
  <c r="D109" i="30"/>
  <c r="E109" i="30" s="1"/>
  <c r="D125" i="30"/>
  <c r="D145" i="30"/>
  <c r="E145" i="30" s="1"/>
  <c r="D161" i="30"/>
  <c r="E161" i="30" s="1"/>
  <c r="D181" i="30"/>
  <c r="D197" i="30"/>
  <c r="E197" i="30" s="1"/>
  <c r="C257" i="30"/>
  <c r="G257" i="30" s="1"/>
  <c r="D116" i="29"/>
  <c r="C116" i="29" s="1"/>
  <c r="E137" i="29"/>
  <c r="G137" i="29" s="1"/>
  <c r="D229" i="29"/>
  <c r="D62" i="29"/>
  <c r="D118" i="29"/>
  <c r="E118" i="29" s="1"/>
  <c r="D139" i="29"/>
  <c r="C139" i="29" s="1"/>
  <c r="D182" i="29"/>
  <c r="D242" i="29"/>
  <c r="C242" i="29" s="1"/>
  <c r="D25" i="29"/>
  <c r="D64" i="29"/>
  <c r="E64" i="29" s="1"/>
  <c r="D88" i="29"/>
  <c r="D121" i="29"/>
  <c r="E121" i="29" s="1"/>
  <c r="D185" i="29"/>
  <c r="E185" i="29" s="1"/>
  <c r="D91" i="29"/>
  <c r="C91" i="29" s="1"/>
  <c r="D146" i="29"/>
  <c r="D188" i="29"/>
  <c r="C188" i="29" s="1"/>
  <c r="D248" i="29"/>
  <c r="D26" i="29"/>
  <c r="E26" i="29" s="1"/>
  <c r="D29" i="29"/>
  <c r="E29" i="29" s="1"/>
  <c r="D65" i="29"/>
  <c r="D95" i="29"/>
  <c r="E95" i="29" s="1"/>
  <c r="D124" i="29"/>
  <c r="D152" i="29"/>
  <c r="E152" i="29" s="1"/>
  <c r="D190" i="29"/>
  <c r="D253" i="29"/>
  <c r="C253" i="29" s="1"/>
  <c r="D31" i="29"/>
  <c r="C31" i="29" s="1"/>
  <c r="D68" i="29"/>
  <c r="C68" i="29" s="1"/>
  <c r="D97" i="29"/>
  <c r="E97" i="29" s="1"/>
  <c r="D127" i="29"/>
  <c r="C127" i="29" s="1"/>
  <c r="D157" i="29"/>
  <c r="C157" i="29" s="1"/>
  <c r="D196" i="29"/>
  <c r="C196" i="29" s="1"/>
  <c r="D259" i="29"/>
  <c r="E259" i="29" s="1"/>
  <c r="D32" i="29"/>
  <c r="C32" i="29" s="1"/>
  <c r="D98" i="29"/>
  <c r="E98" i="29" s="1"/>
  <c r="D131" i="29"/>
  <c r="C131" i="29" s="1"/>
  <c r="D160" i="29"/>
  <c r="C160" i="29" s="1"/>
  <c r="D205" i="29"/>
  <c r="E205" i="29" s="1"/>
  <c r="D266" i="29"/>
  <c r="E266" i="29" s="1"/>
  <c r="D211" i="29"/>
  <c r="C211" i="29" s="1"/>
  <c r="D74" i="29"/>
  <c r="D101" i="29"/>
  <c r="C101" i="29" s="1"/>
  <c r="D206" i="29"/>
  <c r="E206" i="29" s="1"/>
  <c r="D41" i="29"/>
  <c r="D77" i="29"/>
  <c r="E77" i="29" s="1"/>
  <c r="D103" i="29"/>
  <c r="C103" i="29" s="1"/>
  <c r="D133" i="29"/>
  <c r="D169" i="29"/>
  <c r="D46" i="29"/>
  <c r="E46" i="29" s="1"/>
  <c r="D80" i="29"/>
  <c r="C80" i="29" s="1"/>
  <c r="D104" i="29"/>
  <c r="C104" i="29" s="1"/>
  <c r="C136" i="29"/>
  <c r="D170" i="29"/>
  <c r="E170" i="29" s="1"/>
  <c r="D218" i="29"/>
  <c r="E218" i="29" s="1"/>
  <c r="C106" i="30"/>
  <c r="G106" i="30" s="1"/>
  <c r="C73" i="30"/>
  <c r="G73" i="30" s="1"/>
  <c r="C214" i="30"/>
  <c r="G214" i="30" s="1"/>
  <c r="C172" i="30"/>
  <c r="G172" i="30" s="1"/>
  <c r="C220" i="30"/>
  <c r="G220" i="30" s="1"/>
  <c r="C26" i="29"/>
  <c r="C59" i="29"/>
  <c r="G59" i="29" s="1"/>
  <c r="C98" i="29"/>
  <c r="G98" i="29" s="1"/>
  <c r="C85" i="29"/>
  <c r="G85" i="29" s="1"/>
  <c r="C185" i="29"/>
  <c r="G185" i="29" s="1"/>
  <c r="C110" i="29"/>
  <c r="G110" i="29" s="1"/>
  <c r="C23" i="29"/>
  <c r="G23" i="29" s="1"/>
  <c r="E160" i="29"/>
  <c r="G160" i="29" s="1"/>
  <c r="C46" i="29"/>
  <c r="G46" i="29" s="1"/>
  <c r="E253" i="29"/>
  <c r="G253" i="29" s="1"/>
  <c r="C52" i="29"/>
  <c r="G52" i="29" s="1"/>
  <c r="C97" i="29"/>
  <c r="G97" i="29" s="1"/>
  <c r="C118" i="29"/>
  <c r="G118" i="29" s="1"/>
  <c r="E107" i="31"/>
  <c r="C107" i="31"/>
  <c r="C157" i="31"/>
  <c r="D270" i="31"/>
  <c r="D267" i="31"/>
  <c r="D264" i="31"/>
  <c r="D261" i="31"/>
  <c r="D258" i="31"/>
  <c r="D255" i="31"/>
  <c r="D252" i="31"/>
  <c r="D249" i="31"/>
  <c r="D246" i="31"/>
  <c r="D243" i="31"/>
  <c r="D240" i="31"/>
  <c r="D237" i="31"/>
  <c r="D234" i="31"/>
  <c r="D231" i="31"/>
  <c r="D228" i="31"/>
  <c r="D225" i="31"/>
  <c r="D222" i="31"/>
  <c r="D219" i="31"/>
  <c r="D216" i="31"/>
  <c r="D213" i="31"/>
  <c r="D210" i="31"/>
  <c r="D207" i="31"/>
  <c r="D204" i="31"/>
  <c r="D201" i="31"/>
  <c r="D198" i="31"/>
  <c r="D195" i="31"/>
  <c r="D192" i="31"/>
  <c r="D189" i="31"/>
  <c r="D186" i="31"/>
  <c r="D183" i="31"/>
  <c r="D180" i="31"/>
  <c r="D177" i="31"/>
  <c r="D174" i="31"/>
  <c r="D171" i="31"/>
  <c r="D168" i="31"/>
  <c r="D165" i="31"/>
  <c r="D162" i="31"/>
  <c r="D159" i="31"/>
  <c r="D156" i="31"/>
  <c r="D153" i="31"/>
  <c r="D150" i="31"/>
  <c r="D147" i="31"/>
  <c r="D144" i="31"/>
  <c r="D141" i="31"/>
  <c r="D138" i="31"/>
  <c r="D135" i="31"/>
  <c r="D132" i="31"/>
  <c r="D129" i="31"/>
  <c r="D126" i="31"/>
  <c r="D123" i="31"/>
  <c r="D120" i="31"/>
  <c r="D117" i="31"/>
  <c r="D114" i="31"/>
  <c r="D111" i="31"/>
  <c r="D108" i="31"/>
  <c r="D105" i="31"/>
  <c r="D102" i="31"/>
  <c r="D99" i="31"/>
  <c r="D96" i="31"/>
  <c r="D93" i="31"/>
  <c r="D90" i="31"/>
  <c r="D87" i="31"/>
  <c r="D84" i="31"/>
  <c r="D81" i="31"/>
  <c r="D78" i="31"/>
  <c r="D75" i="31"/>
  <c r="D72" i="31"/>
  <c r="D69" i="31"/>
  <c r="D66" i="31"/>
  <c r="D63" i="31"/>
  <c r="D60" i="31"/>
  <c r="D57" i="31"/>
  <c r="D54" i="31"/>
  <c r="D51" i="31"/>
  <c r="D48" i="31"/>
  <c r="D45" i="31"/>
  <c r="D42" i="31"/>
  <c r="D39" i="31"/>
  <c r="D36" i="31"/>
  <c r="D33" i="31"/>
  <c r="D30" i="31"/>
  <c r="D27" i="31"/>
  <c r="D24" i="31"/>
  <c r="D21" i="31"/>
  <c r="E272" i="31"/>
  <c r="C272" i="31"/>
  <c r="D85" i="31"/>
  <c r="D71" i="31"/>
  <c r="D58" i="31"/>
  <c r="D35" i="31"/>
  <c r="D22" i="31"/>
  <c r="D260" i="31"/>
  <c r="D248" i="31"/>
  <c r="D236" i="31"/>
  <c r="D224" i="31"/>
  <c r="D212" i="31"/>
  <c r="D200" i="31"/>
  <c r="D188" i="31"/>
  <c r="D176" i="31"/>
  <c r="D164" i="31"/>
  <c r="D152" i="31"/>
  <c r="D140" i="31"/>
  <c r="D128" i="31"/>
  <c r="D116" i="31"/>
  <c r="D104" i="31"/>
  <c r="D92" i="31"/>
  <c r="D74" i="31"/>
  <c r="D61" i="31"/>
  <c r="D38" i="31"/>
  <c r="D25" i="31"/>
  <c r="D268" i="31"/>
  <c r="D256" i="31"/>
  <c r="D244" i="31"/>
  <c r="D232" i="31"/>
  <c r="D220" i="31"/>
  <c r="D208" i="31"/>
  <c r="D196" i="31"/>
  <c r="D184" i="31"/>
  <c r="D172" i="31"/>
  <c r="D160" i="31"/>
  <c r="D148" i="31"/>
  <c r="D136" i="31"/>
  <c r="D124" i="31"/>
  <c r="D112" i="31"/>
  <c r="D100" i="31"/>
  <c r="D88" i="31"/>
  <c r="D77" i="31"/>
  <c r="D64" i="31"/>
  <c r="D41" i="31"/>
  <c r="D28" i="31"/>
  <c r="D67" i="31"/>
  <c r="D44" i="31"/>
  <c r="D31" i="31"/>
  <c r="D18" i="31"/>
  <c r="D271" i="31"/>
  <c r="D259" i="31"/>
  <c r="D247" i="31"/>
  <c r="D235" i="31"/>
  <c r="D223" i="31"/>
  <c r="D211" i="31"/>
  <c r="D199" i="31"/>
  <c r="D187" i="31"/>
  <c r="D175" i="31"/>
  <c r="D163" i="31"/>
  <c r="D151" i="31"/>
  <c r="D139" i="31"/>
  <c r="D127" i="31"/>
  <c r="D115" i="31"/>
  <c r="D103" i="31"/>
  <c r="D91" i="31"/>
  <c r="D73" i="31"/>
  <c r="D50" i="31"/>
  <c r="D37" i="31"/>
  <c r="D266" i="31"/>
  <c r="D254" i="31"/>
  <c r="D242" i="31"/>
  <c r="D230" i="31"/>
  <c r="D218" i="31"/>
  <c r="D206" i="31"/>
  <c r="D194" i="31"/>
  <c r="D182" i="31"/>
  <c r="D170" i="31"/>
  <c r="D158" i="31"/>
  <c r="D146" i="31"/>
  <c r="D134" i="31"/>
  <c r="D122" i="31"/>
  <c r="D110" i="31"/>
  <c r="D98" i="31"/>
  <c r="D56" i="31"/>
  <c r="D43" i="31"/>
  <c r="D20" i="31"/>
  <c r="D17" i="31"/>
  <c r="D262" i="31"/>
  <c r="D250" i="31"/>
  <c r="D238" i="31"/>
  <c r="D226" i="31"/>
  <c r="D214" i="31"/>
  <c r="D202" i="31"/>
  <c r="D190" i="31"/>
  <c r="D178" i="31"/>
  <c r="D166" i="31"/>
  <c r="D154" i="31"/>
  <c r="D142" i="31"/>
  <c r="D130" i="31"/>
  <c r="D118" i="31"/>
  <c r="D106" i="31"/>
  <c r="D94" i="31"/>
  <c r="D86" i="31"/>
  <c r="D79" i="31"/>
  <c r="D59" i="31"/>
  <c r="D46" i="31"/>
  <c r="D23" i="31"/>
  <c r="D62" i="31"/>
  <c r="D49" i="31"/>
  <c r="D26" i="31"/>
  <c r="D269" i="31"/>
  <c r="D257" i="31"/>
  <c r="D245" i="31"/>
  <c r="D233" i="31"/>
  <c r="D221" i="31"/>
  <c r="D209" i="31"/>
  <c r="D197" i="31"/>
  <c r="D185" i="31"/>
  <c r="D173" i="31"/>
  <c r="D161" i="31"/>
  <c r="D149" i="31"/>
  <c r="D137" i="31"/>
  <c r="D125" i="31"/>
  <c r="D113" i="31"/>
  <c r="D101" i="31"/>
  <c r="D89" i="31"/>
  <c r="D82" i="31"/>
  <c r="D65" i="31"/>
  <c r="D52" i="31"/>
  <c r="D29" i="31"/>
  <c r="D40" i="31"/>
  <c r="D53" i="31"/>
  <c r="D80" i="31"/>
  <c r="D95" i="31"/>
  <c r="D143" i="31"/>
  <c r="D191" i="31"/>
  <c r="D193" i="31"/>
  <c r="D83" i="31"/>
  <c r="D68" i="31"/>
  <c r="D70" i="31"/>
  <c r="D131" i="31"/>
  <c r="D179" i="31"/>
  <c r="D215" i="31"/>
  <c r="D239" i="31"/>
  <c r="D263" i="31"/>
  <c r="D97" i="31"/>
  <c r="D145" i="31"/>
  <c r="D19" i="31"/>
  <c r="D32" i="31"/>
  <c r="D133" i="31"/>
  <c r="D181" i="31"/>
  <c r="D217" i="31"/>
  <c r="D241" i="31"/>
  <c r="D265" i="31"/>
  <c r="C109" i="31"/>
  <c r="E109" i="31"/>
  <c r="D55" i="31"/>
  <c r="C227" i="31"/>
  <c r="C229" i="31"/>
  <c r="D34" i="31"/>
  <c r="D47" i="31"/>
  <c r="D119" i="31"/>
  <c r="D167" i="31"/>
  <c r="D121" i="31"/>
  <c r="D169" i="31"/>
  <c r="D76" i="31"/>
  <c r="E44" i="30"/>
  <c r="G44" i="30" s="1"/>
  <c r="C51" i="30"/>
  <c r="E51" i="30"/>
  <c r="E27" i="30"/>
  <c r="G27" i="30" s="1"/>
  <c r="C40" i="30"/>
  <c r="G40" i="30" s="1"/>
  <c r="C53" i="30"/>
  <c r="G53" i="30" s="1"/>
  <c r="C261" i="30"/>
  <c r="E261" i="30"/>
  <c r="C135" i="30"/>
  <c r="E135" i="30"/>
  <c r="E21" i="30"/>
  <c r="G21" i="30" s="1"/>
  <c r="C28" i="30"/>
  <c r="G28" i="30" s="1"/>
  <c r="E102" i="30"/>
  <c r="G102" i="30" s="1"/>
  <c r="E224" i="30"/>
  <c r="C224" i="30"/>
  <c r="G224" i="30" s="1"/>
  <c r="G67" i="30"/>
  <c r="E128" i="30"/>
  <c r="G128" i="30" s="1"/>
  <c r="E87" i="30"/>
  <c r="E138" i="30"/>
  <c r="G138" i="30" s="1"/>
  <c r="E187" i="30"/>
  <c r="G187" i="30" s="1"/>
  <c r="C207" i="30"/>
  <c r="E207" i="30"/>
  <c r="E236" i="30"/>
  <c r="G236" i="30" s="1"/>
  <c r="C99" i="30"/>
  <c r="E99" i="30"/>
  <c r="E188" i="30"/>
  <c r="C188" i="30"/>
  <c r="G188" i="30" s="1"/>
  <c r="E24" i="30"/>
  <c r="G24" i="30" s="1"/>
  <c r="E63" i="30"/>
  <c r="G63" i="30" s="1"/>
  <c r="E151" i="30"/>
  <c r="E210" i="30"/>
  <c r="G210" i="30" s="1"/>
  <c r="E96" i="30"/>
  <c r="G96" i="30" s="1"/>
  <c r="E132" i="30"/>
  <c r="G132" i="30" s="1"/>
  <c r="E168" i="30"/>
  <c r="G168" i="30" s="1"/>
  <c r="E240" i="30"/>
  <c r="G240" i="30" s="1"/>
  <c r="D25" i="30"/>
  <c r="D38" i="30"/>
  <c r="D48" i="30"/>
  <c r="D61" i="30"/>
  <c r="D74" i="30"/>
  <c r="D84" i="30"/>
  <c r="D97" i="30"/>
  <c r="D110" i="30"/>
  <c r="D120" i="30"/>
  <c r="D133" i="30"/>
  <c r="D146" i="30"/>
  <c r="D156" i="30"/>
  <c r="D169" i="30"/>
  <c r="D182" i="30"/>
  <c r="D192" i="30"/>
  <c r="D205" i="30"/>
  <c r="D218" i="30"/>
  <c r="D228" i="30"/>
  <c r="E231" i="30"/>
  <c r="G231" i="30" s="1"/>
  <c r="D241" i="30"/>
  <c r="D254" i="30"/>
  <c r="D264" i="30"/>
  <c r="D22" i="30"/>
  <c r="D35" i="30"/>
  <c r="D45" i="30"/>
  <c r="D58" i="30"/>
  <c r="D71" i="30"/>
  <c r="D81" i="30"/>
  <c r="D94" i="30"/>
  <c r="D107" i="30"/>
  <c r="D117" i="30"/>
  <c r="D130" i="30"/>
  <c r="D143" i="30"/>
  <c r="D153" i="30"/>
  <c r="D166" i="30"/>
  <c r="D179" i="30"/>
  <c r="D189" i="30"/>
  <c r="D202" i="30"/>
  <c r="D215" i="30"/>
  <c r="D225" i="30"/>
  <c r="D238" i="30"/>
  <c r="D251" i="30"/>
  <c r="E272" i="30"/>
  <c r="C272" i="30"/>
  <c r="D19" i="30"/>
  <c r="D32" i="30"/>
  <c r="D42" i="30"/>
  <c r="D55" i="30"/>
  <c r="D68" i="30"/>
  <c r="D78" i="30"/>
  <c r="D91" i="30"/>
  <c r="D104" i="30"/>
  <c r="D114" i="30"/>
  <c r="D127" i="30"/>
  <c r="D140" i="30"/>
  <c r="D150" i="30"/>
  <c r="D163" i="30"/>
  <c r="D176" i="30"/>
  <c r="D186" i="30"/>
  <c r="D199" i="30"/>
  <c r="D212" i="30"/>
  <c r="D222" i="30"/>
  <c r="D235" i="30"/>
  <c r="D248" i="30"/>
  <c r="D258" i="30"/>
  <c r="D271" i="30"/>
  <c r="D52" i="30"/>
  <c r="D65" i="30"/>
  <c r="D75" i="30"/>
  <c r="D88" i="30"/>
  <c r="D101" i="30"/>
  <c r="D111" i="30"/>
  <c r="D124" i="30"/>
  <c r="D137" i="30"/>
  <c r="D147" i="30"/>
  <c r="D160" i="30"/>
  <c r="D173" i="30"/>
  <c r="D183" i="30"/>
  <c r="D196" i="30"/>
  <c r="D209" i="30"/>
  <c r="D219" i="30"/>
  <c r="D232" i="30"/>
  <c r="D245" i="30"/>
  <c r="D255" i="30"/>
  <c r="D268" i="30"/>
  <c r="D26" i="30"/>
  <c r="D36" i="30"/>
  <c r="E39" i="30"/>
  <c r="G39" i="30" s="1"/>
  <c r="D49" i="30"/>
  <c r="D62" i="30"/>
  <c r="D72" i="30"/>
  <c r="D85" i="30"/>
  <c r="D98" i="30"/>
  <c r="D108" i="30"/>
  <c r="D121" i="30"/>
  <c r="D134" i="30"/>
  <c r="D144" i="30"/>
  <c r="D157" i="30"/>
  <c r="D170" i="30"/>
  <c r="D180" i="30"/>
  <c r="D193" i="30"/>
  <c r="D206" i="30"/>
  <c r="D216" i="30"/>
  <c r="D229" i="30"/>
  <c r="D242" i="30"/>
  <c r="D252" i="30"/>
  <c r="D265" i="30"/>
  <c r="D23" i="30"/>
  <c r="D33" i="30"/>
  <c r="D46" i="30"/>
  <c r="D59" i="30"/>
  <c r="D69" i="30"/>
  <c r="D82" i="30"/>
  <c r="D95" i="30"/>
  <c r="D105" i="30"/>
  <c r="D118" i="30"/>
  <c r="D131" i="30"/>
  <c r="D141" i="30"/>
  <c r="D154" i="30"/>
  <c r="D167" i="30"/>
  <c r="D177" i="30"/>
  <c r="D190" i="30"/>
  <c r="D203" i="30"/>
  <c r="D213" i="30"/>
  <c r="D226" i="30"/>
  <c r="D239" i="30"/>
  <c r="D249" i="30"/>
  <c r="D262" i="30"/>
  <c r="G193" i="28"/>
  <c r="E18" i="28"/>
  <c r="G18" i="28" s="1"/>
  <c r="G20" i="28"/>
  <c r="G250" i="28"/>
  <c r="E104" i="28"/>
  <c r="G133" i="28"/>
  <c r="C160" i="28"/>
  <c r="G160" i="28" s="1"/>
  <c r="C239" i="28"/>
  <c r="G239" i="28" s="1"/>
  <c r="C82" i="28"/>
  <c r="G82" i="28" s="1"/>
  <c r="C136" i="28"/>
  <c r="G136" i="28" s="1"/>
  <c r="G104" i="28"/>
  <c r="E29" i="28"/>
  <c r="G29" i="28" s="1"/>
  <c r="G110" i="28"/>
  <c r="E187" i="28"/>
  <c r="G187" i="28" s="1"/>
  <c r="E218" i="28"/>
  <c r="G218" i="28" s="1"/>
  <c r="E263" i="28"/>
  <c r="G263" i="28" s="1"/>
  <c r="C59" i="28"/>
  <c r="G59" i="28" s="1"/>
  <c r="C77" i="28"/>
  <c r="G77" i="28" s="1"/>
  <c r="C89" i="28"/>
  <c r="G89" i="28" s="1"/>
  <c r="C149" i="28"/>
  <c r="G149" i="28" s="1"/>
  <c r="C190" i="28"/>
  <c r="G190" i="28" s="1"/>
  <c r="G248" i="28"/>
  <c r="E205" i="28"/>
  <c r="G205" i="28" s="1"/>
  <c r="E140" i="28"/>
  <c r="G140" i="28" s="1"/>
  <c r="D37" i="28"/>
  <c r="D49" i="28"/>
  <c r="D68" i="28"/>
  <c r="C68" i="28" s="1"/>
  <c r="D85" i="28"/>
  <c r="D100" i="28"/>
  <c r="E100" i="28" s="1"/>
  <c r="D113" i="28"/>
  <c r="E113" i="28" s="1"/>
  <c r="D128" i="28"/>
  <c r="D142" i="28"/>
  <c r="D157" i="28"/>
  <c r="E157" i="28" s="1"/>
  <c r="D169" i="28"/>
  <c r="D182" i="28"/>
  <c r="E182" i="28" s="1"/>
  <c r="D196" i="28"/>
  <c r="E196" i="28" s="1"/>
  <c r="D212" i="28"/>
  <c r="D241" i="28"/>
  <c r="D254" i="28"/>
  <c r="E61" i="28"/>
  <c r="E194" i="28"/>
  <c r="G194" i="28" s="1"/>
  <c r="D26" i="28"/>
  <c r="D50" i="28"/>
  <c r="E50" i="28" s="1"/>
  <c r="D115" i="28"/>
  <c r="D158" i="28"/>
  <c r="D229" i="28"/>
  <c r="D269" i="28"/>
  <c r="E176" i="28"/>
  <c r="G176" i="28" s="1"/>
  <c r="E223" i="28"/>
  <c r="E97" i="28"/>
  <c r="G97" i="28" s="1"/>
  <c r="C28" i="28"/>
  <c r="G28" i="28" s="1"/>
  <c r="D40" i="28"/>
  <c r="D52" i="28"/>
  <c r="C52" i="28" s="1"/>
  <c r="D70" i="28"/>
  <c r="D86" i="28"/>
  <c r="D103" i="28"/>
  <c r="C131" i="28"/>
  <c r="G131" i="28" s="1"/>
  <c r="D143" i="28"/>
  <c r="E143" i="28" s="1"/>
  <c r="C172" i="28"/>
  <c r="G172" i="28" s="1"/>
  <c r="D185" i="28"/>
  <c r="D197" i="28"/>
  <c r="D214" i="28"/>
  <c r="E214" i="28" s="1"/>
  <c r="D230" i="28"/>
  <c r="C244" i="28"/>
  <c r="G244" i="28" s="1"/>
  <c r="D257" i="28"/>
  <c r="E79" i="28"/>
  <c r="G79" i="28" s="1"/>
  <c r="E151" i="28"/>
  <c r="G151" i="28" s="1"/>
  <c r="C17" i="28"/>
  <c r="G17" i="28" s="1"/>
  <c r="C41" i="28"/>
  <c r="G41" i="28" s="1"/>
  <c r="C200" i="28"/>
  <c r="G200" i="28" s="1"/>
  <c r="C215" i="28"/>
  <c r="G215" i="28" s="1"/>
  <c r="G223" i="28"/>
  <c r="C121" i="28"/>
  <c r="G121" i="28" s="1"/>
  <c r="C175" i="28"/>
  <c r="G175" i="28" s="1"/>
  <c r="C232" i="28"/>
  <c r="G232" i="28" s="1"/>
  <c r="C262" i="28"/>
  <c r="G262" i="28" s="1"/>
  <c r="D29" i="27"/>
  <c r="D57" i="27"/>
  <c r="E57" i="27" s="1"/>
  <c r="D89" i="27"/>
  <c r="E89" i="27" s="1"/>
  <c r="D120" i="27"/>
  <c r="D150" i="27"/>
  <c r="D186" i="27"/>
  <c r="E186" i="27" s="1"/>
  <c r="D228" i="27"/>
  <c r="D31" i="27"/>
  <c r="C31" i="27" s="1"/>
  <c r="D60" i="27"/>
  <c r="E60" i="27" s="1"/>
  <c r="D91" i="27"/>
  <c r="C91" i="27" s="1"/>
  <c r="C123" i="27"/>
  <c r="G123" i="27" s="1"/>
  <c r="D188" i="27"/>
  <c r="E188" i="27" s="1"/>
  <c r="D231" i="27"/>
  <c r="E231" i="27" s="1"/>
  <c r="D38" i="27"/>
  <c r="E38" i="27" s="1"/>
  <c r="D69" i="27"/>
  <c r="E69" i="27" s="1"/>
  <c r="D98" i="27"/>
  <c r="E98" i="27" s="1"/>
  <c r="D159" i="27"/>
  <c r="E159" i="27" s="1"/>
  <c r="D191" i="27"/>
  <c r="E191" i="27" s="1"/>
  <c r="D240" i="27"/>
  <c r="E240" i="27" s="1"/>
  <c r="D17" i="27"/>
  <c r="E17" i="27" s="1"/>
  <c r="D70" i="27"/>
  <c r="C70" i="27" s="1"/>
  <c r="D100" i="27"/>
  <c r="C100" i="27" s="1"/>
  <c r="D129" i="27"/>
  <c r="D160" i="27"/>
  <c r="C160" i="27" s="1"/>
  <c r="D196" i="27"/>
  <c r="C196" i="27" s="1"/>
  <c r="D241" i="27"/>
  <c r="C241" i="27" s="1"/>
  <c r="D19" i="27"/>
  <c r="C19" i="27" s="1"/>
  <c r="D39" i="27"/>
  <c r="C101" i="27"/>
  <c r="G101" i="27" s="1"/>
  <c r="D132" i="27"/>
  <c r="E132" i="27" s="1"/>
  <c r="D161" i="27"/>
  <c r="E161" i="27" s="1"/>
  <c r="D199" i="27"/>
  <c r="C199" i="27" s="1"/>
  <c r="D249" i="27"/>
  <c r="E249" i="27" s="1"/>
  <c r="C51" i="27"/>
  <c r="G51" i="27" s="1"/>
  <c r="C111" i="27"/>
  <c r="G111" i="27" s="1"/>
  <c r="C38" i="27"/>
  <c r="G38" i="27" s="1"/>
  <c r="C255" i="27"/>
  <c r="D151" i="27"/>
  <c r="C151" i="27" s="1"/>
  <c r="D170" i="27"/>
  <c r="D181" i="27"/>
  <c r="C200" i="27"/>
  <c r="G200" i="27" s="1"/>
  <c r="D218" i="27"/>
  <c r="D244" i="27"/>
  <c r="D254" i="27"/>
  <c r="C267" i="27"/>
  <c r="G267" i="27" s="1"/>
  <c r="E82" i="27"/>
  <c r="G82" i="27" s="1"/>
  <c r="D222" i="27"/>
  <c r="D22" i="27"/>
  <c r="C22" i="27" s="1"/>
  <c r="D52" i="27"/>
  <c r="C52" i="27" s="1"/>
  <c r="D62" i="27"/>
  <c r="E73" i="27"/>
  <c r="G73" i="27" s="1"/>
  <c r="D92" i="27"/>
  <c r="D114" i="27"/>
  <c r="E114" i="27" s="1"/>
  <c r="D124" i="27"/>
  <c r="C124" i="27" s="1"/>
  <c r="D143" i="27"/>
  <c r="D154" i="27"/>
  <c r="D182" i="27"/>
  <c r="D201" i="27"/>
  <c r="D210" i="27"/>
  <c r="D235" i="27"/>
  <c r="D245" i="27"/>
  <c r="D33" i="27"/>
  <c r="D42" i="27"/>
  <c r="D64" i="27"/>
  <c r="C64" i="27" s="1"/>
  <c r="D83" i="27"/>
  <c r="D102" i="27"/>
  <c r="D115" i="27"/>
  <c r="C115" i="27" s="1"/>
  <c r="D134" i="27"/>
  <c r="D145" i="27"/>
  <c r="D173" i="27"/>
  <c r="D192" i="27"/>
  <c r="D258" i="27"/>
  <c r="D24" i="27"/>
  <c r="D43" i="27"/>
  <c r="C43" i="27" s="1"/>
  <c r="D53" i="27"/>
  <c r="D74" i="27"/>
  <c r="D93" i="27"/>
  <c r="D105" i="27"/>
  <c r="E105" i="27" s="1"/>
  <c r="D125" i="27"/>
  <c r="D136" i="27"/>
  <c r="D164" i="27"/>
  <c r="D183" i="27"/>
  <c r="D204" i="27"/>
  <c r="D213" i="27"/>
  <c r="D223" i="27"/>
  <c r="C223" i="27" s="1"/>
  <c r="D246" i="27"/>
  <c r="D259" i="27"/>
  <c r="C259" i="27" s="1"/>
  <c r="D25" i="27"/>
  <c r="C25" i="27" s="1"/>
  <c r="D35" i="27"/>
  <c r="D55" i="27"/>
  <c r="C55" i="27" s="1"/>
  <c r="D65" i="27"/>
  <c r="D84" i="27"/>
  <c r="C96" i="27"/>
  <c r="G96" i="27" s="1"/>
  <c r="D106" i="27"/>
  <c r="C106" i="27" s="1"/>
  <c r="D116" i="27"/>
  <c r="D127" i="27"/>
  <c r="D155" i="27"/>
  <c r="D174" i="27"/>
  <c r="D195" i="27"/>
  <c r="D205" i="27"/>
  <c r="D214" i="27"/>
  <c r="C214" i="27" s="1"/>
  <c r="D226" i="27"/>
  <c r="D236" i="27"/>
  <c r="C249" i="27"/>
  <c r="G249" i="27" s="1"/>
  <c r="D262" i="27"/>
  <c r="D27" i="27"/>
  <c r="C27" i="27" s="1"/>
  <c r="D36" i="27"/>
  <c r="D46" i="27"/>
  <c r="C46" i="27" s="1"/>
  <c r="D56" i="27"/>
  <c r="D66" i="27"/>
  <c r="D87" i="27"/>
  <c r="D97" i="27"/>
  <c r="C97" i="27" s="1"/>
  <c r="D107" i="27"/>
  <c r="E118" i="27"/>
  <c r="G118" i="27" s="1"/>
  <c r="D137" i="27"/>
  <c r="D156" i="27"/>
  <c r="D177" i="27"/>
  <c r="D187" i="27"/>
  <c r="C187" i="27" s="1"/>
  <c r="D215" i="27"/>
  <c r="D237" i="27"/>
  <c r="D250" i="27"/>
  <c r="C250" i="27" s="1"/>
  <c r="D18" i="27"/>
  <c r="D28" i="27"/>
  <c r="C28" i="27" s="1"/>
  <c r="D37" i="27"/>
  <c r="C37" i="27" s="1"/>
  <c r="C47" i="27"/>
  <c r="G47" i="27" s="1"/>
  <c r="D78" i="27"/>
  <c r="D88" i="27"/>
  <c r="C88" i="27" s="1"/>
  <c r="C98" i="27"/>
  <c r="G98" i="27" s="1"/>
  <c r="D109" i="27"/>
  <c r="D128" i="27"/>
  <c r="C138" i="27"/>
  <c r="G138" i="27" s="1"/>
  <c r="D147" i="27"/>
  <c r="D168" i="27"/>
  <c r="D178" i="27"/>
  <c r="C178" i="27" s="1"/>
  <c r="C188" i="27"/>
  <c r="G188" i="27" s="1"/>
  <c r="D197" i="27"/>
  <c r="D206" i="27"/>
  <c r="D217" i="27"/>
  <c r="D227" i="27"/>
  <c r="D253" i="27"/>
  <c r="D263" i="27"/>
  <c r="E175" i="29"/>
  <c r="C232" i="29"/>
  <c r="E232" i="29"/>
  <c r="G136" i="29"/>
  <c r="E173" i="29"/>
  <c r="G173" i="29" s="1"/>
  <c r="E221" i="29"/>
  <c r="E190" i="29"/>
  <c r="C190" i="29"/>
  <c r="E80" i="29"/>
  <c r="G80" i="29" s="1"/>
  <c r="E18" i="29"/>
  <c r="G18" i="29" s="1"/>
  <c r="E19" i="29"/>
  <c r="G19" i="29" s="1"/>
  <c r="G175" i="29"/>
  <c r="E242" i="29"/>
  <c r="E211" i="29"/>
  <c r="D224" i="29"/>
  <c r="D260" i="29"/>
  <c r="D271" i="29"/>
  <c r="G26" i="29"/>
  <c r="E116" i="29"/>
  <c r="G116" i="29" s="1"/>
  <c r="E127" i="29"/>
  <c r="G127" i="29" s="1"/>
  <c r="E32" i="29"/>
  <c r="G32" i="29" s="1"/>
  <c r="D44" i="29"/>
  <c r="D55" i="29"/>
  <c r="D100" i="29"/>
  <c r="D140" i="29"/>
  <c r="D208" i="29"/>
  <c r="D61" i="29"/>
  <c r="D67" i="29"/>
  <c r="D172" i="29"/>
  <c r="D193" i="29"/>
  <c r="E139" i="29"/>
  <c r="D270" i="29"/>
  <c r="D267" i="29"/>
  <c r="D264" i="29"/>
  <c r="D261" i="29"/>
  <c r="D258" i="29"/>
  <c r="D255" i="29"/>
  <c r="D252" i="29"/>
  <c r="D249" i="29"/>
  <c r="D246" i="29"/>
  <c r="D243" i="29"/>
  <c r="D240" i="29"/>
  <c r="D237" i="29"/>
  <c r="D234" i="29"/>
  <c r="D231" i="29"/>
  <c r="D228" i="29"/>
  <c r="D225" i="29"/>
  <c r="D222" i="29"/>
  <c r="D219" i="29"/>
  <c r="D216" i="29"/>
  <c r="D213" i="29"/>
  <c r="D210" i="29"/>
  <c r="D207" i="29"/>
  <c r="D204" i="29"/>
  <c r="D201" i="29"/>
  <c r="D198" i="29"/>
  <c r="D195" i="29"/>
  <c r="D192" i="29"/>
  <c r="D189" i="29"/>
  <c r="D186" i="29"/>
  <c r="D183" i="29"/>
  <c r="D180" i="29"/>
  <c r="D177" i="29"/>
  <c r="D174" i="29"/>
  <c r="D171" i="29"/>
  <c r="D168" i="29"/>
  <c r="D165" i="29"/>
  <c r="D162" i="29"/>
  <c r="D159" i="29"/>
  <c r="D156" i="29"/>
  <c r="D153" i="29"/>
  <c r="D150" i="29"/>
  <c r="D147" i="29"/>
  <c r="D144" i="29"/>
  <c r="D141" i="29"/>
  <c r="D138" i="29"/>
  <c r="D135" i="29"/>
  <c r="D132" i="29"/>
  <c r="D129" i="29"/>
  <c r="D126" i="29"/>
  <c r="D123" i="29"/>
  <c r="D120" i="29"/>
  <c r="D117" i="29"/>
  <c r="D114" i="29"/>
  <c r="D111" i="29"/>
  <c r="D108" i="29"/>
  <c r="D105" i="29"/>
  <c r="D102" i="29"/>
  <c r="D99" i="29"/>
  <c r="D96" i="29"/>
  <c r="D93" i="29"/>
  <c r="D90" i="29"/>
  <c r="D87" i="29"/>
  <c r="D84" i="29"/>
  <c r="D81" i="29"/>
  <c r="D78" i="29"/>
  <c r="D75" i="29"/>
  <c r="D72" i="29"/>
  <c r="D69" i="29"/>
  <c r="D66" i="29"/>
  <c r="D63" i="29"/>
  <c r="D60" i="29"/>
  <c r="D57" i="29"/>
  <c r="D54" i="29"/>
  <c r="D51" i="29"/>
  <c r="D48" i="29"/>
  <c r="D45" i="29"/>
  <c r="D42" i="29"/>
  <c r="D39" i="29"/>
  <c r="D36" i="29"/>
  <c r="D33" i="29"/>
  <c r="D30" i="29"/>
  <c r="D27" i="29"/>
  <c r="D24" i="29"/>
  <c r="D21" i="29"/>
  <c r="E272" i="29"/>
  <c r="D269" i="29"/>
  <c r="D262" i="29"/>
  <c r="D251" i="29"/>
  <c r="D244" i="29"/>
  <c r="D227" i="29"/>
  <c r="D214" i="29"/>
  <c r="D191" i="29"/>
  <c r="D178" i="29"/>
  <c r="D155" i="29"/>
  <c r="D142" i="29"/>
  <c r="D119" i="29"/>
  <c r="D106" i="29"/>
  <c r="D83" i="29"/>
  <c r="D70" i="29"/>
  <c r="D47" i="29"/>
  <c r="D34" i="29"/>
  <c r="C272" i="29"/>
  <c r="D230" i="29"/>
  <c r="D217" i="29"/>
  <c r="D194" i="29"/>
  <c r="D181" i="29"/>
  <c r="D158" i="29"/>
  <c r="D145" i="29"/>
  <c r="D122" i="29"/>
  <c r="D109" i="29"/>
  <c r="D86" i="29"/>
  <c r="D73" i="29"/>
  <c r="D50" i="29"/>
  <c r="D37" i="29"/>
  <c r="D265" i="29"/>
  <c r="D254" i="29"/>
  <c r="D247" i="29"/>
  <c r="D233" i="29"/>
  <c r="D220" i="29"/>
  <c r="D197" i="29"/>
  <c r="D184" i="29"/>
  <c r="D161" i="29"/>
  <c r="D148" i="29"/>
  <c r="D125" i="29"/>
  <c r="D112" i="29"/>
  <c r="D89" i="29"/>
  <c r="D76" i="29"/>
  <c r="D53" i="29"/>
  <c r="D40" i="29"/>
  <c r="D236" i="29"/>
  <c r="D223" i="29"/>
  <c r="D200" i="29"/>
  <c r="D187" i="29"/>
  <c r="D164" i="29"/>
  <c r="D151" i="29"/>
  <c r="D128" i="29"/>
  <c r="D115" i="29"/>
  <c r="D92" i="29"/>
  <c r="D79" i="29"/>
  <c r="D56" i="29"/>
  <c r="D43" i="29"/>
  <c r="D20" i="29"/>
  <c r="D17" i="29"/>
  <c r="D268" i="29"/>
  <c r="D257" i="29"/>
  <c r="D250" i="29"/>
  <c r="D239" i="29"/>
  <c r="D226" i="29"/>
  <c r="D203" i="29"/>
  <c r="D167" i="29"/>
  <c r="D154" i="29"/>
  <c r="D235" i="29"/>
  <c r="D212" i="29"/>
  <c r="D199" i="29"/>
  <c r="D176" i="29"/>
  <c r="D163" i="29"/>
  <c r="D263" i="29"/>
  <c r="D256" i="29"/>
  <c r="D245" i="29"/>
  <c r="D238" i="29"/>
  <c r="D215" i="29"/>
  <c r="D202" i="29"/>
  <c r="D179" i="29"/>
  <c r="D166" i="29"/>
  <c r="D143" i="29"/>
  <c r="D130" i="29"/>
  <c r="D107" i="29"/>
  <c r="D94" i="29"/>
  <c r="D71" i="29"/>
  <c r="D58" i="29"/>
  <c r="D35" i="29"/>
  <c r="D22" i="29"/>
  <c r="D38" i="29"/>
  <c r="D49" i="29"/>
  <c r="D28" i="29"/>
  <c r="D134" i="29"/>
  <c r="D149" i="29"/>
  <c r="D209" i="29"/>
  <c r="D241" i="29"/>
  <c r="E56" i="28"/>
  <c r="G56" i="28" s="1"/>
  <c r="E67" i="28"/>
  <c r="G67" i="28" s="1"/>
  <c r="E265" i="28"/>
  <c r="G265" i="28" s="1"/>
  <c r="C43" i="28"/>
  <c r="G43" i="28" s="1"/>
  <c r="C74" i="28"/>
  <c r="G74" i="28" s="1"/>
  <c r="C106" i="28"/>
  <c r="G106" i="28" s="1"/>
  <c r="C118" i="28"/>
  <c r="G118" i="28" s="1"/>
  <c r="C214" i="28"/>
  <c r="G214" i="28" s="1"/>
  <c r="C221" i="28"/>
  <c r="G221" i="28" s="1"/>
  <c r="C226" i="28"/>
  <c r="G226" i="28" s="1"/>
  <c r="C251" i="28"/>
  <c r="G251" i="28" s="1"/>
  <c r="E23" i="28"/>
  <c r="G23" i="28" s="1"/>
  <c r="E260" i="28"/>
  <c r="C260" i="28"/>
  <c r="C53" i="28"/>
  <c r="G53" i="28" s="1"/>
  <c r="E68" i="28"/>
  <c r="G68" i="28" s="1"/>
  <c r="C88" i="28"/>
  <c r="G88" i="28" s="1"/>
  <c r="C95" i="28"/>
  <c r="G95" i="28" s="1"/>
  <c r="C125" i="28"/>
  <c r="G125" i="28" s="1"/>
  <c r="C139" i="28"/>
  <c r="G139" i="28" s="1"/>
  <c r="C164" i="28"/>
  <c r="G164" i="28" s="1"/>
  <c r="C196" i="28"/>
  <c r="G196" i="28" s="1"/>
  <c r="C203" i="28"/>
  <c r="G203" i="28" s="1"/>
  <c r="C208" i="28"/>
  <c r="G208" i="28" s="1"/>
  <c r="C233" i="28"/>
  <c r="G233" i="28" s="1"/>
  <c r="C247" i="28"/>
  <c r="G247" i="28" s="1"/>
  <c r="E44" i="28"/>
  <c r="G44" i="28" s="1"/>
  <c r="E31" i="28"/>
  <c r="G31" i="28" s="1"/>
  <c r="C46" i="28"/>
  <c r="G46" i="28" s="1"/>
  <c r="C50" i="28"/>
  <c r="G50" i="28" s="1"/>
  <c r="C71" i="28"/>
  <c r="G71" i="28" s="1"/>
  <c r="G61" i="28"/>
  <c r="D259" i="28"/>
  <c r="D271" i="28"/>
  <c r="C22" i="28"/>
  <c r="G22" i="28" s="1"/>
  <c r="D25" i="28"/>
  <c r="C35" i="28"/>
  <c r="G35" i="28" s="1"/>
  <c r="D38" i="28"/>
  <c r="D58" i="28"/>
  <c r="D65" i="28"/>
  <c r="D76" i="28"/>
  <c r="D83" i="28"/>
  <c r="D94" i="28"/>
  <c r="D101" i="28"/>
  <c r="D112" i="28"/>
  <c r="D119" i="28"/>
  <c r="D130" i="28"/>
  <c r="D137" i="28"/>
  <c r="D148" i="28"/>
  <c r="D155" i="28"/>
  <c r="D166" i="28"/>
  <c r="D173" i="28"/>
  <c r="D184" i="28"/>
  <c r="D191" i="28"/>
  <c r="D202" i="28"/>
  <c r="D209" i="28"/>
  <c r="D220" i="28"/>
  <c r="D227" i="28"/>
  <c r="D238" i="28"/>
  <c r="D245" i="28"/>
  <c r="D256" i="28"/>
  <c r="D268" i="28"/>
  <c r="D270" i="28"/>
  <c r="D267" i="28"/>
  <c r="D264" i="28"/>
  <c r="D261" i="28"/>
  <c r="D258" i="28"/>
  <c r="D255" i="28"/>
  <c r="D252" i="28"/>
  <c r="D249" i="28"/>
  <c r="D246" i="28"/>
  <c r="D243" i="28"/>
  <c r="D240" i="28"/>
  <c r="D237" i="28"/>
  <c r="D234" i="28"/>
  <c r="D231" i="28"/>
  <c r="D228" i="28"/>
  <c r="D225" i="28"/>
  <c r="D222" i="28"/>
  <c r="D219" i="28"/>
  <c r="D216" i="28"/>
  <c r="D213" i="28"/>
  <c r="D210" i="28"/>
  <c r="D207" i="28"/>
  <c r="D204" i="28"/>
  <c r="D201" i="28"/>
  <c r="D198" i="28"/>
  <c r="D195" i="28"/>
  <c r="D192" i="28"/>
  <c r="D189" i="28"/>
  <c r="D186" i="28"/>
  <c r="D183" i="28"/>
  <c r="D180" i="28"/>
  <c r="D177" i="28"/>
  <c r="D174" i="28"/>
  <c r="D171" i="28"/>
  <c r="D168" i="28"/>
  <c r="D165" i="28"/>
  <c r="D162" i="28"/>
  <c r="D159" i="28"/>
  <c r="D156" i="28"/>
  <c r="D153" i="28"/>
  <c r="D150" i="28"/>
  <c r="D147" i="28"/>
  <c r="D144" i="28"/>
  <c r="D141" i="28"/>
  <c r="D138" i="28"/>
  <c r="D135" i="28"/>
  <c r="D132" i="28"/>
  <c r="D129" i="28"/>
  <c r="D126" i="28"/>
  <c r="D123" i="28"/>
  <c r="D120" i="28"/>
  <c r="D117" i="28"/>
  <c r="D114" i="28"/>
  <c r="D111" i="28"/>
  <c r="D108" i="28"/>
  <c r="D105" i="28"/>
  <c r="D102" i="28"/>
  <c r="D99" i="28"/>
  <c r="D96" i="28"/>
  <c r="D93" i="28"/>
  <c r="D90" i="28"/>
  <c r="D87" i="28"/>
  <c r="D84" i="28"/>
  <c r="D81" i="28"/>
  <c r="D78" i="28"/>
  <c r="D75" i="28"/>
  <c r="D72" i="28"/>
  <c r="D69" i="28"/>
  <c r="D66" i="28"/>
  <c r="D63" i="28"/>
  <c r="D60" i="28"/>
  <c r="D57" i="28"/>
  <c r="D54" i="28"/>
  <c r="D51" i="28"/>
  <c r="D48" i="28"/>
  <c r="D45" i="28"/>
  <c r="D42" i="28"/>
  <c r="D39" i="28"/>
  <c r="D36" i="28"/>
  <c r="D33" i="28"/>
  <c r="D30" i="28"/>
  <c r="D27" i="28"/>
  <c r="D24" i="28"/>
  <c r="D21" i="28"/>
  <c r="E272" i="28"/>
  <c r="D19" i="28"/>
  <c r="D32" i="28"/>
  <c r="D55" i="28"/>
  <c r="D62" i="28"/>
  <c r="D73" i="28"/>
  <c r="D80" i="28"/>
  <c r="D91" i="28"/>
  <c r="D98" i="28"/>
  <c r="D109" i="28"/>
  <c r="D116" i="28"/>
  <c r="D127" i="28"/>
  <c r="D134" i="28"/>
  <c r="D145" i="28"/>
  <c r="D152" i="28"/>
  <c r="D163" i="28"/>
  <c r="D170" i="28"/>
  <c r="D181" i="28"/>
  <c r="D188" i="28"/>
  <c r="D199" i="28"/>
  <c r="D206" i="28"/>
  <c r="D217" i="28"/>
  <c r="D224" i="28"/>
  <c r="D235" i="28"/>
  <c r="D242" i="28"/>
  <c r="D253" i="28"/>
  <c r="C272" i="28"/>
  <c r="D92" i="26"/>
  <c r="E92" i="26" s="1"/>
  <c r="D121" i="26"/>
  <c r="E121" i="26" s="1"/>
  <c r="D146" i="26"/>
  <c r="E146" i="26" s="1"/>
  <c r="D64" i="26"/>
  <c r="E64" i="26" s="1"/>
  <c r="D175" i="26"/>
  <c r="E175" i="26" s="1"/>
  <c r="D37" i="26"/>
  <c r="C37" i="26" s="1"/>
  <c r="D269" i="26"/>
  <c r="C269" i="26" s="1"/>
  <c r="D233" i="26"/>
  <c r="D100" i="26"/>
  <c r="E100" i="26" s="1"/>
  <c r="D40" i="26"/>
  <c r="E40" i="26" s="1"/>
  <c r="D148" i="26"/>
  <c r="E148" i="26" s="1"/>
  <c r="D125" i="26"/>
  <c r="D229" i="26"/>
  <c r="D97" i="26"/>
  <c r="D154" i="26"/>
  <c r="E154" i="26" s="1"/>
  <c r="D103" i="26"/>
  <c r="D193" i="26"/>
  <c r="E193" i="26" s="1"/>
  <c r="D50" i="26"/>
  <c r="D137" i="26"/>
  <c r="E137" i="26" s="1"/>
  <c r="D158" i="26"/>
  <c r="E158" i="26" s="1"/>
  <c r="D26" i="26"/>
  <c r="C26" i="26" s="1"/>
  <c r="D85" i="26"/>
  <c r="C85" i="26" s="1"/>
  <c r="D110" i="26"/>
  <c r="E110" i="26" s="1"/>
  <c r="D164" i="26"/>
  <c r="E164" i="26" s="1"/>
  <c r="D197" i="26"/>
  <c r="D247" i="26"/>
  <c r="D67" i="26"/>
  <c r="D230" i="26"/>
  <c r="E230" i="26" s="1"/>
  <c r="D157" i="26"/>
  <c r="D53" i="26"/>
  <c r="D86" i="26"/>
  <c r="C86" i="26" s="1"/>
  <c r="D115" i="26"/>
  <c r="E115" i="26" s="1"/>
  <c r="D140" i="26"/>
  <c r="D169" i="26"/>
  <c r="E169" i="26" s="1"/>
  <c r="D200" i="26"/>
  <c r="E200" i="26" s="1"/>
  <c r="D248" i="26"/>
  <c r="E248" i="26" s="1"/>
  <c r="D94" i="26"/>
  <c r="E94" i="26" s="1"/>
  <c r="D182" i="26"/>
  <c r="E182" i="26" s="1"/>
  <c r="D130" i="26"/>
  <c r="D83" i="26"/>
  <c r="E83" i="26" s="1"/>
  <c r="D28" i="26"/>
  <c r="D59" i="26"/>
  <c r="E59" i="26" s="1"/>
  <c r="D89" i="26"/>
  <c r="E89" i="26" s="1"/>
  <c r="D143" i="26"/>
  <c r="E143" i="26" s="1"/>
  <c r="D251" i="26"/>
  <c r="C251" i="26" s="1"/>
  <c r="D265" i="26"/>
  <c r="C265" i="26" s="1"/>
  <c r="D179" i="26"/>
  <c r="D43" i="26"/>
  <c r="D151" i="26"/>
  <c r="D77" i="26"/>
  <c r="D18" i="26"/>
  <c r="D47" i="26"/>
  <c r="D191" i="26"/>
  <c r="D82" i="26"/>
  <c r="D136" i="26"/>
  <c r="D236" i="26"/>
  <c r="E236" i="26" s="1"/>
  <c r="D23" i="26"/>
  <c r="D104" i="26"/>
  <c r="E104" i="26" s="1"/>
  <c r="D34" i="26"/>
  <c r="E34" i="26" s="1"/>
  <c r="D62" i="26"/>
  <c r="C62" i="26" s="1"/>
  <c r="C92" i="26"/>
  <c r="G92" i="26" s="1"/>
  <c r="D119" i="26"/>
  <c r="C146" i="26"/>
  <c r="G146" i="26" s="1"/>
  <c r="D173" i="26"/>
  <c r="D215" i="26"/>
  <c r="D254" i="26"/>
  <c r="E254" i="26" s="1"/>
  <c r="D208" i="25"/>
  <c r="E208" i="25" s="1"/>
  <c r="D199" i="25"/>
  <c r="E199" i="25" s="1"/>
  <c r="D38" i="25"/>
  <c r="E38" i="25" s="1"/>
  <c r="D42" i="25"/>
  <c r="C42" i="25" s="1"/>
  <c r="D193" i="25"/>
  <c r="D48" i="25"/>
  <c r="E48" i="25" s="1"/>
  <c r="D52" i="25"/>
  <c r="E52" i="25" s="1"/>
  <c r="C208" i="4"/>
  <c r="E208" i="4"/>
  <c r="E50" i="4"/>
  <c r="C50" i="4"/>
  <c r="G50" i="4" s="1"/>
  <c r="D78" i="4"/>
  <c r="D118" i="4"/>
  <c r="E133" i="4"/>
  <c r="G133" i="4" s="1"/>
  <c r="D94" i="4"/>
  <c r="D82" i="4"/>
  <c r="D107" i="4"/>
  <c r="D122" i="4"/>
  <c r="D134" i="4"/>
  <c r="C105" i="4"/>
  <c r="E105" i="4"/>
  <c r="E117" i="4"/>
  <c r="G117" i="4" s="1"/>
  <c r="D123" i="4"/>
  <c r="D71" i="4"/>
  <c r="D96" i="4"/>
  <c r="D184" i="4"/>
  <c r="E244" i="4"/>
  <c r="G244" i="4" s="1"/>
  <c r="D270" i="4"/>
  <c r="D267" i="4"/>
  <c r="D264" i="4"/>
  <c r="D261" i="4"/>
  <c r="D258" i="4"/>
  <c r="D255" i="4"/>
  <c r="D252" i="4"/>
  <c r="D249" i="4"/>
  <c r="D246" i="4"/>
  <c r="D243" i="4"/>
  <c r="D240" i="4"/>
  <c r="D237" i="4"/>
  <c r="D234" i="4"/>
  <c r="D231" i="4"/>
  <c r="D228" i="4"/>
  <c r="D225" i="4"/>
  <c r="D222" i="4"/>
  <c r="D219" i="4"/>
  <c r="D216" i="4"/>
  <c r="D213" i="4"/>
  <c r="D210" i="4"/>
  <c r="D207" i="4"/>
  <c r="D204" i="4"/>
  <c r="D201" i="4"/>
  <c r="D198" i="4"/>
  <c r="D195" i="4"/>
  <c r="D192" i="4"/>
  <c r="D189" i="4"/>
  <c r="D186" i="4"/>
  <c r="D183" i="4"/>
  <c r="D180" i="4"/>
  <c r="D177" i="4"/>
  <c r="D174" i="4"/>
  <c r="D171" i="4"/>
  <c r="D168" i="4"/>
  <c r="D165" i="4"/>
  <c r="D162" i="4"/>
  <c r="D159" i="4"/>
  <c r="D156" i="4"/>
  <c r="D153" i="4"/>
  <c r="D150" i="4"/>
  <c r="D147" i="4"/>
  <c r="D144" i="4"/>
  <c r="D141" i="4"/>
  <c r="D138" i="4"/>
  <c r="E272" i="4"/>
  <c r="D269" i="4"/>
  <c r="D266" i="4"/>
  <c r="D263" i="4"/>
  <c r="D260" i="4"/>
  <c r="D257" i="4"/>
  <c r="D254" i="4"/>
  <c r="D251" i="4"/>
  <c r="D248" i="4"/>
  <c r="D245" i="4"/>
  <c r="D242" i="4"/>
  <c r="D239" i="4"/>
  <c r="D236" i="4"/>
  <c r="D233" i="4"/>
  <c r="D230" i="4"/>
  <c r="D227" i="4"/>
  <c r="D224" i="4"/>
  <c r="D221" i="4"/>
  <c r="D218" i="4"/>
  <c r="D215" i="4"/>
  <c r="D212" i="4"/>
  <c r="D209" i="4"/>
  <c r="D206" i="4"/>
  <c r="D203" i="4"/>
  <c r="D200" i="4"/>
  <c r="D197" i="4"/>
  <c r="D194" i="4"/>
  <c r="D191" i="4"/>
  <c r="D188" i="4"/>
  <c r="D185" i="4"/>
  <c r="D182" i="4"/>
  <c r="D179" i="4"/>
  <c r="D176" i="4"/>
  <c r="D173" i="4"/>
  <c r="D170" i="4"/>
  <c r="D167" i="4"/>
  <c r="D164" i="4"/>
  <c r="D161" i="4"/>
  <c r="D158" i="4"/>
  <c r="D155" i="4"/>
  <c r="D152" i="4"/>
  <c r="D149" i="4"/>
  <c r="D146" i="4"/>
  <c r="D143" i="4"/>
  <c r="D140" i="4"/>
  <c r="D126" i="4"/>
  <c r="D116" i="4"/>
  <c r="D103" i="4"/>
  <c r="D90" i="4"/>
  <c r="D80" i="4"/>
  <c r="D67" i="4"/>
  <c r="D54" i="4"/>
  <c r="D44" i="4"/>
  <c r="D31" i="4"/>
  <c r="D18" i="4"/>
  <c r="C272" i="4"/>
  <c r="D268" i="4"/>
  <c r="D259" i="4"/>
  <c r="D247" i="4"/>
  <c r="D235" i="4"/>
  <c r="D223" i="4"/>
  <c r="D211" i="4"/>
  <c r="D199" i="4"/>
  <c r="D187" i="4"/>
  <c r="D175" i="4"/>
  <c r="D163" i="4"/>
  <c r="D151" i="4"/>
  <c r="D139" i="4"/>
  <c r="D129" i="4"/>
  <c r="D119" i="4"/>
  <c r="D106" i="4"/>
  <c r="D93" i="4"/>
  <c r="D83" i="4"/>
  <c r="D70" i="4"/>
  <c r="D57" i="4"/>
  <c r="D47" i="4"/>
  <c r="D34" i="4"/>
  <c r="D21" i="4"/>
  <c r="D135" i="4"/>
  <c r="D125" i="4"/>
  <c r="D112" i="4"/>
  <c r="D99" i="4"/>
  <c r="D89" i="4"/>
  <c r="D76" i="4"/>
  <c r="D63" i="4"/>
  <c r="D53" i="4"/>
  <c r="D40" i="4"/>
  <c r="D27" i="4"/>
  <c r="D262" i="4"/>
  <c r="D250" i="4"/>
  <c r="D238" i="4"/>
  <c r="D226" i="4"/>
  <c r="D214" i="4"/>
  <c r="D202" i="4"/>
  <c r="D190" i="4"/>
  <c r="D178" i="4"/>
  <c r="D166" i="4"/>
  <c r="D154" i="4"/>
  <c r="D142" i="4"/>
  <c r="D128" i="4"/>
  <c r="D115" i="4"/>
  <c r="D102" i="4"/>
  <c r="D92" i="4"/>
  <c r="D79" i="4"/>
  <c r="D66" i="4"/>
  <c r="D56" i="4"/>
  <c r="D43" i="4"/>
  <c r="D30" i="4"/>
  <c r="D20" i="4"/>
  <c r="D17" i="4"/>
  <c r="D271" i="4"/>
  <c r="D253" i="4"/>
  <c r="D241" i="4"/>
  <c r="D229" i="4"/>
  <c r="D217" i="4"/>
  <c r="D205" i="4"/>
  <c r="D193" i="4"/>
  <c r="D181" i="4"/>
  <c r="D169" i="4"/>
  <c r="D157" i="4"/>
  <c r="D145" i="4"/>
  <c r="D137" i="4"/>
  <c r="D124" i="4"/>
  <c r="D111" i="4"/>
  <c r="D101" i="4"/>
  <c r="D88" i="4"/>
  <c r="D75" i="4"/>
  <c r="D65" i="4"/>
  <c r="D52" i="4"/>
  <c r="D39" i="4"/>
  <c r="D29" i="4"/>
  <c r="D160" i="4"/>
  <c r="D121" i="4"/>
  <c r="D110" i="4"/>
  <c r="D104" i="4"/>
  <c r="D59" i="4"/>
  <c r="D37" i="4"/>
  <c r="D130" i="4"/>
  <c r="D68" i="4"/>
  <c r="D232" i="4"/>
  <c r="D132" i="4"/>
  <c r="D98" i="4"/>
  <c r="D48" i="4"/>
  <c r="D42" i="4"/>
  <c r="D131" i="4"/>
  <c r="D109" i="4"/>
  <c r="D87" i="4"/>
  <c r="D81" i="4"/>
  <c r="D36" i="4"/>
  <c r="D25" i="4"/>
  <c r="D19" i="4"/>
  <c r="D136" i="4"/>
  <c r="D85" i="4"/>
  <c r="D74" i="4"/>
  <c r="D23" i="4"/>
  <c r="D120" i="4"/>
  <c r="D114" i="4"/>
  <c r="D86" i="4"/>
  <c r="D69" i="4"/>
  <c r="D64" i="4"/>
  <c r="D58" i="4"/>
  <c r="D108" i="4"/>
  <c r="D97" i="4"/>
  <c r="D91" i="4"/>
  <c r="D46" i="4"/>
  <c r="D41" i="4"/>
  <c r="D35" i="4"/>
  <c r="D24" i="4"/>
  <c r="D172" i="4"/>
  <c r="D220" i="4"/>
  <c r="D196" i="4"/>
  <c r="D256" i="4"/>
  <c r="D148" i="4"/>
  <c r="D95" i="4"/>
  <c r="D73" i="4"/>
  <c r="D51" i="4"/>
  <c r="D45" i="4"/>
  <c r="D84" i="4"/>
  <c r="D32" i="4"/>
  <c r="D72" i="4"/>
  <c r="D100" i="4"/>
  <c r="D127" i="4"/>
  <c r="D113" i="4"/>
  <c r="C62" i="4"/>
  <c r="G62" i="4" s="1"/>
  <c r="E62" i="4"/>
  <c r="D28" i="4"/>
  <c r="D55" i="4"/>
  <c r="D60" i="4"/>
  <c r="D33" i="4"/>
  <c r="D61" i="4"/>
  <c r="D265" i="4"/>
  <c r="C22" i="4"/>
  <c r="G22" i="4" s="1"/>
  <c r="D49" i="4"/>
  <c r="D77" i="4"/>
  <c r="D217" i="25"/>
  <c r="E217" i="25" s="1"/>
  <c r="D100" i="25"/>
  <c r="E100" i="25" s="1"/>
  <c r="D113" i="25"/>
  <c r="D233" i="25"/>
  <c r="E233" i="25" s="1"/>
  <c r="D20" i="25"/>
  <c r="E20" i="25" s="1"/>
  <c r="D119" i="25"/>
  <c r="E119" i="25" s="1"/>
  <c r="D248" i="25"/>
  <c r="C248" i="25" s="1"/>
  <c r="D24" i="25"/>
  <c r="E24" i="25" s="1"/>
  <c r="D126" i="25"/>
  <c r="E126" i="25" s="1"/>
  <c r="D256" i="25"/>
  <c r="E256" i="25" s="1"/>
  <c r="D215" i="25"/>
  <c r="E215" i="25" s="1"/>
  <c r="D34" i="25"/>
  <c r="E34" i="25" s="1"/>
  <c r="C131" i="25"/>
  <c r="G131" i="25" s="1"/>
  <c r="D64" i="25"/>
  <c r="E64" i="25" s="1"/>
  <c r="D152" i="25"/>
  <c r="E152" i="25" s="1"/>
  <c r="D257" i="25"/>
  <c r="E257" i="25" s="1"/>
  <c r="D75" i="25"/>
  <c r="C75" i="25" s="1"/>
  <c r="D175" i="25"/>
  <c r="E175" i="25" s="1"/>
  <c r="D266" i="25"/>
  <c r="E266" i="25" s="1"/>
  <c r="D81" i="25"/>
  <c r="C81" i="25" s="1"/>
  <c r="D184" i="25"/>
  <c r="E184" i="25" s="1"/>
  <c r="D19" i="25"/>
  <c r="D53" i="25"/>
  <c r="C53" i="25" s="1"/>
  <c r="D114" i="25"/>
  <c r="C114" i="25" s="1"/>
  <c r="D161" i="25"/>
  <c r="D224" i="25"/>
  <c r="D63" i="25"/>
  <c r="C63" i="25" s="1"/>
  <c r="D124" i="25"/>
  <c r="E124" i="25" s="1"/>
  <c r="D176" i="25"/>
  <c r="C176" i="25" s="1"/>
  <c r="D239" i="25"/>
  <c r="E239" i="25" s="1"/>
  <c r="D28" i="25"/>
  <c r="C28" i="25" s="1"/>
  <c r="D69" i="25"/>
  <c r="C69" i="25" s="1"/>
  <c r="D125" i="25"/>
  <c r="D185" i="25"/>
  <c r="E185" i="25" s="1"/>
  <c r="D247" i="25"/>
  <c r="D47" i="25"/>
  <c r="E47" i="25" s="1"/>
  <c r="D93" i="25"/>
  <c r="E93" i="25" s="1"/>
  <c r="C139" i="25"/>
  <c r="G139" i="25" s="1"/>
  <c r="D265" i="25"/>
  <c r="E265" i="25" s="1"/>
  <c r="C52" i="25"/>
  <c r="G52" i="25" s="1"/>
  <c r="C256" i="25"/>
  <c r="G256" i="25" s="1"/>
  <c r="C38" i="25"/>
  <c r="G38" i="25" s="1"/>
  <c r="E242" i="25"/>
  <c r="C242" i="25"/>
  <c r="E42" i="25"/>
  <c r="G42" i="25" s="1"/>
  <c r="E57" i="25"/>
  <c r="G57" i="25" s="1"/>
  <c r="E224" i="25"/>
  <c r="C224" i="25"/>
  <c r="D101" i="25"/>
  <c r="D226" i="25"/>
  <c r="E63" i="25"/>
  <c r="G63" i="25" s="1"/>
  <c r="D270" i="25"/>
  <c r="D267" i="25"/>
  <c r="D264" i="25"/>
  <c r="D261" i="25"/>
  <c r="D258" i="25"/>
  <c r="D255" i="25"/>
  <c r="D252" i="25"/>
  <c r="D249" i="25"/>
  <c r="D246" i="25"/>
  <c r="D243" i="25"/>
  <c r="D240" i="25"/>
  <c r="D237" i="25"/>
  <c r="D234" i="25"/>
  <c r="D231" i="25"/>
  <c r="D228" i="25"/>
  <c r="D225" i="25"/>
  <c r="D222" i="25"/>
  <c r="D219" i="25"/>
  <c r="D216" i="25"/>
  <c r="D213" i="25"/>
  <c r="D210" i="25"/>
  <c r="D207" i="25"/>
  <c r="D204" i="25"/>
  <c r="D201" i="25"/>
  <c r="D198" i="25"/>
  <c r="D195" i="25"/>
  <c r="D192" i="25"/>
  <c r="D189" i="25"/>
  <c r="D186" i="25"/>
  <c r="D183" i="25"/>
  <c r="D180" i="25"/>
  <c r="D177" i="25"/>
  <c r="D174" i="25"/>
  <c r="D171" i="25"/>
  <c r="D168" i="25"/>
  <c r="D165" i="25"/>
  <c r="D162" i="25"/>
  <c r="D159" i="25"/>
  <c r="D156" i="25"/>
  <c r="D153" i="25"/>
  <c r="D150" i="25"/>
  <c r="D147" i="25"/>
  <c r="D144" i="25"/>
  <c r="D141" i="25"/>
  <c r="D138" i="25"/>
  <c r="D135" i="25"/>
  <c r="D132" i="25"/>
  <c r="D129" i="25"/>
  <c r="E272" i="25"/>
  <c r="C272" i="25"/>
  <c r="D268" i="25"/>
  <c r="D263" i="25"/>
  <c r="D259" i="25"/>
  <c r="D254" i="25"/>
  <c r="D250" i="25"/>
  <c r="D245" i="25"/>
  <c r="D241" i="25"/>
  <c r="D236" i="25"/>
  <c r="D232" i="25"/>
  <c r="D227" i="25"/>
  <c r="D223" i="25"/>
  <c r="D218" i="25"/>
  <c r="D214" i="25"/>
  <c r="D209" i="25"/>
  <c r="D205" i="25"/>
  <c r="D200" i="25"/>
  <c r="D196" i="25"/>
  <c r="D191" i="25"/>
  <c r="D187" i="25"/>
  <c r="D182" i="25"/>
  <c r="D178" i="25"/>
  <c r="D173" i="25"/>
  <c r="D169" i="25"/>
  <c r="D164" i="25"/>
  <c r="D160" i="25"/>
  <c r="D155" i="25"/>
  <c r="D151" i="25"/>
  <c r="D146" i="25"/>
  <c r="D142" i="25"/>
  <c r="D137" i="25"/>
  <c r="D133" i="25"/>
  <c r="D128" i="25"/>
  <c r="D116" i="25"/>
  <c r="D104" i="25"/>
  <c r="D92" i="25"/>
  <c r="D80" i="25"/>
  <c r="D68" i="25"/>
  <c r="D56" i="25"/>
  <c r="D46" i="25"/>
  <c r="D33" i="25"/>
  <c r="D23" i="25"/>
  <c r="D118" i="25"/>
  <c r="D106" i="25"/>
  <c r="D94" i="25"/>
  <c r="D82" i="25"/>
  <c r="D70" i="25"/>
  <c r="D58" i="25"/>
  <c r="D44" i="25"/>
  <c r="D31" i="25"/>
  <c r="D18" i="25"/>
  <c r="D154" i="25"/>
  <c r="D127" i="25"/>
  <c r="D122" i="25"/>
  <c r="D108" i="25"/>
  <c r="D103" i="25"/>
  <c r="D98" i="25"/>
  <c r="D84" i="25"/>
  <c r="D79" i="25"/>
  <c r="D74" i="25"/>
  <c r="D60" i="25"/>
  <c r="D55" i="25"/>
  <c r="D51" i="25"/>
  <c r="D43" i="25"/>
  <c r="D39" i="25"/>
  <c r="D35" i="25"/>
  <c r="D148" i="25"/>
  <c r="D112" i="25"/>
  <c r="D107" i="25"/>
  <c r="D88" i="25"/>
  <c r="D83" i="25"/>
  <c r="D167" i="25"/>
  <c r="D140" i="25"/>
  <c r="D120" i="25"/>
  <c r="D115" i="25"/>
  <c r="D110" i="25"/>
  <c r="D96" i="25"/>
  <c r="D91" i="25"/>
  <c r="D86" i="25"/>
  <c r="D72" i="25"/>
  <c r="D67" i="25"/>
  <c r="D62" i="25"/>
  <c r="D45" i="25"/>
  <c r="D41" i="25"/>
  <c r="D37" i="25"/>
  <c r="D29" i="25"/>
  <c r="D30" i="25"/>
  <c r="D163" i="25"/>
  <c r="D202" i="25"/>
  <c r="D49" i="25"/>
  <c r="D59" i="25"/>
  <c r="D89" i="25"/>
  <c r="D102" i="25"/>
  <c r="D66" i="25"/>
  <c r="D77" i="25"/>
  <c r="D90" i="25"/>
  <c r="D179" i="25"/>
  <c r="D211" i="25"/>
  <c r="D269" i="25"/>
  <c r="D143" i="25"/>
  <c r="D212" i="25"/>
  <c r="D22" i="25"/>
  <c r="D50" i="25"/>
  <c r="D61" i="25"/>
  <c r="D97" i="25"/>
  <c r="D27" i="25"/>
  <c r="D73" i="25"/>
  <c r="D85" i="25"/>
  <c r="D111" i="25"/>
  <c r="D117" i="25"/>
  <c r="D130" i="25"/>
  <c r="D158" i="25"/>
  <c r="D166" i="25"/>
  <c r="D181" i="25"/>
  <c r="D197" i="25"/>
  <c r="D221" i="25"/>
  <c r="D229" i="25"/>
  <c r="D253" i="25"/>
  <c r="D262" i="25"/>
  <c r="D271" i="25"/>
  <c r="E87" i="25"/>
  <c r="G87" i="25" s="1"/>
  <c r="D25" i="25"/>
  <c r="D76" i="25"/>
  <c r="D170" i="25"/>
  <c r="D194" i="25"/>
  <c r="D54" i="25"/>
  <c r="D65" i="25"/>
  <c r="D95" i="25"/>
  <c r="D121" i="25"/>
  <c r="D134" i="25"/>
  <c r="D149" i="25"/>
  <c r="D21" i="25"/>
  <c r="D40" i="25"/>
  <c r="D71" i="25"/>
  <c r="D109" i="25"/>
  <c r="D157" i="25"/>
  <c r="D203" i="25"/>
  <c r="D235" i="25"/>
  <c r="D251" i="25"/>
  <c r="D260" i="25"/>
  <c r="D17" i="25"/>
  <c r="D26" i="25"/>
  <c r="D78" i="25"/>
  <c r="D123" i="25"/>
  <c r="D136" i="25"/>
  <c r="D172" i="25"/>
  <c r="D188" i="25"/>
  <c r="D220" i="25"/>
  <c r="D244" i="25"/>
  <c r="D36" i="25"/>
  <c r="D32" i="25"/>
  <c r="D99" i="25"/>
  <c r="D105" i="25"/>
  <c r="D145" i="25"/>
  <c r="D190" i="25"/>
  <c r="D206" i="25"/>
  <c r="D230" i="25"/>
  <c r="D238" i="25"/>
  <c r="C265" i="27"/>
  <c r="E265" i="27"/>
  <c r="E46" i="27"/>
  <c r="G46" i="27" s="1"/>
  <c r="E169" i="27"/>
  <c r="G169" i="27" s="1"/>
  <c r="E232" i="27"/>
  <c r="G232" i="27" s="1"/>
  <c r="E241" i="27"/>
  <c r="G241" i="27" s="1"/>
  <c r="E250" i="27"/>
  <c r="G250" i="27" s="1"/>
  <c r="G255" i="27"/>
  <c r="E70" i="27"/>
  <c r="G70" i="27" s="1"/>
  <c r="D224" i="27"/>
  <c r="D233" i="27"/>
  <c r="D242" i="27"/>
  <c r="D251" i="27"/>
  <c r="D260" i="27"/>
  <c r="D269" i="27"/>
  <c r="E22" i="27"/>
  <c r="G22" i="27" s="1"/>
  <c r="C26" i="27"/>
  <c r="G26" i="27" s="1"/>
  <c r="E40" i="27"/>
  <c r="G40" i="27" s="1"/>
  <c r="D49" i="27"/>
  <c r="D58" i="27"/>
  <c r="D67" i="27"/>
  <c r="D76" i="27"/>
  <c r="D85" i="27"/>
  <c r="D94" i="27"/>
  <c r="D103" i="27"/>
  <c r="D112" i="27"/>
  <c r="D121" i="27"/>
  <c r="D130" i="27"/>
  <c r="D139" i="27"/>
  <c r="D148" i="27"/>
  <c r="D157" i="27"/>
  <c r="D166" i="27"/>
  <c r="D175" i="27"/>
  <c r="D184" i="27"/>
  <c r="D193" i="27"/>
  <c r="D202" i="27"/>
  <c r="D211" i="27"/>
  <c r="D220" i="27"/>
  <c r="D229" i="27"/>
  <c r="D238" i="27"/>
  <c r="D247" i="27"/>
  <c r="D256" i="27"/>
  <c r="E61" i="27"/>
  <c r="G61" i="27" s="1"/>
  <c r="E133" i="27"/>
  <c r="G133" i="27" s="1"/>
  <c r="E272" i="27"/>
  <c r="C272" i="27"/>
  <c r="D271" i="27"/>
  <c r="E19" i="27"/>
  <c r="G19" i="27" s="1"/>
  <c r="D30" i="27"/>
  <c r="D45" i="27"/>
  <c r="D54" i="27"/>
  <c r="D63" i="27"/>
  <c r="D72" i="27"/>
  <c r="D81" i="27"/>
  <c r="D90" i="27"/>
  <c r="D99" i="27"/>
  <c r="D108" i="27"/>
  <c r="D117" i="27"/>
  <c r="D126" i="27"/>
  <c r="D135" i="27"/>
  <c r="D144" i="27"/>
  <c r="D153" i="27"/>
  <c r="D162" i="27"/>
  <c r="D171" i="27"/>
  <c r="D180" i="27"/>
  <c r="D189" i="27"/>
  <c r="D198" i="27"/>
  <c r="D207" i="27"/>
  <c r="D216" i="27"/>
  <c r="D225" i="27"/>
  <c r="D234" i="27"/>
  <c r="D243" i="27"/>
  <c r="D252" i="27"/>
  <c r="D261" i="27"/>
  <c r="D270" i="27"/>
  <c r="D23" i="27"/>
  <c r="D34" i="27"/>
  <c r="D41" i="27"/>
  <c r="D50" i="27"/>
  <c r="D59" i="27"/>
  <c r="D68" i="27"/>
  <c r="D77" i="27"/>
  <c r="D86" i="27"/>
  <c r="D95" i="27"/>
  <c r="D104" i="27"/>
  <c r="D113" i="27"/>
  <c r="D122" i="27"/>
  <c r="D131" i="27"/>
  <c r="D140" i="27"/>
  <c r="D149" i="27"/>
  <c r="D158" i="27"/>
  <c r="D167" i="27"/>
  <c r="D176" i="27"/>
  <c r="D185" i="27"/>
  <c r="D194" i="27"/>
  <c r="D203" i="27"/>
  <c r="D212" i="27"/>
  <c r="D221" i="27"/>
  <c r="D230" i="27"/>
  <c r="D239" i="27"/>
  <c r="D248" i="27"/>
  <c r="D257" i="27"/>
  <c r="D266" i="27"/>
  <c r="E86" i="26"/>
  <c r="E263" i="26"/>
  <c r="C263" i="26"/>
  <c r="E266" i="26"/>
  <c r="C266" i="26"/>
  <c r="D49" i="26"/>
  <c r="D73" i="26"/>
  <c r="C115" i="26"/>
  <c r="G115" i="26" s="1"/>
  <c r="C121" i="26"/>
  <c r="G121" i="26" s="1"/>
  <c r="C158" i="26"/>
  <c r="G158" i="26" s="1"/>
  <c r="C175" i="26"/>
  <c r="G175" i="26" s="1"/>
  <c r="D211" i="26"/>
  <c r="C223" i="26"/>
  <c r="G223" i="26" s="1"/>
  <c r="C236" i="26"/>
  <c r="G236" i="26" s="1"/>
  <c r="D241" i="26"/>
  <c r="D259" i="26"/>
  <c r="D270" i="26"/>
  <c r="D267" i="26"/>
  <c r="D264" i="26"/>
  <c r="D261" i="26"/>
  <c r="D258" i="26"/>
  <c r="D255" i="26"/>
  <c r="D252" i="26"/>
  <c r="D249" i="26"/>
  <c r="D246" i="26"/>
  <c r="D243" i="26"/>
  <c r="D240" i="26"/>
  <c r="D237" i="26"/>
  <c r="D234" i="26"/>
  <c r="D231" i="26"/>
  <c r="D228" i="26"/>
  <c r="D225" i="26"/>
  <c r="D222" i="26"/>
  <c r="D219" i="26"/>
  <c r="D216" i="26"/>
  <c r="D213" i="26"/>
  <c r="D210" i="26"/>
  <c r="D207" i="26"/>
  <c r="D204" i="26"/>
  <c r="D201" i="26"/>
  <c r="D198" i="26"/>
  <c r="D195" i="26"/>
  <c r="D192" i="26"/>
  <c r="D189" i="26"/>
  <c r="D186" i="26"/>
  <c r="D183" i="26"/>
  <c r="D180" i="26"/>
  <c r="D177" i="26"/>
  <c r="D174" i="26"/>
  <c r="D171" i="26"/>
  <c r="D168" i="26"/>
  <c r="D165" i="26"/>
  <c r="D162" i="26"/>
  <c r="D159" i="26"/>
  <c r="D156" i="26"/>
  <c r="D153" i="26"/>
  <c r="D150" i="26"/>
  <c r="D147" i="26"/>
  <c r="D144" i="26"/>
  <c r="D141" i="26"/>
  <c r="D138" i="26"/>
  <c r="D135" i="26"/>
  <c r="D132" i="26"/>
  <c r="D129" i="26"/>
  <c r="D126" i="26"/>
  <c r="D123" i="26"/>
  <c r="D120" i="26"/>
  <c r="D117" i="26"/>
  <c r="D114" i="26"/>
  <c r="D111" i="26"/>
  <c r="D108" i="26"/>
  <c r="D105" i="26"/>
  <c r="D102" i="26"/>
  <c r="D99" i="26"/>
  <c r="D96" i="26"/>
  <c r="D93" i="26"/>
  <c r="D90" i="26"/>
  <c r="D87" i="26"/>
  <c r="D84" i="26"/>
  <c r="D81" i="26"/>
  <c r="D78" i="26"/>
  <c r="D75" i="26"/>
  <c r="D72" i="26"/>
  <c r="D69" i="26"/>
  <c r="D66" i="26"/>
  <c r="D63" i="26"/>
  <c r="D60" i="26"/>
  <c r="D57" i="26"/>
  <c r="D54" i="26"/>
  <c r="D51" i="26"/>
  <c r="D48" i="26"/>
  <c r="D45" i="26"/>
  <c r="D42" i="26"/>
  <c r="D39" i="26"/>
  <c r="D36" i="26"/>
  <c r="D33" i="26"/>
  <c r="D30" i="26"/>
  <c r="D27" i="26"/>
  <c r="D24" i="26"/>
  <c r="D21" i="26"/>
  <c r="E272" i="26"/>
  <c r="D257" i="26"/>
  <c r="D250" i="26"/>
  <c r="D239" i="26"/>
  <c r="D232" i="26"/>
  <c r="D221" i="26"/>
  <c r="D214" i="26"/>
  <c r="D203" i="26"/>
  <c r="D196" i="26"/>
  <c r="D185" i="26"/>
  <c r="D178" i="26"/>
  <c r="D167" i="26"/>
  <c r="D160" i="26"/>
  <c r="D149" i="26"/>
  <c r="D142" i="26"/>
  <c r="D131" i="26"/>
  <c r="D124" i="26"/>
  <c r="D113" i="26"/>
  <c r="D106" i="26"/>
  <c r="D95" i="26"/>
  <c r="D88" i="26"/>
  <c r="D65" i="26"/>
  <c r="D52" i="26"/>
  <c r="D29" i="26"/>
  <c r="D35" i="26"/>
  <c r="D245" i="26"/>
  <c r="D238" i="26"/>
  <c r="D184" i="26"/>
  <c r="C272" i="26"/>
  <c r="D68" i="26"/>
  <c r="D55" i="26"/>
  <c r="D32" i="26"/>
  <c r="D19" i="26"/>
  <c r="D220" i="26"/>
  <c r="D268" i="26"/>
  <c r="D260" i="26"/>
  <c r="D253" i="26"/>
  <c r="D242" i="26"/>
  <c r="D235" i="26"/>
  <c r="D224" i="26"/>
  <c r="D217" i="26"/>
  <c r="D206" i="26"/>
  <c r="D199" i="26"/>
  <c r="D188" i="26"/>
  <c r="D181" i="26"/>
  <c r="D170" i="26"/>
  <c r="D163" i="26"/>
  <c r="D152" i="26"/>
  <c r="D145" i="26"/>
  <c r="D134" i="26"/>
  <c r="D127" i="26"/>
  <c r="D116" i="26"/>
  <c r="D109" i="26"/>
  <c r="D98" i="26"/>
  <c r="D91" i="26"/>
  <c r="D71" i="26"/>
  <c r="D58" i="26"/>
  <c r="D22" i="26"/>
  <c r="D74" i="26"/>
  <c r="D61" i="26"/>
  <c r="D38" i="26"/>
  <c r="D25" i="26"/>
  <c r="D256" i="26"/>
  <c r="D227" i="26"/>
  <c r="D209" i="26"/>
  <c r="D202" i="26"/>
  <c r="D20" i="26"/>
  <c r="D44" i="26"/>
  <c r="C64" i="26"/>
  <c r="G64" i="26" s="1"/>
  <c r="D79" i="26"/>
  <c r="C89" i="26"/>
  <c r="G89" i="26" s="1"/>
  <c r="C94" i="26"/>
  <c r="G94" i="26" s="1"/>
  <c r="C100" i="26"/>
  <c r="G100" i="26" s="1"/>
  <c r="C143" i="26"/>
  <c r="G143" i="26" s="1"/>
  <c r="C182" i="26"/>
  <c r="G182" i="26" s="1"/>
  <c r="D187" i="26"/>
  <c r="D205" i="26"/>
  <c r="D218" i="26"/>
  <c r="D212" i="26"/>
  <c r="E26" i="26"/>
  <c r="G26" i="26" s="1"/>
  <c r="D46" i="26"/>
  <c r="D70" i="26"/>
  <c r="D128" i="26"/>
  <c r="D133" i="26"/>
  <c r="D139" i="26"/>
  <c r="D176" i="26"/>
  <c r="D262" i="26"/>
  <c r="D17" i="26"/>
  <c r="D31" i="26"/>
  <c r="D56" i="26"/>
  <c r="D80" i="26"/>
  <c r="D226" i="26"/>
  <c r="D244" i="26"/>
  <c r="D271" i="26"/>
  <c r="D122" i="26"/>
  <c r="D194" i="26"/>
  <c r="D41" i="26"/>
  <c r="D76" i="26"/>
  <c r="D101" i="26"/>
  <c r="D107" i="26"/>
  <c r="D112" i="26"/>
  <c r="D118" i="26"/>
  <c r="D155" i="26"/>
  <c r="D161" i="26"/>
  <c r="D166" i="26"/>
  <c r="D172" i="26"/>
  <c r="D190" i="26"/>
  <c r="D208" i="26"/>
  <c r="C89" i="27" l="1"/>
  <c r="G89" i="27" s="1"/>
  <c r="C75" i="27"/>
  <c r="G75" i="27" s="1"/>
  <c r="C69" i="27"/>
  <c r="G69" i="27" s="1"/>
  <c r="C32" i="27"/>
  <c r="G32" i="27" s="1"/>
  <c r="C209" i="27"/>
  <c r="G209" i="27" s="1"/>
  <c r="E196" i="27"/>
  <c r="G196" i="27" s="1"/>
  <c r="C110" i="27"/>
  <c r="G110" i="27" s="1"/>
  <c r="E160" i="27"/>
  <c r="G160" i="27" s="1"/>
  <c r="E55" i="27"/>
  <c r="G55" i="27" s="1"/>
  <c r="C159" i="27"/>
  <c r="G159" i="27" s="1"/>
  <c r="E172" i="27"/>
  <c r="G172" i="27" s="1"/>
  <c r="E190" i="27"/>
  <c r="G190" i="27" s="1"/>
  <c r="E268" i="27"/>
  <c r="G268" i="27" s="1"/>
  <c r="G272" i="30"/>
  <c r="E246" i="30"/>
  <c r="E201" i="30"/>
  <c r="G201" i="30" s="1"/>
  <c r="C217" i="30"/>
  <c r="G217" i="30" s="1"/>
  <c r="G151" i="30"/>
  <c r="C155" i="30"/>
  <c r="G155" i="30" s="1"/>
  <c r="E43" i="30"/>
  <c r="G43" i="30" s="1"/>
  <c r="E263" i="30"/>
  <c r="G263" i="30" s="1"/>
  <c r="E204" i="30"/>
  <c r="G204" i="30" s="1"/>
  <c r="E233" i="30"/>
  <c r="C233" i="30"/>
  <c r="C229" i="35"/>
  <c r="G229" i="35" s="1"/>
  <c r="C34" i="35"/>
  <c r="G34" i="35" s="1"/>
  <c r="E64" i="35"/>
  <c r="G64" i="35" s="1"/>
  <c r="E155" i="35"/>
  <c r="G155" i="35" s="1"/>
  <c r="C46" i="35"/>
  <c r="G46" i="35" s="1"/>
  <c r="E77" i="35"/>
  <c r="G77" i="35" s="1"/>
  <c r="E215" i="35"/>
  <c r="G215" i="35" s="1"/>
  <c r="C148" i="35"/>
  <c r="G148" i="35" s="1"/>
  <c r="E239" i="35"/>
  <c r="G239" i="35" s="1"/>
  <c r="E65" i="35"/>
  <c r="G65" i="35" s="1"/>
  <c r="E263" i="35"/>
  <c r="G263" i="35" s="1"/>
  <c r="C18" i="35"/>
  <c r="G18" i="35" s="1"/>
  <c r="C253" i="35"/>
  <c r="G253" i="35" s="1"/>
  <c r="E179" i="35"/>
  <c r="G179" i="35" s="1"/>
  <c r="C97" i="35"/>
  <c r="G97" i="35" s="1"/>
  <c r="E88" i="35"/>
  <c r="C79" i="35"/>
  <c r="G79" i="35" s="1"/>
  <c r="E100" i="35"/>
  <c r="G100" i="35" s="1"/>
  <c r="E25" i="35"/>
  <c r="C25" i="35"/>
  <c r="E181" i="35"/>
  <c r="C181" i="35"/>
  <c r="G181" i="35" s="1"/>
  <c r="E121" i="35"/>
  <c r="C121" i="35"/>
  <c r="E232" i="35"/>
  <c r="C232" i="35"/>
  <c r="E29" i="35"/>
  <c r="G29" i="35" s="1"/>
  <c r="E145" i="35"/>
  <c r="C145" i="35"/>
  <c r="E82" i="35"/>
  <c r="C82" i="35"/>
  <c r="E98" i="35"/>
  <c r="C98" i="35"/>
  <c r="E95" i="35"/>
  <c r="C95" i="35"/>
  <c r="C23" i="35"/>
  <c r="G23" i="35" s="1"/>
  <c r="E61" i="35"/>
  <c r="C61" i="35"/>
  <c r="E38" i="35"/>
  <c r="C38" i="35"/>
  <c r="E26" i="35"/>
  <c r="C26" i="35"/>
  <c r="E184" i="35"/>
  <c r="C184" i="35"/>
  <c r="E208" i="35"/>
  <c r="C208" i="35"/>
  <c r="G208" i="35" s="1"/>
  <c r="E124" i="35"/>
  <c r="C124" i="35"/>
  <c r="E17" i="35"/>
  <c r="C17" i="35"/>
  <c r="E191" i="35"/>
  <c r="G191" i="35" s="1"/>
  <c r="E265" i="35"/>
  <c r="C265" i="35"/>
  <c r="E49" i="35"/>
  <c r="C49" i="35"/>
  <c r="G49" i="35" s="1"/>
  <c r="E203" i="35"/>
  <c r="G203" i="35" s="1"/>
  <c r="E131" i="35"/>
  <c r="G131" i="35" s="1"/>
  <c r="E256" i="35"/>
  <c r="C256" i="35"/>
  <c r="E119" i="35"/>
  <c r="G119" i="35" s="1"/>
  <c r="E242" i="34"/>
  <c r="G242" i="34" s="1"/>
  <c r="E74" i="34"/>
  <c r="G272" i="34"/>
  <c r="G272" i="37"/>
  <c r="E157" i="37"/>
  <c r="C157" i="37"/>
  <c r="G157" i="37" s="1"/>
  <c r="E88" i="37"/>
  <c r="C88" i="37"/>
  <c r="G88" i="37" s="1"/>
  <c r="E79" i="37"/>
  <c r="C79" i="37"/>
  <c r="G79" i="37" s="1"/>
  <c r="E35" i="37"/>
  <c r="C35" i="37"/>
  <c r="G35" i="37" s="1"/>
  <c r="E61" i="37"/>
  <c r="C61" i="37"/>
  <c r="C91" i="37"/>
  <c r="G91" i="37" s="1"/>
  <c r="E91" i="37"/>
  <c r="C25" i="37"/>
  <c r="G25" i="37" s="1"/>
  <c r="C28" i="37"/>
  <c r="E28" i="37"/>
  <c r="E44" i="37"/>
  <c r="C44" i="37"/>
  <c r="E22" i="37"/>
  <c r="C22" i="37"/>
  <c r="E175" i="37"/>
  <c r="C175" i="37"/>
  <c r="G175" i="37" s="1"/>
  <c r="C121" i="37"/>
  <c r="E121" i="37"/>
  <c r="E256" i="37"/>
  <c r="C256" i="37"/>
  <c r="G256" i="37" s="1"/>
  <c r="C97" i="37"/>
  <c r="E97" i="37"/>
  <c r="C50" i="37"/>
  <c r="G50" i="37" s="1"/>
  <c r="E50" i="37"/>
  <c r="C71" i="37"/>
  <c r="G71" i="37" s="1"/>
  <c r="C68" i="37"/>
  <c r="E68" i="37"/>
  <c r="E202" i="37"/>
  <c r="C202" i="37"/>
  <c r="E76" i="37"/>
  <c r="C76" i="37"/>
  <c r="E247" i="37"/>
  <c r="C247" i="37"/>
  <c r="G247" i="37" s="1"/>
  <c r="E166" i="37"/>
  <c r="C166" i="37"/>
  <c r="G166" i="37" s="1"/>
  <c r="C37" i="37"/>
  <c r="E37" i="37"/>
  <c r="E193" i="37"/>
  <c r="C193" i="37"/>
  <c r="G193" i="37" s="1"/>
  <c r="E148" i="37"/>
  <c r="C148" i="37"/>
  <c r="C34" i="37"/>
  <c r="G34" i="37" s="1"/>
  <c r="C109" i="37"/>
  <c r="E109" i="37"/>
  <c r="E229" i="37"/>
  <c r="C229" i="37"/>
  <c r="G229" i="37" s="1"/>
  <c r="E18" i="37"/>
  <c r="C18" i="37"/>
  <c r="E139" i="37"/>
  <c r="C139" i="37"/>
  <c r="E58" i="37"/>
  <c r="C58" i="37"/>
  <c r="G58" i="37" s="1"/>
  <c r="E238" i="37"/>
  <c r="C238" i="37"/>
  <c r="G238" i="37" s="1"/>
  <c r="E31" i="37"/>
  <c r="C31" i="37"/>
  <c r="G31" i="37" s="1"/>
  <c r="E220" i="37"/>
  <c r="C220" i="37"/>
  <c r="G220" i="37" s="1"/>
  <c r="E184" i="37"/>
  <c r="C184" i="37"/>
  <c r="E211" i="37"/>
  <c r="C211" i="37"/>
  <c r="E41" i="37"/>
  <c r="C41" i="37"/>
  <c r="G41" i="37" s="1"/>
  <c r="C103" i="37"/>
  <c r="E103" i="37"/>
  <c r="E130" i="37"/>
  <c r="C130" i="37"/>
  <c r="G130" i="37" s="1"/>
  <c r="E268" i="37"/>
  <c r="C268" i="37"/>
  <c r="G268" i="37" s="1"/>
  <c r="C120" i="37"/>
  <c r="E120" i="37"/>
  <c r="E145" i="37"/>
  <c r="C145" i="37"/>
  <c r="E259" i="37"/>
  <c r="C259" i="37"/>
  <c r="G259" i="37" s="1"/>
  <c r="E151" i="37"/>
  <c r="C151" i="37"/>
  <c r="G151" i="37" s="1"/>
  <c r="E92" i="37"/>
  <c r="C92" i="37"/>
  <c r="E128" i="37"/>
  <c r="C128" i="37"/>
  <c r="G128" i="37" s="1"/>
  <c r="E164" i="37"/>
  <c r="C164" i="37"/>
  <c r="E200" i="37"/>
  <c r="C200" i="37"/>
  <c r="E236" i="37"/>
  <c r="C236" i="37"/>
  <c r="G236" i="37" s="1"/>
  <c r="E51" i="37"/>
  <c r="C51" i="37"/>
  <c r="G51" i="37" s="1"/>
  <c r="C87" i="37"/>
  <c r="E87" i="37"/>
  <c r="C123" i="37"/>
  <c r="E123" i="37"/>
  <c r="C159" i="37"/>
  <c r="E159" i="37"/>
  <c r="C195" i="37"/>
  <c r="E195" i="37"/>
  <c r="C231" i="37"/>
  <c r="E231" i="37"/>
  <c r="E48" i="37"/>
  <c r="C48" i="37"/>
  <c r="G48" i="37" s="1"/>
  <c r="C267" i="37"/>
  <c r="E267" i="37"/>
  <c r="E244" i="37"/>
  <c r="C244" i="37"/>
  <c r="G244" i="37" s="1"/>
  <c r="E136" i="37"/>
  <c r="C136" i="37"/>
  <c r="G86" i="37"/>
  <c r="E250" i="37"/>
  <c r="C250" i="37"/>
  <c r="E142" i="37"/>
  <c r="C142" i="37"/>
  <c r="E95" i="37"/>
  <c r="C95" i="37"/>
  <c r="E131" i="37"/>
  <c r="C131" i="37"/>
  <c r="E167" i="37"/>
  <c r="C167" i="37"/>
  <c r="E203" i="37"/>
  <c r="C203" i="37"/>
  <c r="E239" i="37"/>
  <c r="C239" i="37"/>
  <c r="C54" i="37"/>
  <c r="G54" i="37" s="1"/>
  <c r="E54" i="37"/>
  <c r="C90" i="37"/>
  <c r="G90" i="37" s="1"/>
  <c r="E90" i="37"/>
  <c r="C126" i="37"/>
  <c r="G126" i="37" s="1"/>
  <c r="E126" i="37"/>
  <c r="C162" i="37"/>
  <c r="E162" i="37"/>
  <c r="C198" i="37"/>
  <c r="E198" i="37"/>
  <c r="C234" i="37"/>
  <c r="E234" i="37"/>
  <c r="C270" i="37"/>
  <c r="G270" i="37" s="1"/>
  <c r="E270" i="37"/>
  <c r="E233" i="37"/>
  <c r="C233" i="37"/>
  <c r="E23" i="37"/>
  <c r="C23" i="37"/>
  <c r="E235" i="37"/>
  <c r="C235" i="37"/>
  <c r="E127" i="37"/>
  <c r="C127" i="37"/>
  <c r="E241" i="37"/>
  <c r="C241" i="37"/>
  <c r="E133" i="37"/>
  <c r="C133" i="37"/>
  <c r="E98" i="37"/>
  <c r="C98" i="37"/>
  <c r="E134" i="37"/>
  <c r="C134" i="37"/>
  <c r="E170" i="37"/>
  <c r="C170" i="37"/>
  <c r="E206" i="37"/>
  <c r="C206" i="37"/>
  <c r="E242" i="37"/>
  <c r="C242" i="37"/>
  <c r="E21" i="37"/>
  <c r="C21" i="37"/>
  <c r="C57" i="37"/>
  <c r="G57" i="37" s="1"/>
  <c r="E57" i="37"/>
  <c r="C93" i="37"/>
  <c r="G93" i="37" s="1"/>
  <c r="E93" i="37"/>
  <c r="C129" i="37"/>
  <c r="E129" i="37"/>
  <c r="C165" i="37"/>
  <c r="E165" i="37"/>
  <c r="C201" i="37"/>
  <c r="E201" i="37"/>
  <c r="C237" i="37"/>
  <c r="G237" i="37" s="1"/>
  <c r="E237" i="37"/>
  <c r="E197" i="37"/>
  <c r="C197" i="37"/>
  <c r="E253" i="37"/>
  <c r="C253" i="37"/>
  <c r="E226" i="37"/>
  <c r="C226" i="37"/>
  <c r="E85" i="37"/>
  <c r="C85" i="37"/>
  <c r="E89" i="37"/>
  <c r="C89" i="37"/>
  <c r="E232" i="37"/>
  <c r="C232" i="37"/>
  <c r="E124" i="37"/>
  <c r="C124" i="37"/>
  <c r="E101" i="37"/>
  <c r="C101" i="37"/>
  <c r="E137" i="37"/>
  <c r="C137" i="37"/>
  <c r="E173" i="37"/>
  <c r="C173" i="37"/>
  <c r="E209" i="37"/>
  <c r="C209" i="37"/>
  <c r="E245" i="37"/>
  <c r="C245" i="37"/>
  <c r="E24" i="37"/>
  <c r="C24" i="37"/>
  <c r="C60" i="37"/>
  <c r="G60" i="37" s="1"/>
  <c r="E60" i="37"/>
  <c r="C96" i="37"/>
  <c r="E96" i="37"/>
  <c r="C132" i="37"/>
  <c r="E132" i="37"/>
  <c r="C168" i="37"/>
  <c r="G168" i="37" s="1"/>
  <c r="E168" i="37"/>
  <c r="C204" i="37"/>
  <c r="G204" i="37" s="1"/>
  <c r="E204" i="37"/>
  <c r="C240" i="37"/>
  <c r="G240" i="37" s="1"/>
  <c r="E240" i="37"/>
  <c r="E46" i="37"/>
  <c r="C46" i="37"/>
  <c r="C264" i="37"/>
  <c r="E264" i="37"/>
  <c r="E49" i="37"/>
  <c r="C49" i="37"/>
  <c r="G49" i="37" s="1"/>
  <c r="E104" i="37"/>
  <c r="C104" i="37"/>
  <c r="E248" i="37"/>
  <c r="C248" i="37"/>
  <c r="E208" i="37"/>
  <c r="C208" i="37"/>
  <c r="E43" i="37"/>
  <c r="C43" i="37"/>
  <c r="E26" i="37"/>
  <c r="C26" i="37"/>
  <c r="E214" i="37"/>
  <c r="C214" i="37"/>
  <c r="E112" i="37"/>
  <c r="C112" i="37"/>
  <c r="E107" i="37"/>
  <c r="C107" i="37"/>
  <c r="E143" i="37"/>
  <c r="C143" i="37"/>
  <c r="E179" i="37"/>
  <c r="C179" i="37"/>
  <c r="E215" i="37"/>
  <c r="C215" i="37"/>
  <c r="E251" i="37"/>
  <c r="C251" i="37"/>
  <c r="E30" i="37"/>
  <c r="C30" i="37"/>
  <c r="C66" i="37"/>
  <c r="G66" i="37" s="1"/>
  <c r="E66" i="37"/>
  <c r="C102" i="37"/>
  <c r="G102" i="37" s="1"/>
  <c r="E102" i="37"/>
  <c r="C138" i="37"/>
  <c r="G138" i="37" s="1"/>
  <c r="E138" i="37"/>
  <c r="C174" i="37"/>
  <c r="E174" i="37"/>
  <c r="C210" i="37"/>
  <c r="E210" i="37"/>
  <c r="C246" i="37"/>
  <c r="G246" i="37" s="1"/>
  <c r="E246" i="37"/>
  <c r="E269" i="37"/>
  <c r="C269" i="37"/>
  <c r="C135" i="37"/>
  <c r="G135" i="37" s="1"/>
  <c r="E135" i="37"/>
  <c r="C74" i="37"/>
  <c r="G74" i="37" s="1"/>
  <c r="E74" i="37"/>
  <c r="E199" i="37"/>
  <c r="C199" i="37"/>
  <c r="E20" i="37"/>
  <c r="C20" i="37"/>
  <c r="E80" i="37"/>
  <c r="C80" i="37"/>
  <c r="E205" i="37"/>
  <c r="C205" i="37"/>
  <c r="E106" i="37"/>
  <c r="C106" i="37"/>
  <c r="E110" i="37"/>
  <c r="C110" i="37"/>
  <c r="E146" i="37"/>
  <c r="C146" i="37"/>
  <c r="E182" i="37"/>
  <c r="C182" i="37"/>
  <c r="E218" i="37"/>
  <c r="C218" i="37"/>
  <c r="E254" i="37"/>
  <c r="C254" i="37"/>
  <c r="E33" i="37"/>
  <c r="C33" i="37"/>
  <c r="C69" i="37"/>
  <c r="G69" i="37" s="1"/>
  <c r="E69" i="37"/>
  <c r="C105" i="37"/>
  <c r="E105" i="37"/>
  <c r="C141" i="37"/>
  <c r="E141" i="37"/>
  <c r="C177" i="37"/>
  <c r="G177" i="37" s="1"/>
  <c r="E177" i="37"/>
  <c r="C213" i="37"/>
  <c r="G213" i="37" s="1"/>
  <c r="E213" i="37"/>
  <c r="C249" i="37"/>
  <c r="G249" i="37" s="1"/>
  <c r="E249" i="37"/>
  <c r="E19" i="37"/>
  <c r="C19" i="37"/>
  <c r="C84" i="37"/>
  <c r="E84" i="37"/>
  <c r="C207" i="37"/>
  <c r="E207" i="37"/>
  <c r="C67" i="37"/>
  <c r="G67" i="37" s="1"/>
  <c r="E67" i="37"/>
  <c r="E190" i="37"/>
  <c r="C190" i="37"/>
  <c r="E17" i="37"/>
  <c r="C17" i="37"/>
  <c r="E73" i="37"/>
  <c r="C73" i="37"/>
  <c r="E196" i="37"/>
  <c r="C196" i="37"/>
  <c r="E100" i="37"/>
  <c r="C100" i="37"/>
  <c r="E113" i="37"/>
  <c r="C113" i="37"/>
  <c r="E149" i="37"/>
  <c r="C149" i="37"/>
  <c r="E185" i="37"/>
  <c r="C185" i="37"/>
  <c r="E221" i="37"/>
  <c r="C221" i="37"/>
  <c r="E257" i="37"/>
  <c r="C257" i="37"/>
  <c r="E36" i="37"/>
  <c r="C36" i="37"/>
  <c r="C72" i="37"/>
  <c r="G72" i="37" s="1"/>
  <c r="E72" i="37"/>
  <c r="C108" i="37"/>
  <c r="G108" i="37" s="1"/>
  <c r="E108" i="37"/>
  <c r="C144" i="37"/>
  <c r="G144" i="37" s="1"/>
  <c r="E144" i="37"/>
  <c r="C180" i="37"/>
  <c r="G180" i="37" s="1"/>
  <c r="E180" i="37"/>
  <c r="C216" i="37"/>
  <c r="E216" i="37"/>
  <c r="C252" i="37"/>
  <c r="E252" i="37"/>
  <c r="E154" i="37"/>
  <c r="C154" i="37"/>
  <c r="E125" i="37"/>
  <c r="C125" i="37"/>
  <c r="C192" i="37"/>
  <c r="G192" i="37" s="1"/>
  <c r="E192" i="37"/>
  <c r="E56" i="37"/>
  <c r="C56" i="37"/>
  <c r="E118" i="37"/>
  <c r="C118" i="37"/>
  <c r="E212" i="37"/>
  <c r="C212" i="37"/>
  <c r="C171" i="37"/>
  <c r="G171" i="37" s="1"/>
  <c r="E171" i="37"/>
  <c r="C53" i="37"/>
  <c r="G53" i="37" s="1"/>
  <c r="E53" i="37"/>
  <c r="E181" i="37"/>
  <c r="C181" i="37"/>
  <c r="E77" i="37"/>
  <c r="C77" i="37"/>
  <c r="E62" i="37"/>
  <c r="C62" i="37"/>
  <c r="E187" i="37"/>
  <c r="C187" i="37"/>
  <c r="E94" i="37"/>
  <c r="C94" i="37"/>
  <c r="E116" i="37"/>
  <c r="C116" i="37"/>
  <c r="E152" i="37"/>
  <c r="C152" i="37"/>
  <c r="E188" i="37"/>
  <c r="C188" i="37"/>
  <c r="E224" i="37"/>
  <c r="C224" i="37"/>
  <c r="E260" i="37"/>
  <c r="C260" i="37"/>
  <c r="E39" i="37"/>
  <c r="C39" i="37"/>
  <c r="C75" i="37"/>
  <c r="G75" i="37" s="1"/>
  <c r="E75" i="37"/>
  <c r="C111" i="37"/>
  <c r="G111" i="37" s="1"/>
  <c r="E111" i="37"/>
  <c r="C147" i="37"/>
  <c r="G147" i="37" s="1"/>
  <c r="E147" i="37"/>
  <c r="C183" i="37"/>
  <c r="E183" i="37"/>
  <c r="C219" i="37"/>
  <c r="E219" i="37"/>
  <c r="C255" i="37"/>
  <c r="G255" i="37" s="1"/>
  <c r="E255" i="37"/>
  <c r="E160" i="37"/>
  <c r="C160" i="37"/>
  <c r="C228" i="37"/>
  <c r="G228" i="37" s="1"/>
  <c r="E228" i="37"/>
  <c r="E217" i="37"/>
  <c r="C217" i="37"/>
  <c r="E223" i="37"/>
  <c r="C223" i="37"/>
  <c r="E140" i="37"/>
  <c r="C140" i="37"/>
  <c r="E176" i="37"/>
  <c r="C176" i="37"/>
  <c r="C27" i="37"/>
  <c r="G27" i="37" s="1"/>
  <c r="E27" i="37"/>
  <c r="C63" i="37"/>
  <c r="G63" i="37" s="1"/>
  <c r="E63" i="37"/>
  <c r="C243" i="37"/>
  <c r="G243" i="37" s="1"/>
  <c r="E243" i="37"/>
  <c r="C40" i="37"/>
  <c r="E40" i="37"/>
  <c r="E172" i="37"/>
  <c r="C172" i="37"/>
  <c r="E70" i="37"/>
  <c r="C70" i="37"/>
  <c r="E52" i="37"/>
  <c r="C52" i="37"/>
  <c r="E178" i="37"/>
  <c r="C178" i="37"/>
  <c r="E55" i="37"/>
  <c r="C55" i="37"/>
  <c r="E119" i="37"/>
  <c r="C119" i="37"/>
  <c r="E155" i="37"/>
  <c r="C155" i="37"/>
  <c r="E191" i="37"/>
  <c r="C191" i="37"/>
  <c r="E227" i="37"/>
  <c r="C227" i="37"/>
  <c r="E263" i="37"/>
  <c r="C263" i="37"/>
  <c r="E42" i="37"/>
  <c r="C42" i="37"/>
  <c r="C78" i="37"/>
  <c r="E78" i="37"/>
  <c r="C114" i="37"/>
  <c r="E114" i="37"/>
  <c r="C150" i="37"/>
  <c r="G150" i="37" s="1"/>
  <c r="E150" i="37"/>
  <c r="C186" i="37"/>
  <c r="G186" i="37" s="1"/>
  <c r="E186" i="37"/>
  <c r="C222" i="37"/>
  <c r="G222" i="37" s="1"/>
  <c r="E222" i="37"/>
  <c r="C258" i="37"/>
  <c r="G258" i="37" s="1"/>
  <c r="E258" i="37"/>
  <c r="E262" i="37"/>
  <c r="C262" i="37"/>
  <c r="E161" i="37"/>
  <c r="C161" i="37"/>
  <c r="C156" i="37"/>
  <c r="G156" i="37" s="1"/>
  <c r="E156" i="37"/>
  <c r="C99" i="37"/>
  <c r="G99" i="37" s="1"/>
  <c r="E99" i="37"/>
  <c r="H271" i="37"/>
  <c r="E271" i="37"/>
  <c r="C271" i="37"/>
  <c r="E163" i="37"/>
  <c r="C163" i="37"/>
  <c r="G163" i="37" s="1"/>
  <c r="E59" i="37"/>
  <c r="C59" i="37"/>
  <c r="E29" i="37"/>
  <c r="C29" i="37"/>
  <c r="E169" i="37"/>
  <c r="C169" i="37"/>
  <c r="G169" i="37" s="1"/>
  <c r="E32" i="37"/>
  <c r="C32" i="37"/>
  <c r="G32" i="37" s="1"/>
  <c r="E122" i="37"/>
  <c r="C122" i="37"/>
  <c r="E158" i="37"/>
  <c r="C158" i="37"/>
  <c r="G158" i="37" s="1"/>
  <c r="E194" i="37"/>
  <c r="C194" i="37"/>
  <c r="E230" i="37"/>
  <c r="C230" i="37"/>
  <c r="E266" i="37"/>
  <c r="C266" i="37"/>
  <c r="G266" i="37" s="1"/>
  <c r="E45" i="37"/>
  <c r="C45" i="37"/>
  <c r="G45" i="37" s="1"/>
  <c r="C81" i="37"/>
  <c r="E81" i="37"/>
  <c r="C117" i="37"/>
  <c r="E117" i="37"/>
  <c r="C153" i="37"/>
  <c r="E153" i="37"/>
  <c r="C189" i="37"/>
  <c r="E189" i="37"/>
  <c r="C225" i="37"/>
  <c r="E225" i="37"/>
  <c r="C261" i="37"/>
  <c r="E261" i="37"/>
  <c r="E43" i="36"/>
  <c r="C43" i="36"/>
  <c r="G43" i="36" s="1"/>
  <c r="C44" i="36"/>
  <c r="E44" i="36"/>
  <c r="C118" i="36"/>
  <c r="G118" i="36" s="1"/>
  <c r="E17" i="36"/>
  <c r="C17" i="36"/>
  <c r="E34" i="36"/>
  <c r="C34" i="36"/>
  <c r="G34" i="36" s="1"/>
  <c r="E253" i="36"/>
  <c r="C253" i="36"/>
  <c r="G253" i="36" s="1"/>
  <c r="C82" i="36"/>
  <c r="G82" i="36" s="1"/>
  <c r="E47" i="36"/>
  <c r="C47" i="36"/>
  <c r="G47" i="36" s="1"/>
  <c r="E100" i="36"/>
  <c r="C100" i="36"/>
  <c r="G100" i="36" s="1"/>
  <c r="E40" i="36"/>
  <c r="C40" i="36"/>
  <c r="G40" i="36" s="1"/>
  <c r="E262" i="36"/>
  <c r="G262" i="36" s="1"/>
  <c r="C37" i="36"/>
  <c r="G37" i="36" s="1"/>
  <c r="C31" i="36"/>
  <c r="G31" i="36" s="1"/>
  <c r="E31" i="36"/>
  <c r="E226" i="36"/>
  <c r="C226" i="36"/>
  <c r="E154" i="36"/>
  <c r="C154" i="36"/>
  <c r="G154" i="36" s="1"/>
  <c r="C217" i="36"/>
  <c r="E217" i="36"/>
  <c r="E169" i="36"/>
  <c r="C169" i="36"/>
  <c r="G169" i="36" s="1"/>
  <c r="E256" i="36"/>
  <c r="G256" i="36" s="1"/>
  <c r="E190" i="36"/>
  <c r="C190" i="36"/>
  <c r="G190" i="36" s="1"/>
  <c r="E53" i="36"/>
  <c r="C53" i="36"/>
  <c r="G53" i="36" s="1"/>
  <c r="E220" i="36"/>
  <c r="G220" i="36" s="1"/>
  <c r="E85" i="36"/>
  <c r="C85" i="36"/>
  <c r="G85" i="36" s="1"/>
  <c r="E205" i="36"/>
  <c r="C205" i="36"/>
  <c r="G205" i="36" s="1"/>
  <c r="C175" i="36"/>
  <c r="G175" i="36" s="1"/>
  <c r="E184" i="36"/>
  <c r="G184" i="36" s="1"/>
  <c r="E160" i="36"/>
  <c r="C160" i="36"/>
  <c r="E97" i="36"/>
  <c r="C97" i="36"/>
  <c r="E18" i="36"/>
  <c r="C18" i="36"/>
  <c r="E20" i="36"/>
  <c r="C20" i="36"/>
  <c r="G20" i="36" s="1"/>
  <c r="E67" i="36"/>
  <c r="C67" i="36"/>
  <c r="G67" i="36" s="1"/>
  <c r="E232" i="36"/>
  <c r="C232" i="36"/>
  <c r="G232" i="36" s="1"/>
  <c r="E241" i="36"/>
  <c r="C241" i="36"/>
  <c r="C202" i="36"/>
  <c r="G202" i="36" s="1"/>
  <c r="C61" i="36"/>
  <c r="E61" i="36"/>
  <c r="C181" i="36"/>
  <c r="G181" i="36" s="1"/>
  <c r="E181" i="36"/>
  <c r="C79" i="36"/>
  <c r="G79" i="36" s="1"/>
  <c r="E79" i="36"/>
  <c r="C235" i="36"/>
  <c r="E235" i="36"/>
  <c r="E250" i="36"/>
  <c r="C250" i="36"/>
  <c r="E32" i="36"/>
  <c r="C32" i="36"/>
  <c r="G32" i="36" s="1"/>
  <c r="C86" i="36"/>
  <c r="E86" i="36"/>
  <c r="E122" i="36"/>
  <c r="C122" i="36"/>
  <c r="E158" i="36"/>
  <c r="C158" i="36"/>
  <c r="E194" i="36"/>
  <c r="C194" i="36"/>
  <c r="E230" i="36"/>
  <c r="C230" i="36"/>
  <c r="E266" i="36"/>
  <c r="C266" i="36"/>
  <c r="G266" i="36" s="1"/>
  <c r="E45" i="36"/>
  <c r="C45" i="36"/>
  <c r="G45" i="36" s="1"/>
  <c r="C81" i="36"/>
  <c r="E81" i="36"/>
  <c r="C117" i="36"/>
  <c r="G117" i="36" s="1"/>
  <c r="E117" i="36"/>
  <c r="C153" i="36"/>
  <c r="E153" i="36"/>
  <c r="C189" i="36"/>
  <c r="E189" i="36"/>
  <c r="C225" i="36"/>
  <c r="E225" i="36"/>
  <c r="C261" i="36"/>
  <c r="E261" i="36"/>
  <c r="C187" i="36"/>
  <c r="E187" i="36"/>
  <c r="E197" i="36"/>
  <c r="C197" i="36"/>
  <c r="E164" i="36"/>
  <c r="C164" i="36"/>
  <c r="C148" i="36"/>
  <c r="E148" i="36"/>
  <c r="E103" i="36"/>
  <c r="C103" i="36"/>
  <c r="G103" i="36" s="1"/>
  <c r="E59" i="36"/>
  <c r="C59" i="36"/>
  <c r="G59" i="36" s="1"/>
  <c r="E95" i="36"/>
  <c r="C95" i="36"/>
  <c r="E131" i="36"/>
  <c r="C131" i="36"/>
  <c r="E167" i="36"/>
  <c r="C167" i="36"/>
  <c r="E203" i="36"/>
  <c r="C203" i="36"/>
  <c r="E239" i="36"/>
  <c r="C239" i="36"/>
  <c r="G239" i="36" s="1"/>
  <c r="E54" i="36"/>
  <c r="C54" i="36"/>
  <c r="G54" i="36" s="1"/>
  <c r="E90" i="36"/>
  <c r="C90" i="36"/>
  <c r="C126" i="36"/>
  <c r="G126" i="36" s="1"/>
  <c r="E126" i="36"/>
  <c r="C162" i="36"/>
  <c r="E162" i="36"/>
  <c r="C198" i="36"/>
  <c r="E198" i="36"/>
  <c r="C234" i="36"/>
  <c r="E234" i="36"/>
  <c r="C270" i="36"/>
  <c r="E270" i="36"/>
  <c r="E133" i="36"/>
  <c r="C133" i="36"/>
  <c r="C199" i="36"/>
  <c r="G199" i="36" s="1"/>
  <c r="E199" i="36"/>
  <c r="E269" i="36"/>
  <c r="C269" i="36"/>
  <c r="G269" i="36" s="1"/>
  <c r="E84" i="36"/>
  <c r="C84" i="36"/>
  <c r="C192" i="36"/>
  <c r="E192" i="36"/>
  <c r="C139" i="36"/>
  <c r="E139" i="36"/>
  <c r="E52" i="36"/>
  <c r="C52" i="36"/>
  <c r="E62" i="36"/>
  <c r="C62" i="36"/>
  <c r="E98" i="36"/>
  <c r="C98" i="36"/>
  <c r="G98" i="36" s="1"/>
  <c r="E134" i="36"/>
  <c r="C134" i="36"/>
  <c r="E170" i="36"/>
  <c r="C170" i="36"/>
  <c r="G170" i="36" s="1"/>
  <c r="E206" i="36"/>
  <c r="C206" i="36"/>
  <c r="G206" i="36" s="1"/>
  <c r="E242" i="36"/>
  <c r="C242" i="36"/>
  <c r="G242" i="36" s="1"/>
  <c r="C21" i="36"/>
  <c r="G21" i="36" s="1"/>
  <c r="E21" i="36"/>
  <c r="E57" i="36"/>
  <c r="C57" i="36"/>
  <c r="G57" i="36" s="1"/>
  <c r="E93" i="36"/>
  <c r="C93" i="36"/>
  <c r="C129" i="36"/>
  <c r="E129" i="36"/>
  <c r="C165" i="36"/>
  <c r="E165" i="36"/>
  <c r="C201" i="36"/>
  <c r="E201" i="36"/>
  <c r="C237" i="36"/>
  <c r="G237" i="36" s="1"/>
  <c r="E237" i="36"/>
  <c r="E208" i="36"/>
  <c r="C208" i="36"/>
  <c r="G208" i="36" s="1"/>
  <c r="E124" i="36"/>
  <c r="C124" i="36"/>
  <c r="C163" i="36"/>
  <c r="E163" i="36"/>
  <c r="E128" i="36"/>
  <c r="C128" i="36"/>
  <c r="G128" i="36" s="1"/>
  <c r="E200" i="36"/>
  <c r="C200" i="36"/>
  <c r="G200" i="36" s="1"/>
  <c r="E87" i="36"/>
  <c r="C87" i="36"/>
  <c r="C231" i="36"/>
  <c r="E231" i="36"/>
  <c r="C130" i="36"/>
  <c r="E130" i="36"/>
  <c r="E29" i="36"/>
  <c r="C29" i="36"/>
  <c r="G29" i="36" s="1"/>
  <c r="E65" i="36"/>
  <c r="C65" i="36"/>
  <c r="G65" i="36" s="1"/>
  <c r="E101" i="36"/>
  <c r="C101" i="36"/>
  <c r="G101" i="36" s="1"/>
  <c r="E137" i="36"/>
  <c r="C137" i="36"/>
  <c r="E173" i="36"/>
  <c r="C173" i="36"/>
  <c r="G173" i="36" s="1"/>
  <c r="E209" i="36"/>
  <c r="C209" i="36"/>
  <c r="E245" i="36"/>
  <c r="C245" i="36"/>
  <c r="G245" i="36" s="1"/>
  <c r="E24" i="36"/>
  <c r="C24" i="36"/>
  <c r="G24" i="36" s="1"/>
  <c r="C60" i="36"/>
  <c r="E60" i="36"/>
  <c r="E96" i="36"/>
  <c r="C96" i="36"/>
  <c r="C132" i="36"/>
  <c r="E132" i="36"/>
  <c r="C168" i="36"/>
  <c r="E168" i="36"/>
  <c r="C204" i="36"/>
  <c r="E204" i="36"/>
  <c r="C240" i="36"/>
  <c r="E240" i="36"/>
  <c r="E172" i="36"/>
  <c r="C172" i="36"/>
  <c r="G172" i="36" s="1"/>
  <c r="C115" i="36"/>
  <c r="G115" i="36" s="1"/>
  <c r="E115" i="36"/>
  <c r="E125" i="36"/>
  <c r="C125" i="36"/>
  <c r="G125" i="36" s="1"/>
  <c r="C264" i="36"/>
  <c r="E264" i="36"/>
  <c r="E178" i="36"/>
  <c r="C178" i="36"/>
  <c r="G178" i="36" s="1"/>
  <c r="C121" i="36"/>
  <c r="E121" i="36"/>
  <c r="E229" i="36"/>
  <c r="C229" i="36"/>
  <c r="G229" i="36" s="1"/>
  <c r="C68" i="36"/>
  <c r="G68" i="36" s="1"/>
  <c r="E68" i="36"/>
  <c r="E104" i="36"/>
  <c r="C104" i="36"/>
  <c r="G104" i="36" s="1"/>
  <c r="E140" i="36"/>
  <c r="C140" i="36"/>
  <c r="E176" i="36"/>
  <c r="C176" i="36"/>
  <c r="G176" i="36" s="1"/>
  <c r="E212" i="36"/>
  <c r="C212" i="36"/>
  <c r="G212" i="36" s="1"/>
  <c r="E248" i="36"/>
  <c r="C248" i="36"/>
  <c r="G248" i="36" s="1"/>
  <c r="E27" i="36"/>
  <c r="C27" i="36"/>
  <c r="C63" i="36"/>
  <c r="E63" i="36"/>
  <c r="E99" i="36"/>
  <c r="C99" i="36"/>
  <c r="C135" i="36"/>
  <c r="E135" i="36"/>
  <c r="C171" i="36"/>
  <c r="E171" i="36"/>
  <c r="C207" i="36"/>
  <c r="E207" i="36"/>
  <c r="C243" i="36"/>
  <c r="G243" i="36" s="1"/>
  <c r="E243" i="36"/>
  <c r="E35" i="36"/>
  <c r="C35" i="36"/>
  <c r="G35" i="36" s="1"/>
  <c r="E106" i="36"/>
  <c r="C106" i="36"/>
  <c r="E19" i="36"/>
  <c r="C19" i="36"/>
  <c r="G19" i="36" s="1"/>
  <c r="C120" i="36"/>
  <c r="E120" i="36"/>
  <c r="C195" i="36"/>
  <c r="E195" i="36"/>
  <c r="C112" i="36"/>
  <c r="G112" i="36" s="1"/>
  <c r="E112" i="36"/>
  <c r="E193" i="36"/>
  <c r="C193" i="36"/>
  <c r="G193" i="36" s="1"/>
  <c r="E71" i="36"/>
  <c r="C71" i="36"/>
  <c r="E107" i="36"/>
  <c r="C107" i="36"/>
  <c r="G107" i="36" s="1"/>
  <c r="E143" i="36"/>
  <c r="C143" i="36"/>
  <c r="G143" i="36" s="1"/>
  <c r="E179" i="36"/>
  <c r="C179" i="36"/>
  <c r="G179" i="36" s="1"/>
  <c r="E215" i="36"/>
  <c r="C215" i="36"/>
  <c r="E251" i="36"/>
  <c r="C251" i="36"/>
  <c r="G251" i="36" s="1"/>
  <c r="C30" i="36"/>
  <c r="E30" i="36"/>
  <c r="E66" i="36"/>
  <c r="C66" i="36"/>
  <c r="G66" i="36" s="1"/>
  <c r="C102" i="36"/>
  <c r="E102" i="36"/>
  <c r="C138" i="36"/>
  <c r="E138" i="36"/>
  <c r="C174" i="36"/>
  <c r="G174" i="36" s="1"/>
  <c r="E174" i="36"/>
  <c r="C210" i="36"/>
  <c r="E210" i="36"/>
  <c r="C246" i="36"/>
  <c r="E246" i="36"/>
  <c r="E22" i="36"/>
  <c r="C22" i="36"/>
  <c r="G22" i="36" s="1"/>
  <c r="E94" i="36"/>
  <c r="C94" i="36"/>
  <c r="G94" i="36" s="1"/>
  <c r="E92" i="36"/>
  <c r="C92" i="36"/>
  <c r="G92" i="36" s="1"/>
  <c r="C51" i="36"/>
  <c r="G51" i="36" s="1"/>
  <c r="E51" i="36"/>
  <c r="E142" i="36"/>
  <c r="C142" i="36"/>
  <c r="G142" i="36" s="1"/>
  <c r="C88" i="36"/>
  <c r="E88" i="36"/>
  <c r="E157" i="36"/>
  <c r="C157" i="36"/>
  <c r="G157" i="36" s="1"/>
  <c r="E74" i="36"/>
  <c r="C74" i="36"/>
  <c r="G74" i="36" s="1"/>
  <c r="E110" i="36"/>
  <c r="C110" i="36"/>
  <c r="G110" i="36" s="1"/>
  <c r="E146" i="36"/>
  <c r="C146" i="36"/>
  <c r="E182" i="36"/>
  <c r="C182" i="36"/>
  <c r="G182" i="36" s="1"/>
  <c r="E218" i="36"/>
  <c r="C218" i="36"/>
  <c r="E254" i="36"/>
  <c r="C254" i="36"/>
  <c r="G254" i="36" s="1"/>
  <c r="E33" i="36"/>
  <c r="C33" i="36"/>
  <c r="G33" i="36" s="1"/>
  <c r="E69" i="36"/>
  <c r="C69" i="36"/>
  <c r="G69" i="36" s="1"/>
  <c r="E105" i="36"/>
  <c r="C105" i="36"/>
  <c r="C141" i="36"/>
  <c r="E141" i="36"/>
  <c r="C177" i="36"/>
  <c r="E177" i="36"/>
  <c r="C213" i="36"/>
  <c r="E213" i="36"/>
  <c r="C249" i="36"/>
  <c r="E249" i="36"/>
  <c r="C271" i="36"/>
  <c r="H271" i="36"/>
  <c r="E271" i="36"/>
  <c r="C76" i="36"/>
  <c r="E76" i="36"/>
  <c r="G244" i="36"/>
  <c r="E161" i="36"/>
  <c r="C161" i="36"/>
  <c r="C156" i="36"/>
  <c r="E156" i="36"/>
  <c r="C159" i="36"/>
  <c r="E159" i="36"/>
  <c r="C70" i="36"/>
  <c r="E70" i="36"/>
  <c r="E91" i="36"/>
  <c r="C91" i="36"/>
  <c r="E77" i="36"/>
  <c r="C77" i="36"/>
  <c r="G77" i="36" s="1"/>
  <c r="E113" i="36"/>
  <c r="C113" i="36"/>
  <c r="E149" i="36"/>
  <c r="C149" i="36"/>
  <c r="G149" i="36" s="1"/>
  <c r="E185" i="36"/>
  <c r="C185" i="36"/>
  <c r="G185" i="36" s="1"/>
  <c r="E221" i="36"/>
  <c r="C221" i="36"/>
  <c r="G221" i="36" s="1"/>
  <c r="E257" i="36"/>
  <c r="C257" i="36"/>
  <c r="C36" i="36"/>
  <c r="E36" i="36"/>
  <c r="E72" i="36"/>
  <c r="C72" i="36"/>
  <c r="C108" i="36"/>
  <c r="E108" i="36"/>
  <c r="C144" i="36"/>
  <c r="E144" i="36"/>
  <c r="C180" i="36"/>
  <c r="E180" i="36"/>
  <c r="C216" i="36"/>
  <c r="G216" i="36" s="1"/>
  <c r="E216" i="36"/>
  <c r="C252" i="36"/>
  <c r="E252" i="36"/>
  <c r="C265" i="36"/>
  <c r="E265" i="36"/>
  <c r="E58" i="36"/>
  <c r="C58" i="36"/>
  <c r="G58" i="36" s="1"/>
  <c r="E214" i="36"/>
  <c r="C214" i="36"/>
  <c r="G214" i="36" s="1"/>
  <c r="E233" i="36"/>
  <c r="C233" i="36"/>
  <c r="G233" i="36" s="1"/>
  <c r="E48" i="36"/>
  <c r="C48" i="36"/>
  <c r="C228" i="36"/>
  <c r="E228" i="36"/>
  <c r="E56" i="36"/>
  <c r="C56" i="36"/>
  <c r="E236" i="36"/>
  <c r="C236" i="36"/>
  <c r="G236" i="36" s="1"/>
  <c r="C267" i="36"/>
  <c r="E267" i="36"/>
  <c r="C49" i="36"/>
  <c r="E49" i="36"/>
  <c r="E73" i="36"/>
  <c r="C73" i="36"/>
  <c r="E80" i="36"/>
  <c r="C80" i="36"/>
  <c r="G80" i="36" s="1"/>
  <c r="E116" i="36"/>
  <c r="C116" i="36"/>
  <c r="E152" i="36"/>
  <c r="C152" i="36"/>
  <c r="G152" i="36" s="1"/>
  <c r="E188" i="36"/>
  <c r="C188" i="36"/>
  <c r="G188" i="36" s="1"/>
  <c r="E224" i="36"/>
  <c r="C224" i="36"/>
  <c r="G224" i="36" s="1"/>
  <c r="E260" i="36"/>
  <c r="C260" i="36"/>
  <c r="E39" i="36"/>
  <c r="C39" i="36"/>
  <c r="G39" i="36" s="1"/>
  <c r="E75" i="36"/>
  <c r="C75" i="36"/>
  <c r="C111" i="36"/>
  <c r="E111" i="36"/>
  <c r="C147" i="36"/>
  <c r="E147" i="36"/>
  <c r="C183" i="36"/>
  <c r="E183" i="36"/>
  <c r="C219" i="36"/>
  <c r="G219" i="36" s="1"/>
  <c r="E219" i="36"/>
  <c r="C255" i="36"/>
  <c r="E255" i="36"/>
  <c r="C259" i="36"/>
  <c r="E259" i="36"/>
  <c r="E38" i="36"/>
  <c r="C38" i="36"/>
  <c r="G38" i="36" s="1"/>
  <c r="E89" i="36"/>
  <c r="C89" i="36"/>
  <c r="G89" i="36" s="1"/>
  <c r="C151" i="36"/>
  <c r="E151" i="36"/>
  <c r="C123" i="36"/>
  <c r="G123" i="36" s="1"/>
  <c r="E123" i="36"/>
  <c r="C26" i="36"/>
  <c r="E26" i="36"/>
  <c r="E55" i="36"/>
  <c r="C55" i="36"/>
  <c r="E83" i="36"/>
  <c r="C83" i="36"/>
  <c r="G83" i="36" s="1"/>
  <c r="E119" i="36"/>
  <c r="C119" i="36"/>
  <c r="G119" i="36" s="1"/>
  <c r="E155" i="36"/>
  <c r="C155" i="36"/>
  <c r="G155" i="36" s="1"/>
  <c r="E191" i="36"/>
  <c r="C191" i="36"/>
  <c r="E227" i="36"/>
  <c r="C227" i="36"/>
  <c r="G227" i="36" s="1"/>
  <c r="E263" i="36"/>
  <c r="C263" i="36"/>
  <c r="E42" i="36"/>
  <c r="C42" i="36"/>
  <c r="G42" i="36" s="1"/>
  <c r="E78" i="36"/>
  <c r="C78" i="36"/>
  <c r="G78" i="36" s="1"/>
  <c r="C114" i="36"/>
  <c r="E114" i="36"/>
  <c r="C150" i="36"/>
  <c r="G150" i="36" s="1"/>
  <c r="E150" i="36"/>
  <c r="C186" i="36"/>
  <c r="E186" i="36"/>
  <c r="C222" i="36"/>
  <c r="E222" i="36"/>
  <c r="C258" i="36"/>
  <c r="E258" i="36"/>
  <c r="E223" i="36"/>
  <c r="C223" i="36"/>
  <c r="G223" i="36" s="1"/>
  <c r="E25" i="36"/>
  <c r="C25" i="36"/>
  <c r="G25" i="36" s="1"/>
  <c r="G23" i="36"/>
  <c r="E101" i="35"/>
  <c r="E244" i="35"/>
  <c r="C244" i="35"/>
  <c r="E43" i="35"/>
  <c r="C43" i="35"/>
  <c r="G43" i="35" s="1"/>
  <c r="E217" i="35"/>
  <c r="C217" i="35"/>
  <c r="E193" i="35"/>
  <c r="C193" i="35"/>
  <c r="E241" i="35"/>
  <c r="C241" i="35"/>
  <c r="E160" i="35"/>
  <c r="C160" i="35"/>
  <c r="E220" i="35"/>
  <c r="C220" i="35"/>
  <c r="C71" i="35"/>
  <c r="G71" i="35" s="1"/>
  <c r="E133" i="35"/>
  <c r="C133" i="35"/>
  <c r="E196" i="35"/>
  <c r="C196" i="35"/>
  <c r="E28" i="35"/>
  <c r="G28" i="35" s="1"/>
  <c r="E157" i="35"/>
  <c r="C157" i="35"/>
  <c r="E136" i="35"/>
  <c r="C136" i="35"/>
  <c r="E85" i="35"/>
  <c r="C85" i="35"/>
  <c r="E109" i="35"/>
  <c r="C109" i="35"/>
  <c r="G109" i="35" s="1"/>
  <c r="C251" i="35"/>
  <c r="E251" i="35"/>
  <c r="E67" i="35"/>
  <c r="C67" i="35"/>
  <c r="E56" i="35"/>
  <c r="C56" i="35"/>
  <c r="E169" i="35"/>
  <c r="C169" i="35"/>
  <c r="E58" i="35"/>
  <c r="C58" i="35"/>
  <c r="C31" i="35"/>
  <c r="E31" i="35"/>
  <c r="G31" i="35" s="1"/>
  <c r="E20" i="35"/>
  <c r="C20" i="35"/>
  <c r="E22" i="35"/>
  <c r="C22" i="35"/>
  <c r="C44" i="35"/>
  <c r="E44" i="35"/>
  <c r="E268" i="35"/>
  <c r="C268" i="35"/>
  <c r="E92" i="35"/>
  <c r="C92" i="35"/>
  <c r="C43" i="34"/>
  <c r="C130" i="34"/>
  <c r="G130" i="34" s="1"/>
  <c r="G62" i="34"/>
  <c r="E179" i="34"/>
  <c r="C179" i="34"/>
  <c r="E22" i="34"/>
  <c r="C22" i="34"/>
  <c r="G22" i="34" s="1"/>
  <c r="E206" i="34"/>
  <c r="G206" i="34" s="1"/>
  <c r="E49" i="34"/>
  <c r="G49" i="34" s="1"/>
  <c r="E167" i="34"/>
  <c r="C167" i="34"/>
  <c r="G167" i="34" s="1"/>
  <c r="G253" i="32"/>
  <c r="E252" i="32"/>
  <c r="G252" i="32" s="1"/>
  <c r="E106" i="32"/>
  <c r="C106" i="32"/>
  <c r="G106" i="32" s="1"/>
  <c r="E181" i="32"/>
  <c r="G181" i="32" s="1"/>
  <c r="C108" i="32"/>
  <c r="G108" i="32" s="1"/>
  <c r="E108" i="32"/>
  <c r="E36" i="32"/>
  <c r="G36" i="32" s="1"/>
  <c r="E213" i="32"/>
  <c r="G213" i="32" s="1"/>
  <c r="C217" i="32"/>
  <c r="G217" i="32" s="1"/>
  <c r="E82" i="32"/>
  <c r="C82" i="32"/>
  <c r="E62" i="32"/>
  <c r="G62" i="32" s="1"/>
  <c r="E131" i="32"/>
  <c r="G131" i="32" s="1"/>
  <c r="E155" i="32"/>
  <c r="C155" i="32"/>
  <c r="G155" i="32" s="1"/>
  <c r="E178" i="28"/>
  <c r="C178" i="28"/>
  <c r="G178" i="28" s="1"/>
  <c r="E236" i="28"/>
  <c r="C236" i="28"/>
  <c r="G236" i="28" s="1"/>
  <c r="C266" i="28"/>
  <c r="G266" i="28" s="1"/>
  <c r="E124" i="28"/>
  <c r="C124" i="28"/>
  <c r="E34" i="28"/>
  <c r="C34" i="28"/>
  <c r="E122" i="28"/>
  <c r="G122" i="28" s="1"/>
  <c r="E92" i="28"/>
  <c r="C92" i="28"/>
  <c r="G17" i="34"/>
  <c r="E51" i="35"/>
  <c r="C51" i="35"/>
  <c r="C159" i="35"/>
  <c r="E159" i="35"/>
  <c r="C231" i="35"/>
  <c r="E231" i="35"/>
  <c r="C139" i="35"/>
  <c r="E139" i="35"/>
  <c r="C54" i="35"/>
  <c r="E54" i="35"/>
  <c r="C198" i="35"/>
  <c r="E198" i="35"/>
  <c r="E170" i="35"/>
  <c r="C170" i="35"/>
  <c r="E164" i="35"/>
  <c r="C164" i="35"/>
  <c r="E57" i="35"/>
  <c r="C57" i="35"/>
  <c r="E93" i="35"/>
  <c r="C93" i="35"/>
  <c r="C165" i="35"/>
  <c r="E165" i="35"/>
  <c r="C201" i="35"/>
  <c r="E201" i="35"/>
  <c r="C237" i="35"/>
  <c r="E237" i="35"/>
  <c r="C259" i="35"/>
  <c r="E259" i="35"/>
  <c r="C115" i="35"/>
  <c r="E115" i="35"/>
  <c r="E158" i="35"/>
  <c r="C158" i="35"/>
  <c r="E152" i="35"/>
  <c r="C152" i="35"/>
  <c r="E24" i="35"/>
  <c r="C24" i="35"/>
  <c r="E60" i="35"/>
  <c r="C60" i="35"/>
  <c r="E96" i="35"/>
  <c r="C96" i="35"/>
  <c r="C132" i="35"/>
  <c r="E132" i="35"/>
  <c r="C168" i="35"/>
  <c r="E168" i="35"/>
  <c r="C204" i="35"/>
  <c r="E204" i="35"/>
  <c r="C240" i="35"/>
  <c r="E240" i="35"/>
  <c r="C247" i="35"/>
  <c r="E247" i="35"/>
  <c r="C103" i="35"/>
  <c r="E103" i="35"/>
  <c r="E146" i="35"/>
  <c r="C146" i="35"/>
  <c r="E262" i="35"/>
  <c r="C262" i="35"/>
  <c r="E140" i="35"/>
  <c r="C140" i="35"/>
  <c r="E27" i="35"/>
  <c r="C27" i="35"/>
  <c r="E63" i="35"/>
  <c r="C63" i="35"/>
  <c r="E99" i="35"/>
  <c r="C99" i="35"/>
  <c r="C135" i="35"/>
  <c r="E135" i="35"/>
  <c r="C171" i="35"/>
  <c r="E171" i="35"/>
  <c r="C207" i="35"/>
  <c r="E207" i="35"/>
  <c r="C243" i="35"/>
  <c r="E243" i="35"/>
  <c r="C235" i="35"/>
  <c r="E235" i="35"/>
  <c r="C80" i="35"/>
  <c r="E80" i="35"/>
  <c r="E134" i="35"/>
  <c r="C134" i="35"/>
  <c r="E250" i="35"/>
  <c r="C250" i="35"/>
  <c r="E106" i="35"/>
  <c r="C106" i="35"/>
  <c r="E185" i="35"/>
  <c r="C185" i="35"/>
  <c r="E154" i="35"/>
  <c r="C154" i="35"/>
  <c r="E142" i="35"/>
  <c r="C142" i="35"/>
  <c r="E118" i="35"/>
  <c r="C118" i="35"/>
  <c r="E128" i="35"/>
  <c r="C128" i="35"/>
  <c r="E30" i="35"/>
  <c r="C30" i="35"/>
  <c r="E66" i="35"/>
  <c r="C66" i="35"/>
  <c r="E102" i="35"/>
  <c r="C102" i="35"/>
  <c r="C138" i="35"/>
  <c r="E138" i="35"/>
  <c r="C174" i="35"/>
  <c r="E174" i="35"/>
  <c r="C210" i="35"/>
  <c r="E210" i="35"/>
  <c r="C246" i="35"/>
  <c r="E246" i="35"/>
  <c r="C223" i="35"/>
  <c r="E223" i="35"/>
  <c r="E266" i="35"/>
  <c r="C266" i="35"/>
  <c r="E122" i="35"/>
  <c r="C122" i="35"/>
  <c r="E238" i="35"/>
  <c r="C238" i="35"/>
  <c r="E89" i="35"/>
  <c r="C89" i="35"/>
  <c r="E173" i="35"/>
  <c r="C173" i="35"/>
  <c r="E19" i="35"/>
  <c r="C19" i="35"/>
  <c r="E21" i="35"/>
  <c r="C21" i="35"/>
  <c r="C129" i="35"/>
  <c r="E129" i="35"/>
  <c r="C260" i="35"/>
  <c r="E260" i="35"/>
  <c r="E116" i="35"/>
  <c r="C116" i="35"/>
  <c r="E33" i="35"/>
  <c r="C33" i="35"/>
  <c r="E69" i="35"/>
  <c r="C69" i="35"/>
  <c r="C105" i="35"/>
  <c r="E105" i="35"/>
  <c r="C141" i="35"/>
  <c r="E141" i="35"/>
  <c r="C177" i="35"/>
  <c r="E177" i="35"/>
  <c r="C213" i="35"/>
  <c r="E213" i="35"/>
  <c r="C249" i="35"/>
  <c r="E249" i="35"/>
  <c r="C211" i="35"/>
  <c r="E211" i="35"/>
  <c r="E254" i="35"/>
  <c r="C254" i="35"/>
  <c r="E110" i="35"/>
  <c r="C110" i="35"/>
  <c r="E226" i="35"/>
  <c r="C226" i="35"/>
  <c r="E76" i="35"/>
  <c r="C76" i="35"/>
  <c r="E161" i="35"/>
  <c r="C161" i="35"/>
  <c r="C195" i="35"/>
  <c r="E195" i="35"/>
  <c r="C176" i="35"/>
  <c r="E176" i="35"/>
  <c r="C126" i="35"/>
  <c r="E126" i="35"/>
  <c r="C270" i="35"/>
  <c r="E270" i="35"/>
  <c r="E37" i="35"/>
  <c r="C37" i="35"/>
  <c r="E130" i="35"/>
  <c r="C130" i="35"/>
  <c r="C248" i="35"/>
  <c r="E248" i="35"/>
  <c r="C104" i="35"/>
  <c r="E104" i="35"/>
  <c r="E36" i="35"/>
  <c r="C36" i="35"/>
  <c r="C72" i="35"/>
  <c r="E72" i="35"/>
  <c r="C108" i="35"/>
  <c r="E108" i="35"/>
  <c r="C144" i="35"/>
  <c r="E144" i="35"/>
  <c r="C180" i="35"/>
  <c r="E180" i="35"/>
  <c r="C216" i="35"/>
  <c r="E216" i="35"/>
  <c r="C252" i="35"/>
  <c r="E252" i="35"/>
  <c r="C199" i="35"/>
  <c r="E199" i="35"/>
  <c r="E242" i="35"/>
  <c r="C242" i="35"/>
  <c r="E86" i="35"/>
  <c r="C86" i="35"/>
  <c r="E214" i="35"/>
  <c r="C214" i="35"/>
  <c r="E53" i="35"/>
  <c r="C53" i="35"/>
  <c r="C149" i="35"/>
  <c r="E149" i="35"/>
  <c r="G101" i="35"/>
  <c r="G88" i="35"/>
  <c r="C87" i="35"/>
  <c r="E87" i="35"/>
  <c r="C90" i="35"/>
  <c r="E90" i="35"/>
  <c r="C234" i="35"/>
  <c r="E234" i="35"/>
  <c r="E209" i="35"/>
  <c r="C209" i="35"/>
  <c r="C236" i="35"/>
  <c r="E236" i="35"/>
  <c r="E91" i="35"/>
  <c r="C91" i="35"/>
  <c r="C39" i="35"/>
  <c r="E39" i="35"/>
  <c r="E75" i="35"/>
  <c r="C75" i="35"/>
  <c r="C111" i="35"/>
  <c r="E111" i="35"/>
  <c r="C147" i="35"/>
  <c r="E147" i="35"/>
  <c r="C183" i="35"/>
  <c r="E183" i="35"/>
  <c r="C219" i="35"/>
  <c r="E219" i="35"/>
  <c r="C255" i="35"/>
  <c r="E255" i="35"/>
  <c r="C187" i="35"/>
  <c r="E187" i="35"/>
  <c r="E230" i="35"/>
  <c r="C230" i="35"/>
  <c r="E202" i="35"/>
  <c r="C202" i="35"/>
  <c r="E40" i="35"/>
  <c r="C40" i="35"/>
  <c r="C137" i="35"/>
  <c r="E137" i="35"/>
  <c r="C233" i="35"/>
  <c r="E233" i="35"/>
  <c r="E221" i="35"/>
  <c r="C221" i="35"/>
  <c r="C197" i="35"/>
  <c r="E197" i="35"/>
  <c r="C224" i="35"/>
  <c r="E224" i="35"/>
  <c r="E68" i="35"/>
  <c r="C68" i="35"/>
  <c r="C42" i="35"/>
  <c r="E42" i="35"/>
  <c r="C78" i="35"/>
  <c r="E78" i="35"/>
  <c r="C114" i="35"/>
  <c r="E114" i="35"/>
  <c r="C150" i="35"/>
  <c r="E150" i="35"/>
  <c r="C186" i="35"/>
  <c r="E186" i="35"/>
  <c r="C222" i="35"/>
  <c r="E222" i="35"/>
  <c r="C258" i="35"/>
  <c r="E258" i="35"/>
  <c r="C175" i="35"/>
  <c r="E175" i="35"/>
  <c r="E218" i="35"/>
  <c r="C218" i="35"/>
  <c r="E73" i="35"/>
  <c r="C73" i="35"/>
  <c r="E190" i="35"/>
  <c r="C190" i="35"/>
  <c r="E269" i="35"/>
  <c r="C269" i="35"/>
  <c r="C125" i="35"/>
  <c r="E125" i="35"/>
  <c r="C188" i="35"/>
  <c r="E188" i="35"/>
  <c r="C123" i="35"/>
  <c r="E123" i="35"/>
  <c r="C267" i="35"/>
  <c r="E267" i="35"/>
  <c r="E182" i="35"/>
  <c r="C182" i="35"/>
  <c r="C162" i="35"/>
  <c r="E162" i="35"/>
  <c r="C127" i="35"/>
  <c r="E127" i="35"/>
  <c r="C212" i="35"/>
  <c r="E212" i="35"/>
  <c r="E55" i="35"/>
  <c r="C55" i="35"/>
  <c r="E45" i="35"/>
  <c r="C45" i="35"/>
  <c r="E81" i="35"/>
  <c r="C81" i="35"/>
  <c r="C117" i="35"/>
  <c r="E117" i="35"/>
  <c r="C153" i="35"/>
  <c r="E153" i="35"/>
  <c r="C189" i="35"/>
  <c r="E189" i="35"/>
  <c r="C225" i="35"/>
  <c r="E225" i="35"/>
  <c r="C261" i="35"/>
  <c r="E261" i="35"/>
  <c r="C163" i="35"/>
  <c r="E163" i="35"/>
  <c r="E206" i="35"/>
  <c r="C206" i="35"/>
  <c r="E178" i="35"/>
  <c r="C178" i="35"/>
  <c r="E257" i="35"/>
  <c r="C257" i="35"/>
  <c r="C113" i="35"/>
  <c r="E113" i="35"/>
  <c r="C200" i="35"/>
  <c r="E200" i="35"/>
  <c r="C32" i="35"/>
  <c r="E32" i="35"/>
  <c r="E48" i="35"/>
  <c r="C48" i="35"/>
  <c r="E84" i="35"/>
  <c r="C84" i="35"/>
  <c r="C120" i="35"/>
  <c r="E120" i="35"/>
  <c r="C156" i="35"/>
  <c r="E156" i="35"/>
  <c r="C192" i="35"/>
  <c r="E192" i="35"/>
  <c r="C228" i="35"/>
  <c r="E228" i="35"/>
  <c r="C264" i="35"/>
  <c r="E264" i="35"/>
  <c r="C151" i="35"/>
  <c r="E151" i="35"/>
  <c r="E194" i="35"/>
  <c r="C194" i="35"/>
  <c r="E50" i="35"/>
  <c r="C50" i="35"/>
  <c r="E166" i="35"/>
  <c r="C166" i="35"/>
  <c r="E245" i="35"/>
  <c r="C245" i="35"/>
  <c r="E99" i="34"/>
  <c r="C99" i="34"/>
  <c r="E207" i="34"/>
  <c r="C207" i="34"/>
  <c r="C157" i="34"/>
  <c r="E157" i="34"/>
  <c r="E143" i="34"/>
  <c r="C143" i="34"/>
  <c r="E121" i="34"/>
  <c r="C121" i="34"/>
  <c r="E148" i="34"/>
  <c r="C148" i="34"/>
  <c r="E83" i="34"/>
  <c r="C83" i="34"/>
  <c r="E175" i="34"/>
  <c r="C175" i="34"/>
  <c r="E30" i="34"/>
  <c r="C30" i="34"/>
  <c r="E102" i="34"/>
  <c r="C102" i="34"/>
  <c r="E174" i="34"/>
  <c r="C174" i="34"/>
  <c r="E140" i="34"/>
  <c r="C140" i="34"/>
  <c r="E164" i="34"/>
  <c r="C164" i="34"/>
  <c r="C110" i="34"/>
  <c r="E110" i="34"/>
  <c r="C88" i="34"/>
  <c r="E88" i="34"/>
  <c r="E109" i="34"/>
  <c r="C109" i="34"/>
  <c r="E247" i="34"/>
  <c r="C247" i="34"/>
  <c r="E33" i="34"/>
  <c r="C33" i="34"/>
  <c r="E105" i="34"/>
  <c r="C105" i="34"/>
  <c r="E177" i="34"/>
  <c r="C177" i="34"/>
  <c r="C61" i="34"/>
  <c r="E61" i="34"/>
  <c r="C146" i="34"/>
  <c r="E146" i="34"/>
  <c r="C169" i="34"/>
  <c r="E169" i="34"/>
  <c r="E170" i="34"/>
  <c r="C170" i="34"/>
  <c r="E193" i="34"/>
  <c r="C193" i="34"/>
  <c r="G193" i="34" s="1"/>
  <c r="E154" i="34"/>
  <c r="C154" i="34"/>
  <c r="C133" i="34"/>
  <c r="E133" i="34"/>
  <c r="C94" i="34"/>
  <c r="E94" i="34"/>
  <c r="E184" i="34"/>
  <c r="C184" i="34"/>
  <c r="E122" i="34"/>
  <c r="C122" i="34"/>
  <c r="E119" i="34"/>
  <c r="C119" i="34"/>
  <c r="G119" i="34" s="1"/>
  <c r="H271" i="34"/>
  <c r="E271" i="34"/>
  <c r="C271" i="34"/>
  <c r="E211" i="34"/>
  <c r="C211" i="34"/>
  <c r="C149" i="34"/>
  <c r="E149" i="34"/>
  <c r="E36" i="34"/>
  <c r="C36" i="34"/>
  <c r="E72" i="34"/>
  <c r="C72" i="34"/>
  <c r="C108" i="34"/>
  <c r="E108" i="34"/>
  <c r="C144" i="34"/>
  <c r="E144" i="34"/>
  <c r="E180" i="34"/>
  <c r="C180" i="34"/>
  <c r="E216" i="34"/>
  <c r="C216" i="34"/>
  <c r="G216" i="34" s="1"/>
  <c r="C252" i="34"/>
  <c r="E252" i="34"/>
  <c r="E151" i="34"/>
  <c r="C151" i="34"/>
  <c r="E98" i="34"/>
  <c r="C98" i="34"/>
  <c r="E125" i="34"/>
  <c r="C125" i="34"/>
  <c r="G125" i="34" s="1"/>
  <c r="E268" i="34"/>
  <c r="C268" i="34"/>
  <c r="E27" i="34"/>
  <c r="C27" i="34"/>
  <c r="C243" i="34"/>
  <c r="E243" i="34"/>
  <c r="E134" i="34"/>
  <c r="C134" i="34"/>
  <c r="C25" i="34"/>
  <c r="E25" i="34"/>
  <c r="E104" i="34"/>
  <c r="C104" i="34"/>
  <c r="G104" i="34" s="1"/>
  <c r="C82" i="34"/>
  <c r="E82" i="34"/>
  <c r="E86" i="34"/>
  <c r="C86" i="34"/>
  <c r="E223" i="34"/>
  <c r="C223" i="34"/>
  <c r="C113" i="34"/>
  <c r="E113" i="34"/>
  <c r="E66" i="34"/>
  <c r="C66" i="34"/>
  <c r="E138" i="34"/>
  <c r="C138" i="34"/>
  <c r="G138" i="34" s="1"/>
  <c r="C210" i="34"/>
  <c r="E210" i="34"/>
  <c r="C246" i="34"/>
  <c r="E246" i="34"/>
  <c r="C163" i="34"/>
  <c r="E163" i="34"/>
  <c r="E187" i="34"/>
  <c r="C187" i="34"/>
  <c r="E127" i="34"/>
  <c r="C127" i="34"/>
  <c r="E161" i="34"/>
  <c r="C161" i="34"/>
  <c r="G161" i="34" s="1"/>
  <c r="E106" i="34"/>
  <c r="C106" i="34"/>
  <c r="E188" i="34"/>
  <c r="C188" i="34"/>
  <c r="C136" i="34"/>
  <c r="E136" i="34"/>
  <c r="E69" i="34"/>
  <c r="C69" i="34"/>
  <c r="E141" i="34"/>
  <c r="C141" i="34"/>
  <c r="E213" i="34"/>
  <c r="C213" i="34"/>
  <c r="G213" i="34" s="1"/>
  <c r="C249" i="34"/>
  <c r="E249" i="34"/>
  <c r="G118" i="34"/>
  <c r="E190" i="34"/>
  <c r="C190" i="34"/>
  <c r="E215" i="34"/>
  <c r="C215" i="34"/>
  <c r="C176" i="34"/>
  <c r="E176" i="34"/>
  <c r="E199" i="34"/>
  <c r="C199" i="34"/>
  <c r="E160" i="34"/>
  <c r="C160" i="34"/>
  <c r="E212" i="34"/>
  <c r="C212" i="34"/>
  <c r="C226" i="34"/>
  <c r="E226" i="34"/>
  <c r="E197" i="34"/>
  <c r="C197" i="34"/>
  <c r="E145" i="34"/>
  <c r="C145" i="34"/>
  <c r="E142" i="34"/>
  <c r="C142" i="34"/>
  <c r="E18" i="34"/>
  <c r="C18" i="34"/>
  <c r="E224" i="34"/>
  <c r="C224" i="34"/>
  <c r="C172" i="34"/>
  <c r="E172" i="34"/>
  <c r="E39" i="34"/>
  <c r="C39" i="34"/>
  <c r="E75" i="34"/>
  <c r="C75" i="34"/>
  <c r="C111" i="34"/>
  <c r="E111" i="34"/>
  <c r="E147" i="34"/>
  <c r="C147" i="34"/>
  <c r="E183" i="34"/>
  <c r="C183" i="34"/>
  <c r="C219" i="34"/>
  <c r="E219" i="34"/>
  <c r="C255" i="34"/>
  <c r="E255" i="34"/>
  <c r="E128" i="34"/>
  <c r="C128" i="34"/>
  <c r="E137" i="34"/>
  <c r="C137" i="34"/>
  <c r="C38" i="34"/>
  <c r="E38" i="34"/>
  <c r="E70" i="34"/>
  <c r="C70" i="34"/>
  <c r="E152" i="34"/>
  <c r="C152" i="34"/>
  <c r="C100" i="34"/>
  <c r="E100" i="34"/>
  <c r="E171" i="34"/>
  <c r="C171" i="34"/>
  <c r="E196" i="34"/>
  <c r="C196" i="34"/>
  <c r="C182" i="34"/>
  <c r="E182" i="34"/>
  <c r="E166" i="34"/>
  <c r="C166" i="34"/>
  <c r="C250" i="34"/>
  <c r="E250" i="34"/>
  <c r="E155" i="34"/>
  <c r="C155" i="34"/>
  <c r="C185" i="34"/>
  <c r="E185" i="34"/>
  <c r="E78" i="34"/>
  <c r="C78" i="34"/>
  <c r="C150" i="34"/>
  <c r="E150" i="34"/>
  <c r="E222" i="34"/>
  <c r="C222" i="34"/>
  <c r="E233" i="34"/>
  <c r="C233" i="34"/>
  <c r="E44" i="34"/>
  <c r="C44" i="34"/>
  <c r="G74" i="34"/>
  <c r="C229" i="34"/>
  <c r="E229" i="34"/>
  <c r="C266" i="34"/>
  <c r="E266" i="34"/>
  <c r="E35" i="34"/>
  <c r="C35" i="34"/>
  <c r="C241" i="34"/>
  <c r="E241" i="34"/>
  <c r="E29" i="34"/>
  <c r="C29" i="34"/>
  <c r="C46" i="34"/>
  <c r="E46" i="34"/>
  <c r="E40" i="34"/>
  <c r="C40" i="34"/>
  <c r="C239" i="34"/>
  <c r="E239" i="34"/>
  <c r="E194" i="34"/>
  <c r="C194" i="34"/>
  <c r="E191" i="34"/>
  <c r="C191" i="34"/>
  <c r="G191" i="34" s="1"/>
  <c r="E67" i="34"/>
  <c r="C67" i="34"/>
  <c r="E260" i="34"/>
  <c r="C260" i="34"/>
  <c r="C221" i="34"/>
  <c r="E221" i="34"/>
  <c r="E48" i="34"/>
  <c r="C48" i="34"/>
  <c r="G48" i="34" s="1"/>
  <c r="E84" i="34"/>
  <c r="C84" i="34"/>
  <c r="E120" i="34"/>
  <c r="C120" i="34"/>
  <c r="C156" i="34"/>
  <c r="E156" i="34"/>
  <c r="E192" i="34"/>
  <c r="C192" i="34"/>
  <c r="C228" i="34"/>
  <c r="E228" i="34"/>
  <c r="C264" i="34"/>
  <c r="E264" i="34"/>
  <c r="E63" i="34"/>
  <c r="C63" i="34"/>
  <c r="E259" i="34"/>
  <c r="C259" i="34"/>
  <c r="G259" i="34" s="1"/>
  <c r="C265" i="34"/>
  <c r="E265" i="34"/>
  <c r="E178" i="34"/>
  <c r="C178" i="34"/>
  <c r="C208" i="34"/>
  <c r="E208" i="34"/>
  <c r="E81" i="34"/>
  <c r="C81" i="34"/>
  <c r="G81" i="34" s="1"/>
  <c r="C261" i="34"/>
  <c r="E261" i="34"/>
  <c r="C253" i="34"/>
  <c r="E253" i="34"/>
  <c r="E23" i="34"/>
  <c r="C23" i="34"/>
  <c r="E79" i="34"/>
  <c r="C79" i="34"/>
  <c r="E85" i="34"/>
  <c r="C85" i="34"/>
  <c r="C254" i="34"/>
  <c r="E254" i="34"/>
  <c r="E230" i="34"/>
  <c r="C230" i="34"/>
  <c r="E53" i="34"/>
  <c r="C53" i="34"/>
  <c r="C251" i="34"/>
  <c r="E251" i="34"/>
  <c r="E217" i="34"/>
  <c r="C217" i="34"/>
  <c r="E214" i="34"/>
  <c r="C214" i="34"/>
  <c r="E80" i="34"/>
  <c r="C80" i="34"/>
  <c r="G80" i="34" s="1"/>
  <c r="C28" i="34"/>
  <c r="E28" i="34"/>
  <c r="C51" i="34"/>
  <c r="E51" i="34"/>
  <c r="C87" i="34"/>
  <c r="E87" i="34"/>
  <c r="C123" i="34"/>
  <c r="E123" i="34"/>
  <c r="C159" i="34"/>
  <c r="E159" i="34"/>
  <c r="C195" i="34"/>
  <c r="E195" i="34"/>
  <c r="C231" i="34"/>
  <c r="E231" i="34"/>
  <c r="C267" i="34"/>
  <c r="E267" i="34"/>
  <c r="C220" i="34"/>
  <c r="E220" i="34"/>
  <c r="E236" i="34"/>
  <c r="C236" i="34"/>
  <c r="E202" i="34"/>
  <c r="C202" i="34"/>
  <c r="C218" i="34"/>
  <c r="E218" i="34"/>
  <c r="C238" i="34"/>
  <c r="E238" i="34"/>
  <c r="E181" i="34"/>
  <c r="C181" i="34"/>
  <c r="E45" i="34"/>
  <c r="C45" i="34"/>
  <c r="E117" i="34"/>
  <c r="C117" i="34"/>
  <c r="C225" i="34"/>
  <c r="E225" i="34"/>
  <c r="C95" i="34"/>
  <c r="E95" i="34"/>
  <c r="C58" i="34"/>
  <c r="E58" i="34"/>
  <c r="E91" i="34"/>
  <c r="C91" i="34"/>
  <c r="C97" i="34"/>
  <c r="E97" i="34"/>
  <c r="E59" i="34"/>
  <c r="C59" i="34"/>
  <c r="E20" i="34"/>
  <c r="C20" i="34"/>
  <c r="E76" i="34"/>
  <c r="C76" i="34"/>
  <c r="G76" i="34" s="1"/>
  <c r="E263" i="34"/>
  <c r="C263" i="34"/>
  <c r="E235" i="34"/>
  <c r="C235" i="34"/>
  <c r="G235" i="34" s="1"/>
  <c r="E232" i="34"/>
  <c r="C232" i="34"/>
  <c r="E103" i="34"/>
  <c r="C103" i="34"/>
  <c r="C41" i="34"/>
  <c r="E41" i="34"/>
  <c r="E54" i="34"/>
  <c r="C54" i="34"/>
  <c r="G54" i="34" s="1"/>
  <c r="E90" i="34"/>
  <c r="C90" i="34"/>
  <c r="E126" i="34"/>
  <c r="C126" i="34"/>
  <c r="E162" i="34"/>
  <c r="C162" i="34"/>
  <c r="E198" i="34"/>
  <c r="C198" i="34"/>
  <c r="C234" i="34"/>
  <c r="E234" i="34"/>
  <c r="C270" i="34"/>
  <c r="E270" i="34"/>
  <c r="C19" i="34"/>
  <c r="E19" i="34"/>
  <c r="E115" i="34"/>
  <c r="C115" i="34"/>
  <c r="E73" i="34"/>
  <c r="C73" i="34"/>
  <c r="E135" i="34"/>
  <c r="C135" i="34"/>
  <c r="E245" i="34"/>
  <c r="C245" i="34"/>
  <c r="C205" i="34"/>
  <c r="E205" i="34"/>
  <c r="E257" i="34"/>
  <c r="C257" i="34"/>
  <c r="E158" i="34"/>
  <c r="C158" i="34"/>
  <c r="E31" i="34"/>
  <c r="C31" i="34"/>
  <c r="E42" i="34"/>
  <c r="C42" i="34"/>
  <c r="C114" i="34"/>
  <c r="E114" i="34"/>
  <c r="C258" i="34"/>
  <c r="E258" i="34"/>
  <c r="E262" i="34"/>
  <c r="C262" i="34"/>
  <c r="C227" i="34"/>
  <c r="E227" i="34"/>
  <c r="E248" i="34"/>
  <c r="C248" i="34"/>
  <c r="E189" i="34"/>
  <c r="C189" i="34"/>
  <c r="E173" i="34"/>
  <c r="C173" i="34"/>
  <c r="E124" i="34"/>
  <c r="C124" i="34"/>
  <c r="G124" i="34" s="1"/>
  <c r="C101" i="34"/>
  <c r="E101" i="34"/>
  <c r="C203" i="34"/>
  <c r="E203" i="34"/>
  <c r="E52" i="34"/>
  <c r="C52" i="34"/>
  <c r="E209" i="34"/>
  <c r="C209" i="34"/>
  <c r="E65" i="34"/>
  <c r="C65" i="34"/>
  <c r="C26" i="34"/>
  <c r="E26" i="34"/>
  <c r="E89" i="34"/>
  <c r="C89" i="34"/>
  <c r="E37" i="34"/>
  <c r="C37" i="34"/>
  <c r="E34" i="34"/>
  <c r="C34" i="34"/>
  <c r="E244" i="34"/>
  <c r="C244" i="34"/>
  <c r="E116" i="34"/>
  <c r="C116" i="34"/>
  <c r="C64" i="34"/>
  <c r="E64" i="34"/>
  <c r="E21" i="34"/>
  <c r="C21" i="34"/>
  <c r="E57" i="34"/>
  <c r="C57" i="34"/>
  <c r="E93" i="34"/>
  <c r="C93" i="34"/>
  <c r="E129" i="34"/>
  <c r="C129" i="34"/>
  <c r="E165" i="34"/>
  <c r="C165" i="34"/>
  <c r="E201" i="34"/>
  <c r="C201" i="34"/>
  <c r="G201" i="34" s="1"/>
  <c r="C237" i="34"/>
  <c r="E237" i="34"/>
  <c r="G43" i="34"/>
  <c r="G68" i="34"/>
  <c r="E186" i="34"/>
  <c r="C186" i="34"/>
  <c r="E153" i="34"/>
  <c r="C153" i="34"/>
  <c r="E56" i="34"/>
  <c r="C56" i="34"/>
  <c r="C107" i="34"/>
  <c r="E107" i="34"/>
  <c r="E269" i="34"/>
  <c r="C269" i="34"/>
  <c r="E131" i="34"/>
  <c r="C131" i="34"/>
  <c r="E92" i="34"/>
  <c r="C92" i="34"/>
  <c r="E71" i="34"/>
  <c r="C71" i="34"/>
  <c r="C32" i="34"/>
  <c r="E32" i="34"/>
  <c r="E112" i="34"/>
  <c r="C112" i="34"/>
  <c r="G112" i="34" s="1"/>
  <c r="E50" i="34"/>
  <c r="C50" i="34"/>
  <c r="G50" i="34" s="1"/>
  <c r="E47" i="34"/>
  <c r="C47" i="34"/>
  <c r="E256" i="34"/>
  <c r="C256" i="34"/>
  <c r="E139" i="34"/>
  <c r="C139" i="34"/>
  <c r="C77" i="34"/>
  <c r="E77" i="34"/>
  <c r="E24" i="34"/>
  <c r="C24" i="34"/>
  <c r="E60" i="34"/>
  <c r="C60" i="34"/>
  <c r="E96" i="34"/>
  <c r="C96" i="34"/>
  <c r="E132" i="34"/>
  <c r="C132" i="34"/>
  <c r="E168" i="34"/>
  <c r="C168" i="34"/>
  <c r="E204" i="34"/>
  <c r="C204" i="34"/>
  <c r="C240" i="34"/>
  <c r="E240" i="34"/>
  <c r="E57" i="33"/>
  <c r="C57" i="33"/>
  <c r="G57" i="33" s="1"/>
  <c r="C96" i="33"/>
  <c r="E96" i="33"/>
  <c r="C63" i="33"/>
  <c r="E63" i="33"/>
  <c r="E134" i="33"/>
  <c r="C134" i="33"/>
  <c r="G134" i="33" s="1"/>
  <c r="E17" i="33"/>
  <c r="C17" i="33"/>
  <c r="E158" i="33"/>
  <c r="C158" i="33"/>
  <c r="E263" i="33"/>
  <c r="C263" i="33"/>
  <c r="E92" i="33"/>
  <c r="C92" i="33"/>
  <c r="C190" i="33"/>
  <c r="E190" i="33"/>
  <c r="E115" i="33"/>
  <c r="C115" i="33"/>
  <c r="G115" i="33" s="1"/>
  <c r="E26" i="33"/>
  <c r="C26" i="33"/>
  <c r="C135" i="33"/>
  <c r="E135" i="33"/>
  <c r="C102" i="33"/>
  <c r="E102" i="33"/>
  <c r="E83" i="33"/>
  <c r="C83" i="33"/>
  <c r="G83" i="33" s="1"/>
  <c r="E64" i="33"/>
  <c r="C64" i="33"/>
  <c r="E184" i="33"/>
  <c r="C184" i="33"/>
  <c r="G184" i="33" s="1"/>
  <c r="E259" i="33"/>
  <c r="C259" i="33"/>
  <c r="E19" i="33"/>
  <c r="C19" i="33"/>
  <c r="E124" i="33"/>
  <c r="C124" i="33"/>
  <c r="G124" i="33" s="1"/>
  <c r="E232" i="33"/>
  <c r="C232" i="33"/>
  <c r="G232" i="33" s="1"/>
  <c r="E62" i="33"/>
  <c r="C62" i="33"/>
  <c r="E121" i="33"/>
  <c r="C121" i="33"/>
  <c r="G121" i="33" s="1"/>
  <c r="E229" i="33"/>
  <c r="C229" i="33"/>
  <c r="E79" i="33"/>
  <c r="C79" i="33"/>
  <c r="C107" i="33"/>
  <c r="E107" i="33"/>
  <c r="C215" i="33"/>
  <c r="E215" i="33"/>
  <c r="E33" i="33"/>
  <c r="C33" i="33"/>
  <c r="E69" i="33"/>
  <c r="C69" i="33"/>
  <c r="G69" i="33" s="1"/>
  <c r="C105" i="33"/>
  <c r="E105" i="33"/>
  <c r="C141" i="33"/>
  <c r="E141" i="33"/>
  <c r="C177" i="33"/>
  <c r="E177" i="33"/>
  <c r="C213" i="33"/>
  <c r="E213" i="33"/>
  <c r="C249" i="33"/>
  <c r="E249" i="33"/>
  <c r="E104" i="33"/>
  <c r="C104" i="33"/>
  <c r="G104" i="33" s="1"/>
  <c r="E256" i="33"/>
  <c r="C256" i="33"/>
  <c r="E82" i="33"/>
  <c r="C82" i="33"/>
  <c r="C53" i="33"/>
  <c r="E53" i="33"/>
  <c r="C237" i="33"/>
  <c r="E237" i="33"/>
  <c r="E155" i="33"/>
  <c r="C155" i="33"/>
  <c r="E260" i="33"/>
  <c r="C260" i="33"/>
  <c r="G260" i="33" s="1"/>
  <c r="E24" i="33"/>
  <c r="C24" i="33"/>
  <c r="C240" i="33"/>
  <c r="E240" i="33"/>
  <c r="C86" i="33"/>
  <c r="E86" i="33"/>
  <c r="E103" i="33"/>
  <c r="C103" i="33"/>
  <c r="G103" i="33" s="1"/>
  <c r="C99" i="33"/>
  <c r="E99" i="33"/>
  <c r="E66" i="33"/>
  <c r="C66" i="33"/>
  <c r="G66" i="33" s="1"/>
  <c r="E191" i="33"/>
  <c r="C191" i="33"/>
  <c r="G191" i="33" s="1"/>
  <c r="E131" i="33"/>
  <c r="C131" i="33"/>
  <c r="E239" i="33"/>
  <c r="C239" i="33"/>
  <c r="E85" i="33"/>
  <c r="C85" i="33"/>
  <c r="G85" i="33" s="1"/>
  <c r="E128" i="33"/>
  <c r="C128" i="33"/>
  <c r="E236" i="33"/>
  <c r="C236" i="33"/>
  <c r="G236" i="33" s="1"/>
  <c r="C118" i="33"/>
  <c r="E118" i="33"/>
  <c r="C226" i="33"/>
  <c r="E226" i="33"/>
  <c r="E36" i="33"/>
  <c r="C36" i="33"/>
  <c r="G36" i="33" s="1"/>
  <c r="E72" i="33"/>
  <c r="C72" i="33"/>
  <c r="G72" i="33" s="1"/>
  <c r="C252" i="33"/>
  <c r="E252" i="33"/>
  <c r="C37" i="33"/>
  <c r="E37" i="33"/>
  <c r="E21" i="33"/>
  <c r="C21" i="33"/>
  <c r="C76" i="33"/>
  <c r="E76" i="33"/>
  <c r="E106" i="33"/>
  <c r="C106" i="33"/>
  <c r="G106" i="33" s="1"/>
  <c r="C197" i="33"/>
  <c r="E197" i="33"/>
  <c r="C243" i="33"/>
  <c r="E243" i="33"/>
  <c r="E169" i="33"/>
  <c r="C169" i="33"/>
  <c r="G169" i="33" s="1"/>
  <c r="E221" i="33"/>
  <c r="C221" i="33"/>
  <c r="G221" i="33" s="1"/>
  <c r="E56" i="33"/>
  <c r="C56" i="33"/>
  <c r="C246" i="33"/>
  <c r="E246" i="33"/>
  <c r="E176" i="33"/>
  <c r="C176" i="33"/>
  <c r="G176" i="33" s="1"/>
  <c r="E32" i="33"/>
  <c r="C32" i="33"/>
  <c r="C180" i="33"/>
  <c r="E180" i="33"/>
  <c r="E47" i="33"/>
  <c r="C47" i="33"/>
  <c r="G47" i="33" s="1"/>
  <c r="E133" i="33"/>
  <c r="C133" i="33"/>
  <c r="E94" i="33"/>
  <c r="C94" i="33"/>
  <c r="G94" i="33" s="1"/>
  <c r="E202" i="33"/>
  <c r="C202" i="33"/>
  <c r="G202" i="33" s="1"/>
  <c r="E67" i="33"/>
  <c r="C67" i="33"/>
  <c r="C55" i="33"/>
  <c r="E55" i="33"/>
  <c r="E142" i="33"/>
  <c r="C142" i="33"/>
  <c r="G142" i="33" s="1"/>
  <c r="E250" i="33"/>
  <c r="C250" i="33"/>
  <c r="E152" i="33"/>
  <c r="C152" i="33"/>
  <c r="G152" i="33" s="1"/>
  <c r="E139" i="33"/>
  <c r="C139" i="33"/>
  <c r="G139" i="33" s="1"/>
  <c r="E247" i="33"/>
  <c r="C247" i="33"/>
  <c r="E71" i="33"/>
  <c r="C71" i="33"/>
  <c r="G71" i="33" s="1"/>
  <c r="C125" i="33"/>
  <c r="E125" i="33"/>
  <c r="C233" i="33"/>
  <c r="E233" i="33"/>
  <c r="E39" i="33"/>
  <c r="C39" i="33"/>
  <c r="G39" i="33" s="1"/>
  <c r="E75" i="33"/>
  <c r="C75" i="33"/>
  <c r="G75" i="33" s="1"/>
  <c r="C111" i="33"/>
  <c r="E111" i="33"/>
  <c r="C147" i="33"/>
  <c r="E147" i="33"/>
  <c r="C183" i="33"/>
  <c r="E183" i="33"/>
  <c r="C219" i="33"/>
  <c r="E219" i="33"/>
  <c r="C255" i="33"/>
  <c r="E255" i="33"/>
  <c r="E187" i="33"/>
  <c r="C187" i="33"/>
  <c r="G187" i="33" s="1"/>
  <c r="C179" i="33"/>
  <c r="G179" i="33" s="1"/>
  <c r="E179" i="33"/>
  <c r="E248" i="33"/>
  <c r="C248" i="33"/>
  <c r="G248" i="33" s="1"/>
  <c r="E110" i="33"/>
  <c r="C110" i="33"/>
  <c r="G110" i="33" s="1"/>
  <c r="C208" i="33"/>
  <c r="E208" i="33"/>
  <c r="C210" i="33"/>
  <c r="E210" i="33"/>
  <c r="E266" i="33"/>
  <c r="C266" i="33"/>
  <c r="G266" i="33" s="1"/>
  <c r="C144" i="33"/>
  <c r="G144" i="33" s="1"/>
  <c r="E144" i="33"/>
  <c r="E34" i="33"/>
  <c r="C34" i="33"/>
  <c r="G34" i="33" s="1"/>
  <c r="C73" i="33"/>
  <c r="E73" i="33"/>
  <c r="E101" i="33"/>
  <c r="C101" i="33"/>
  <c r="E209" i="33"/>
  <c r="C209" i="33"/>
  <c r="G209" i="33" s="1"/>
  <c r="C25" i="33"/>
  <c r="E25" i="33"/>
  <c r="C68" i="33"/>
  <c r="G68" i="33" s="1"/>
  <c r="E68" i="33"/>
  <c r="E149" i="33"/>
  <c r="C149" i="33"/>
  <c r="G149" i="33" s="1"/>
  <c r="E257" i="33"/>
  <c r="C257" i="33"/>
  <c r="E199" i="33"/>
  <c r="C199" i="33"/>
  <c r="E146" i="33"/>
  <c r="C146" i="33"/>
  <c r="G146" i="33" s="1"/>
  <c r="E254" i="33"/>
  <c r="C254" i="33"/>
  <c r="G254" i="33" s="1"/>
  <c r="E91" i="33"/>
  <c r="C91" i="33"/>
  <c r="C136" i="33"/>
  <c r="E136" i="33"/>
  <c r="C244" i="33"/>
  <c r="E244" i="33"/>
  <c r="E42" i="33"/>
  <c r="C42" i="33"/>
  <c r="E78" i="33"/>
  <c r="C78" i="33"/>
  <c r="G78" i="33" s="1"/>
  <c r="C114" i="33"/>
  <c r="E114" i="33"/>
  <c r="C150" i="33"/>
  <c r="G150" i="33" s="1"/>
  <c r="E150" i="33"/>
  <c r="C186" i="33"/>
  <c r="E186" i="33"/>
  <c r="C222" i="33"/>
  <c r="E222" i="33"/>
  <c r="C258" i="33"/>
  <c r="E258" i="33"/>
  <c r="E122" i="33"/>
  <c r="C122" i="33"/>
  <c r="G122" i="33" s="1"/>
  <c r="E235" i="33"/>
  <c r="C235" i="33"/>
  <c r="G235" i="33" s="1"/>
  <c r="C129" i="33"/>
  <c r="G129" i="33" s="1"/>
  <c r="E129" i="33"/>
  <c r="E18" i="33"/>
  <c r="C18" i="33"/>
  <c r="G18" i="33" s="1"/>
  <c r="E200" i="33"/>
  <c r="C200" i="33"/>
  <c r="G200" i="33" s="1"/>
  <c r="C168" i="33"/>
  <c r="G168" i="33" s="1"/>
  <c r="E168" i="33"/>
  <c r="E217" i="33"/>
  <c r="C217" i="33"/>
  <c r="G217" i="33" s="1"/>
  <c r="C89" i="33"/>
  <c r="E89" i="33"/>
  <c r="C171" i="33"/>
  <c r="G171" i="33" s="1"/>
  <c r="E171" i="33"/>
  <c r="E173" i="33"/>
  <c r="C173" i="33"/>
  <c r="G173" i="33" s="1"/>
  <c r="E218" i="33"/>
  <c r="C218" i="33"/>
  <c r="G218" i="33" s="1"/>
  <c r="C174" i="33"/>
  <c r="G174" i="33" s="1"/>
  <c r="E174" i="33"/>
  <c r="C216" i="33"/>
  <c r="E216" i="33"/>
  <c r="E205" i="33"/>
  <c r="C205" i="33"/>
  <c r="G205" i="33" s="1"/>
  <c r="E151" i="33"/>
  <c r="C151" i="33"/>
  <c r="E112" i="33"/>
  <c r="C112" i="33"/>
  <c r="G112" i="33" s="1"/>
  <c r="E220" i="33"/>
  <c r="C220" i="33"/>
  <c r="G220" i="33" s="1"/>
  <c r="C38" i="33"/>
  <c r="G38" i="33" s="1"/>
  <c r="E38" i="33"/>
  <c r="E116" i="33"/>
  <c r="C116" i="33"/>
  <c r="G116" i="33" s="1"/>
  <c r="E160" i="33"/>
  <c r="C160" i="33"/>
  <c r="G160" i="33" s="1"/>
  <c r="E268" i="33"/>
  <c r="C268" i="33"/>
  <c r="E253" i="33"/>
  <c r="C253" i="33"/>
  <c r="G253" i="33" s="1"/>
  <c r="E157" i="33"/>
  <c r="C157" i="33"/>
  <c r="G157" i="33" s="1"/>
  <c r="E265" i="33"/>
  <c r="C265" i="33"/>
  <c r="E170" i="33"/>
  <c r="C170" i="33"/>
  <c r="G170" i="33" s="1"/>
  <c r="C143" i="33"/>
  <c r="E143" i="33"/>
  <c r="C251" i="33"/>
  <c r="G251" i="33" s="1"/>
  <c r="E251" i="33"/>
  <c r="E45" i="33"/>
  <c r="C45" i="33"/>
  <c r="G45" i="33" s="1"/>
  <c r="E81" i="33"/>
  <c r="C81" i="33"/>
  <c r="G81" i="33" s="1"/>
  <c r="C117" i="33"/>
  <c r="G117" i="33" s="1"/>
  <c r="E117" i="33"/>
  <c r="C153" i="33"/>
  <c r="E153" i="33"/>
  <c r="C189" i="33"/>
  <c r="E189" i="33"/>
  <c r="C225" i="33"/>
  <c r="G225" i="33" s="1"/>
  <c r="E225" i="33"/>
  <c r="C261" i="33"/>
  <c r="E261" i="33"/>
  <c r="E35" i="33"/>
  <c r="C35" i="33"/>
  <c r="G35" i="33" s="1"/>
  <c r="E194" i="33"/>
  <c r="C194" i="33"/>
  <c r="E148" i="33"/>
  <c r="C148" i="33"/>
  <c r="G148" i="33" s="1"/>
  <c r="E88" i="33"/>
  <c r="C88" i="33"/>
  <c r="G88" i="33" s="1"/>
  <c r="E193" i="33"/>
  <c r="C193" i="33"/>
  <c r="C201" i="33"/>
  <c r="E201" i="33"/>
  <c r="E70" i="33"/>
  <c r="C70" i="33"/>
  <c r="G70" i="33" s="1"/>
  <c r="E181" i="33"/>
  <c r="C181" i="33"/>
  <c r="E203" i="33"/>
  <c r="C203" i="33"/>
  <c r="G203" i="33" s="1"/>
  <c r="E20" i="33"/>
  <c r="C20" i="33"/>
  <c r="G20" i="33" s="1"/>
  <c r="E60" i="33"/>
  <c r="C60" i="33"/>
  <c r="C204" i="33"/>
  <c r="E204" i="33"/>
  <c r="E166" i="33"/>
  <c r="C166" i="33"/>
  <c r="G166" i="33" s="1"/>
  <c r="E214" i="33"/>
  <c r="C214" i="33"/>
  <c r="E211" i="33"/>
  <c r="C211" i="33"/>
  <c r="G211" i="33" s="1"/>
  <c r="C27" i="33"/>
  <c r="E27" i="33"/>
  <c r="E58" i="33"/>
  <c r="C58" i="33"/>
  <c r="E41" i="33"/>
  <c r="C41" i="33"/>
  <c r="G41" i="33" s="1"/>
  <c r="E113" i="33"/>
  <c r="C113" i="33"/>
  <c r="G113" i="33" s="1"/>
  <c r="E49" i="33"/>
  <c r="C49" i="33"/>
  <c r="C100" i="33"/>
  <c r="E100" i="33"/>
  <c r="E212" i="33"/>
  <c r="C212" i="33"/>
  <c r="G212" i="33" s="1"/>
  <c r="E77" i="33"/>
  <c r="C77" i="33"/>
  <c r="C108" i="33"/>
  <c r="E108" i="33"/>
  <c r="E140" i="33"/>
  <c r="C140" i="33"/>
  <c r="G140" i="33" s="1"/>
  <c r="E31" i="33"/>
  <c r="C31" i="33"/>
  <c r="E119" i="33"/>
  <c r="C119" i="33"/>
  <c r="G119" i="33" s="1"/>
  <c r="E227" i="33"/>
  <c r="C227" i="33"/>
  <c r="G227" i="33" s="1"/>
  <c r="E61" i="33"/>
  <c r="C61" i="33"/>
  <c r="E29" i="33"/>
  <c r="C29" i="33"/>
  <c r="G29" i="33" s="1"/>
  <c r="E167" i="33"/>
  <c r="C167" i="33"/>
  <c r="G167" i="33" s="1"/>
  <c r="E127" i="33"/>
  <c r="C127" i="33"/>
  <c r="E23" i="33"/>
  <c r="C23" i="33"/>
  <c r="E164" i="33"/>
  <c r="C164" i="33"/>
  <c r="G164" i="33" s="1"/>
  <c r="E98" i="33"/>
  <c r="C98" i="33"/>
  <c r="E188" i="33"/>
  <c r="C188" i="33"/>
  <c r="G188" i="33" s="1"/>
  <c r="C154" i="33"/>
  <c r="E154" i="33"/>
  <c r="C262" i="33"/>
  <c r="E262" i="33"/>
  <c r="C48" i="33"/>
  <c r="E48" i="33"/>
  <c r="E84" i="33"/>
  <c r="C84" i="33"/>
  <c r="G84" i="33" s="1"/>
  <c r="C120" i="33"/>
  <c r="G120" i="33" s="1"/>
  <c r="E120" i="33"/>
  <c r="C156" i="33"/>
  <c r="E156" i="33"/>
  <c r="C192" i="33"/>
  <c r="E192" i="33"/>
  <c r="C228" i="33"/>
  <c r="G228" i="33" s="1"/>
  <c r="E228" i="33"/>
  <c r="C264" i="33"/>
  <c r="E264" i="33"/>
  <c r="E22" i="33"/>
  <c r="C22" i="33"/>
  <c r="G22" i="33" s="1"/>
  <c r="C93" i="33"/>
  <c r="G93" i="33" s="1"/>
  <c r="E93" i="33"/>
  <c r="E28" i="33"/>
  <c r="C28" i="33"/>
  <c r="G28" i="33" s="1"/>
  <c r="E30" i="33"/>
  <c r="C30" i="33"/>
  <c r="G30" i="33" s="1"/>
  <c r="E97" i="33"/>
  <c r="C97" i="33"/>
  <c r="E44" i="33"/>
  <c r="C44" i="33"/>
  <c r="G44" i="33" s="1"/>
  <c r="E130" i="33"/>
  <c r="C130" i="33"/>
  <c r="G130" i="33" s="1"/>
  <c r="E238" i="33"/>
  <c r="C238" i="33"/>
  <c r="C74" i="33"/>
  <c r="E74" i="33"/>
  <c r="E52" i="33"/>
  <c r="C52" i="33"/>
  <c r="G52" i="33" s="1"/>
  <c r="E178" i="33"/>
  <c r="C178" i="33"/>
  <c r="E145" i="33"/>
  <c r="C145" i="33"/>
  <c r="G145" i="33" s="1"/>
  <c r="E46" i="33"/>
  <c r="C46" i="33"/>
  <c r="G46" i="33" s="1"/>
  <c r="E175" i="33"/>
  <c r="C175" i="33"/>
  <c r="E163" i="33"/>
  <c r="C163" i="33"/>
  <c r="G163" i="33" s="1"/>
  <c r="E242" i="33"/>
  <c r="C242" i="33"/>
  <c r="G242" i="33" s="1"/>
  <c r="C161" i="33"/>
  <c r="G161" i="33" s="1"/>
  <c r="E161" i="33"/>
  <c r="C269" i="33"/>
  <c r="E269" i="33"/>
  <c r="E51" i="33"/>
  <c r="C51" i="33"/>
  <c r="G51" i="33" s="1"/>
  <c r="E87" i="33"/>
  <c r="C87" i="33"/>
  <c r="C123" i="33"/>
  <c r="E123" i="33"/>
  <c r="C159" i="33"/>
  <c r="E159" i="33"/>
  <c r="C195" i="33"/>
  <c r="G195" i="33" s="1"/>
  <c r="E195" i="33"/>
  <c r="C231" i="33"/>
  <c r="E231" i="33"/>
  <c r="E241" i="33"/>
  <c r="C241" i="33"/>
  <c r="G241" i="33" s="1"/>
  <c r="E196" i="33"/>
  <c r="C196" i="33"/>
  <c r="C165" i="33"/>
  <c r="E165" i="33"/>
  <c r="E95" i="33"/>
  <c r="C95" i="33"/>
  <c r="G95" i="33" s="1"/>
  <c r="C132" i="33"/>
  <c r="G132" i="33" s="1"/>
  <c r="E132" i="33"/>
  <c r="E230" i="33"/>
  <c r="C230" i="33"/>
  <c r="G230" i="33" s="1"/>
  <c r="E43" i="33"/>
  <c r="C43" i="33"/>
  <c r="G43" i="33" s="1"/>
  <c r="C207" i="33"/>
  <c r="G207" i="33" s="1"/>
  <c r="E207" i="33"/>
  <c r="E224" i="33"/>
  <c r="C224" i="33"/>
  <c r="G224" i="33" s="1"/>
  <c r="C138" i="33"/>
  <c r="E138" i="33"/>
  <c r="C267" i="33"/>
  <c r="E267" i="33"/>
  <c r="C50" i="33"/>
  <c r="E50" i="33"/>
  <c r="E80" i="33"/>
  <c r="C80" i="33"/>
  <c r="G80" i="33" s="1"/>
  <c r="E137" i="33"/>
  <c r="C137" i="33"/>
  <c r="E245" i="33"/>
  <c r="C245" i="33"/>
  <c r="G245" i="33" s="1"/>
  <c r="E109" i="33"/>
  <c r="C109" i="33"/>
  <c r="G109" i="33" s="1"/>
  <c r="E65" i="33"/>
  <c r="C65" i="33"/>
  <c r="E185" i="33"/>
  <c r="C185" i="33"/>
  <c r="G185" i="33" s="1"/>
  <c r="E206" i="33"/>
  <c r="C206" i="33"/>
  <c r="G206" i="33" s="1"/>
  <c r="E59" i="33"/>
  <c r="C59" i="33"/>
  <c r="E182" i="33"/>
  <c r="C182" i="33"/>
  <c r="G182" i="33" s="1"/>
  <c r="H271" i="33"/>
  <c r="E271" i="33"/>
  <c r="C271" i="33"/>
  <c r="C40" i="33"/>
  <c r="G40" i="33" s="1"/>
  <c r="E40" i="33"/>
  <c r="C172" i="33"/>
  <c r="G172" i="33" s="1"/>
  <c r="E172" i="33"/>
  <c r="E54" i="33"/>
  <c r="C54" i="33"/>
  <c r="C90" i="33"/>
  <c r="E90" i="33"/>
  <c r="C126" i="33"/>
  <c r="E126" i="33"/>
  <c r="C162" i="33"/>
  <c r="E162" i="33"/>
  <c r="C198" i="33"/>
  <c r="G198" i="33" s="1"/>
  <c r="E198" i="33"/>
  <c r="C234" i="33"/>
  <c r="E234" i="33"/>
  <c r="C270" i="33"/>
  <c r="E270" i="33"/>
  <c r="C245" i="32"/>
  <c r="E245" i="32"/>
  <c r="E221" i="32"/>
  <c r="C221" i="32"/>
  <c r="C135" i="32"/>
  <c r="G135" i="32" s="1"/>
  <c r="E135" i="32"/>
  <c r="E74" i="32"/>
  <c r="C74" i="32"/>
  <c r="G74" i="32" s="1"/>
  <c r="G93" i="32"/>
  <c r="E100" i="32"/>
  <c r="C100" i="32"/>
  <c r="G100" i="32" s="1"/>
  <c r="C259" i="32"/>
  <c r="E259" i="32"/>
  <c r="E56" i="32"/>
  <c r="C56" i="32"/>
  <c r="G56" i="32" s="1"/>
  <c r="C147" i="32"/>
  <c r="E147" i="32"/>
  <c r="C27" i="32"/>
  <c r="E27" i="32"/>
  <c r="C171" i="32"/>
  <c r="G171" i="32" s="1"/>
  <c r="E171" i="32"/>
  <c r="E67" i="32"/>
  <c r="C67" i="32"/>
  <c r="G67" i="32" s="1"/>
  <c r="C211" i="32"/>
  <c r="E211" i="32"/>
  <c r="C123" i="32"/>
  <c r="E123" i="32"/>
  <c r="E268" i="32"/>
  <c r="C268" i="32"/>
  <c r="E110" i="32"/>
  <c r="C110" i="32"/>
  <c r="E254" i="32"/>
  <c r="C254" i="32"/>
  <c r="C117" i="32"/>
  <c r="E117" i="32"/>
  <c r="E265" i="32"/>
  <c r="C265" i="32"/>
  <c r="C127" i="32"/>
  <c r="E127" i="32"/>
  <c r="C101" i="32"/>
  <c r="E101" i="32"/>
  <c r="E61" i="32"/>
  <c r="C61" i="32"/>
  <c r="C111" i="32"/>
  <c r="G111" i="32" s="1"/>
  <c r="E111" i="32"/>
  <c r="C81" i="32"/>
  <c r="E81" i="32"/>
  <c r="E148" i="32"/>
  <c r="C148" i="32"/>
  <c r="C84" i="32"/>
  <c r="E84" i="32"/>
  <c r="E94" i="32"/>
  <c r="C94" i="32"/>
  <c r="C104" i="32"/>
  <c r="E104" i="32"/>
  <c r="C137" i="32"/>
  <c r="G137" i="32" s="1"/>
  <c r="E137" i="32"/>
  <c r="C161" i="32"/>
  <c r="E161" i="32"/>
  <c r="C198" i="32"/>
  <c r="E198" i="32"/>
  <c r="E257" i="32"/>
  <c r="C257" i="32"/>
  <c r="G257" i="32" s="1"/>
  <c r="E241" i="32"/>
  <c r="C241" i="32"/>
  <c r="E251" i="32"/>
  <c r="C251" i="32"/>
  <c r="C249" i="32"/>
  <c r="E249" i="32"/>
  <c r="C49" i="32"/>
  <c r="E49" i="32"/>
  <c r="C160" i="32"/>
  <c r="E160" i="32"/>
  <c r="E40" i="32"/>
  <c r="C40" i="32"/>
  <c r="G40" i="32" s="1"/>
  <c r="C184" i="32"/>
  <c r="E184" i="32"/>
  <c r="E80" i="32"/>
  <c r="C80" i="32"/>
  <c r="C224" i="32"/>
  <c r="G224" i="32" s="1"/>
  <c r="E224" i="32"/>
  <c r="E136" i="32"/>
  <c r="C136" i="32"/>
  <c r="G136" i="32" s="1"/>
  <c r="E191" i="32"/>
  <c r="C191" i="32"/>
  <c r="C120" i="32"/>
  <c r="E120" i="32"/>
  <c r="C201" i="32"/>
  <c r="E201" i="32"/>
  <c r="E130" i="32"/>
  <c r="C130" i="32"/>
  <c r="C237" i="32"/>
  <c r="G237" i="32" s="1"/>
  <c r="E237" i="32"/>
  <c r="C140" i="32"/>
  <c r="E140" i="32"/>
  <c r="C258" i="32"/>
  <c r="E258" i="32"/>
  <c r="G204" i="32"/>
  <c r="G30" i="32"/>
  <c r="E263" i="32"/>
  <c r="C263" i="32"/>
  <c r="C78" i="32"/>
  <c r="E78" i="32"/>
  <c r="E142" i="32"/>
  <c r="C142" i="32"/>
  <c r="C87" i="32"/>
  <c r="E87" i="32"/>
  <c r="C235" i="32"/>
  <c r="E235" i="32"/>
  <c r="C262" i="32"/>
  <c r="E262" i="32"/>
  <c r="E244" i="32"/>
  <c r="C244" i="32"/>
  <c r="E238" i="32"/>
  <c r="C238" i="32"/>
  <c r="C248" i="32"/>
  <c r="E248" i="32"/>
  <c r="C269" i="32"/>
  <c r="E269" i="32"/>
  <c r="C54" i="32"/>
  <c r="E54" i="32"/>
  <c r="E113" i="32"/>
  <c r="C113" i="32"/>
  <c r="E97" i="32"/>
  <c r="C97" i="32"/>
  <c r="E107" i="32"/>
  <c r="C107" i="32"/>
  <c r="C114" i="32"/>
  <c r="G114" i="32" s="1"/>
  <c r="E114" i="32"/>
  <c r="C239" i="32"/>
  <c r="E239" i="32"/>
  <c r="E34" i="32"/>
  <c r="C34" i="32"/>
  <c r="C173" i="32"/>
  <c r="E173" i="32"/>
  <c r="E53" i="32"/>
  <c r="C53" i="32"/>
  <c r="E197" i="32"/>
  <c r="C197" i="32"/>
  <c r="C90" i="32"/>
  <c r="G90" i="32" s="1"/>
  <c r="E90" i="32"/>
  <c r="C234" i="32"/>
  <c r="E234" i="32"/>
  <c r="E149" i="32"/>
  <c r="C149" i="32"/>
  <c r="E227" i="32"/>
  <c r="C227" i="32"/>
  <c r="G227" i="32" s="1"/>
  <c r="E133" i="32"/>
  <c r="C133" i="32"/>
  <c r="E214" i="32"/>
  <c r="C214" i="32"/>
  <c r="E143" i="32"/>
  <c r="C143" i="32"/>
  <c r="E260" i="32"/>
  <c r="C260" i="32"/>
  <c r="C150" i="32"/>
  <c r="E150" i="32"/>
  <c r="C261" i="32"/>
  <c r="E261" i="32"/>
  <c r="E125" i="32"/>
  <c r="C125" i="32"/>
  <c r="C162" i="32"/>
  <c r="E162" i="32"/>
  <c r="E205" i="32"/>
  <c r="C205" i="32"/>
  <c r="E215" i="32"/>
  <c r="C215" i="32"/>
  <c r="G215" i="32" s="1"/>
  <c r="C222" i="32"/>
  <c r="E222" i="32"/>
  <c r="C255" i="32"/>
  <c r="E255" i="32"/>
  <c r="C231" i="32"/>
  <c r="E231" i="32"/>
  <c r="C91" i="32"/>
  <c r="E91" i="32"/>
  <c r="C124" i="32"/>
  <c r="G124" i="32" s="1"/>
  <c r="E124" i="32"/>
  <c r="E44" i="32"/>
  <c r="C44" i="32"/>
  <c r="G44" i="32" s="1"/>
  <c r="C228" i="32"/>
  <c r="E228" i="32"/>
  <c r="C21" i="32"/>
  <c r="E21" i="32"/>
  <c r="C63" i="32"/>
  <c r="E63" i="32"/>
  <c r="E103" i="32"/>
  <c r="C103" i="32"/>
  <c r="H271" i="32"/>
  <c r="E271" i="32"/>
  <c r="C271" i="32"/>
  <c r="E250" i="32"/>
  <c r="C250" i="32"/>
  <c r="C19" i="32"/>
  <c r="E19" i="32"/>
  <c r="C52" i="32"/>
  <c r="E52" i="32"/>
  <c r="E220" i="32"/>
  <c r="C220" i="32"/>
  <c r="E28" i="32"/>
  <c r="C28" i="32"/>
  <c r="G28" i="32" s="1"/>
  <c r="E31" i="32"/>
  <c r="C31" i="32"/>
  <c r="G31" i="32" s="1"/>
  <c r="E166" i="32"/>
  <c r="C166" i="32"/>
  <c r="C267" i="32"/>
  <c r="E267" i="32"/>
  <c r="G57" i="32"/>
  <c r="C65" i="32"/>
  <c r="E65" i="32"/>
  <c r="C209" i="32"/>
  <c r="E209" i="32"/>
  <c r="E89" i="32"/>
  <c r="C89" i="32"/>
  <c r="E233" i="32"/>
  <c r="C233" i="32"/>
  <c r="G233" i="32" s="1"/>
  <c r="C126" i="32"/>
  <c r="E126" i="32"/>
  <c r="E41" i="32"/>
  <c r="C41" i="32"/>
  <c r="G41" i="32" s="1"/>
  <c r="E185" i="32"/>
  <c r="C185" i="32"/>
  <c r="E25" i="32"/>
  <c r="C25" i="32"/>
  <c r="E169" i="32"/>
  <c r="C169" i="32"/>
  <c r="E35" i="32"/>
  <c r="C35" i="32"/>
  <c r="G35" i="32" s="1"/>
  <c r="E179" i="32"/>
  <c r="C179" i="32"/>
  <c r="C42" i="32"/>
  <c r="E42" i="32"/>
  <c r="C186" i="32"/>
  <c r="E186" i="32"/>
  <c r="C270" i="32"/>
  <c r="E270" i="32"/>
  <c r="E77" i="32"/>
  <c r="C77" i="32"/>
  <c r="E18" i="32"/>
  <c r="C18" i="32"/>
  <c r="E218" i="32"/>
  <c r="C218" i="32"/>
  <c r="E188" i="32"/>
  <c r="C188" i="32"/>
  <c r="G188" i="32" s="1"/>
  <c r="C207" i="32"/>
  <c r="E207" i="32"/>
  <c r="C159" i="32"/>
  <c r="E159" i="32"/>
  <c r="C153" i="32"/>
  <c r="G153" i="32" s="1"/>
  <c r="E153" i="32"/>
  <c r="C163" i="32"/>
  <c r="E163" i="32"/>
  <c r="C196" i="32"/>
  <c r="E196" i="32"/>
  <c r="E116" i="32"/>
  <c r="C116" i="32"/>
  <c r="G116" i="32" s="1"/>
  <c r="C156" i="32"/>
  <c r="E156" i="32"/>
  <c r="C32" i="32"/>
  <c r="E32" i="32"/>
  <c r="G66" i="32"/>
  <c r="C174" i="32"/>
  <c r="E174" i="32"/>
  <c r="C75" i="32"/>
  <c r="G75" i="32" s="1"/>
  <c r="E75" i="32"/>
  <c r="C219" i="32"/>
  <c r="E219" i="32"/>
  <c r="C99" i="32"/>
  <c r="E99" i="32"/>
  <c r="C243" i="32"/>
  <c r="G243" i="32" s="1"/>
  <c r="E243" i="32"/>
  <c r="E139" i="32"/>
  <c r="C139" i="32"/>
  <c r="G139" i="32" s="1"/>
  <c r="C51" i="32"/>
  <c r="E51" i="32"/>
  <c r="C195" i="32"/>
  <c r="G195" i="32" s="1"/>
  <c r="E195" i="32"/>
  <c r="E38" i="32"/>
  <c r="C38" i="32"/>
  <c r="E182" i="32"/>
  <c r="C182" i="32"/>
  <c r="C45" i="32"/>
  <c r="G45" i="32" s="1"/>
  <c r="E45" i="32"/>
  <c r="C189" i="32"/>
  <c r="E189" i="32"/>
  <c r="C55" i="32"/>
  <c r="E55" i="32"/>
  <c r="C199" i="32"/>
  <c r="G199" i="32" s="1"/>
  <c r="E199" i="32"/>
  <c r="G102" i="32"/>
  <c r="G129" i="32"/>
  <c r="E71" i="32"/>
  <c r="C71" i="32"/>
  <c r="E175" i="32"/>
  <c r="C175" i="32"/>
  <c r="C225" i="32"/>
  <c r="E225" i="32"/>
  <c r="C183" i="32"/>
  <c r="E183" i="32"/>
  <c r="C247" i="32"/>
  <c r="E247" i="32"/>
  <c r="E146" i="32"/>
  <c r="C146" i="32"/>
  <c r="C264" i="32"/>
  <c r="E264" i="32"/>
  <c r="E76" i="32"/>
  <c r="C76" i="32"/>
  <c r="E172" i="32"/>
  <c r="C172" i="32"/>
  <c r="G172" i="32" s="1"/>
  <c r="E22" i="32"/>
  <c r="C22" i="32"/>
  <c r="C176" i="32"/>
  <c r="G176" i="32" s="1"/>
  <c r="E176" i="32"/>
  <c r="C158" i="32"/>
  <c r="E158" i="32"/>
  <c r="C88" i="32"/>
  <c r="E88" i="32"/>
  <c r="C232" i="32"/>
  <c r="G232" i="32" s="1"/>
  <c r="E232" i="32"/>
  <c r="E112" i="32"/>
  <c r="C112" i="32"/>
  <c r="G112" i="32" s="1"/>
  <c r="E256" i="32"/>
  <c r="C256" i="32"/>
  <c r="E152" i="32"/>
  <c r="C152" i="32"/>
  <c r="E64" i="32"/>
  <c r="C64" i="32"/>
  <c r="E208" i="32"/>
  <c r="C208" i="32"/>
  <c r="C48" i="32"/>
  <c r="G48" i="32" s="1"/>
  <c r="E48" i="32"/>
  <c r="C192" i="32"/>
  <c r="E192" i="32"/>
  <c r="E58" i="32"/>
  <c r="C58" i="32"/>
  <c r="G58" i="32" s="1"/>
  <c r="E202" i="32"/>
  <c r="C202" i="32"/>
  <c r="C68" i="32"/>
  <c r="E68" i="32"/>
  <c r="C212" i="32"/>
  <c r="E212" i="32"/>
  <c r="G246" i="32"/>
  <c r="G210" i="32"/>
  <c r="C203" i="31"/>
  <c r="G107" i="31"/>
  <c r="C155" i="31"/>
  <c r="E123" i="30"/>
  <c r="C64" i="30"/>
  <c r="G64" i="30" s="1"/>
  <c r="C191" i="30"/>
  <c r="G191" i="30" s="1"/>
  <c r="E56" i="30"/>
  <c r="G56" i="30" s="1"/>
  <c r="C227" i="30"/>
  <c r="G227" i="30" s="1"/>
  <c r="E158" i="30"/>
  <c r="C158" i="30"/>
  <c r="E54" i="30"/>
  <c r="G54" i="30" s="1"/>
  <c r="E116" i="30"/>
  <c r="G116" i="30" s="1"/>
  <c r="E30" i="30"/>
  <c r="G30" i="30" s="1"/>
  <c r="C149" i="30"/>
  <c r="G149" i="30" s="1"/>
  <c r="C256" i="30"/>
  <c r="G256" i="30" s="1"/>
  <c r="C139" i="30"/>
  <c r="G139" i="30" s="1"/>
  <c r="E103" i="30"/>
  <c r="G103" i="30" s="1"/>
  <c r="C266" i="30"/>
  <c r="G266" i="30" s="1"/>
  <c r="G246" i="30"/>
  <c r="C109" i="30"/>
  <c r="G109" i="30" s="1"/>
  <c r="C47" i="30"/>
  <c r="G47" i="30" s="1"/>
  <c r="C208" i="30"/>
  <c r="G208" i="30" s="1"/>
  <c r="C113" i="30"/>
  <c r="G113" i="30" s="1"/>
  <c r="C152" i="30"/>
  <c r="G152" i="30" s="1"/>
  <c r="C178" i="30"/>
  <c r="G178" i="30" s="1"/>
  <c r="E234" i="30"/>
  <c r="G234" i="30" s="1"/>
  <c r="C230" i="30"/>
  <c r="G230" i="30" s="1"/>
  <c r="C119" i="30"/>
  <c r="G119" i="30" s="1"/>
  <c r="G242" i="29"/>
  <c r="C205" i="29"/>
  <c r="C170" i="29"/>
  <c r="G170" i="29" s="1"/>
  <c r="C29" i="29"/>
  <c r="G29" i="29" s="1"/>
  <c r="G139" i="29"/>
  <c r="E104" i="29"/>
  <c r="E196" i="29"/>
  <c r="G211" i="29"/>
  <c r="G104" i="29"/>
  <c r="E68" i="29"/>
  <c r="G68" i="29" s="1"/>
  <c r="C77" i="29"/>
  <c r="G77" i="29" s="1"/>
  <c r="E157" i="29"/>
  <c r="G157" i="29" s="1"/>
  <c r="E188" i="29"/>
  <c r="G188" i="29" s="1"/>
  <c r="C113" i="29"/>
  <c r="G113" i="29" s="1"/>
  <c r="E91" i="29"/>
  <c r="G91" i="29" s="1"/>
  <c r="E82" i="29"/>
  <c r="C82" i="29"/>
  <c r="C152" i="27"/>
  <c r="G152" i="27" s="1"/>
  <c r="E264" i="27"/>
  <c r="C264" i="27"/>
  <c r="C57" i="27"/>
  <c r="G57" i="27" s="1"/>
  <c r="G91" i="27"/>
  <c r="E21" i="27"/>
  <c r="C21" i="27"/>
  <c r="E20" i="27"/>
  <c r="C20" i="27"/>
  <c r="G20" i="27" s="1"/>
  <c r="E142" i="27"/>
  <c r="G142" i="27" s="1"/>
  <c r="E163" i="27"/>
  <c r="G163" i="27" s="1"/>
  <c r="E208" i="27"/>
  <c r="G208" i="27" s="1"/>
  <c r="E79" i="27"/>
  <c r="G79" i="27" s="1"/>
  <c r="C44" i="27"/>
  <c r="G44" i="27" s="1"/>
  <c r="C141" i="27"/>
  <c r="G141" i="27" s="1"/>
  <c r="E219" i="27"/>
  <c r="C219" i="27"/>
  <c r="C119" i="27"/>
  <c r="G119" i="27" s="1"/>
  <c r="C165" i="27"/>
  <c r="G165" i="27" s="1"/>
  <c r="C71" i="27"/>
  <c r="G71" i="27" s="1"/>
  <c r="E48" i="27"/>
  <c r="C48" i="27"/>
  <c r="C231" i="27"/>
  <c r="G231" i="27" s="1"/>
  <c r="E179" i="27"/>
  <c r="C179" i="27"/>
  <c r="C146" i="27"/>
  <c r="G146" i="27" s="1"/>
  <c r="E91" i="27"/>
  <c r="C80" i="27"/>
  <c r="G80" i="27" s="1"/>
  <c r="C137" i="26"/>
  <c r="G137" i="26" s="1"/>
  <c r="E269" i="26"/>
  <c r="C104" i="26"/>
  <c r="G104" i="26" s="1"/>
  <c r="C199" i="25"/>
  <c r="G199" i="25" s="1"/>
  <c r="C208" i="25"/>
  <c r="G208" i="25" s="1"/>
  <c r="C233" i="25"/>
  <c r="C257" i="25"/>
  <c r="G208" i="4"/>
  <c r="E38" i="4"/>
  <c r="C38" i="4"/>
  <c r="G38" i="4" s="1"/>
  <c r="E26" i="4"/>
  <c r="G26" i="4" s="1"/>
  <c r="E142" i="30"/>
  <c r="C142" i="30"/>
  <c r="E83" i="30"/>
  <c r="C83" i="30"/>
  <c r="E37" i="30"/>
  <c r="C37" i="30"/>
  <c r="E20" i="30"/>
  <c r="G20" i="30" s="1"/>
  <c r="E93" i="30"/>
  <c r="G93" i="30" s="1"/>
  <c r="C211" i="30"/>
  <c r="G211" i="30" s="1"/>
  <c r="E250" i="30"/>
  <c r="C250" i="30"/>
  <c r="G250" i="30" s="1"/>
  <c r="E70" i="30"/>
  <c r="C70" i="30"/>
  <c r="E171" i="30"/>
  <c r="G171" i="30" s="1"/>
  <c r="E162" i="30"/>
  <c r="G162" i="30" s="1"/>
  <c r="C253" i="30"/>
  <c r="G253" i="30" s="1"/>
  <c r="E174" i="30"/>
  <c r="G174" i="30" s="1"/>
  <c r="E269" i="30"/>
  <c r="C269" i="30"/>
  <c r="G269" i="30" s="1"/>
  <c r="E223" i="30"/>
  <c r="G223" i="30" s="1"/>
  <c r="C50" i="30"/>
  <c r="G50" i="30" s="1"/>
  <c r="C161" i="30"/>
  <c r="G161" i="30" s="1"/>
  <c r="E17" i="30"/>
  <c r="G17" i="30" s="1"/>
  <c r="C76" i="30"/>
  <c r="G76" i="30" s="1"/>
  <c r="C136" i="30"/>
  <c r="G136" i="30" s="1"/>
  <c r="C244" i="30"/>
  <c r="G244" i="30" s="1"/>
  <c r="E122" i="30"/>
  <c r="C122" i="30"/>
  <c r="E129" i="30"/>
  <c r="G129" i="30" s="1"/>
  <c r="E100" i="30"/>
  <c r="C100" i="30"/>
  <c r="G100" i="30" s="1"/>
  <c r="C184" i="30"/>
  <c r="G184" i="30" s="1"/>
  <c r="E270" i="30"/>
  <c r="G270" i="30" s="1"/>
  <c r="E115" i="30"/>
  <c r="G115" i="30" s="1"/>
  <c r="C175" i="30"/>
  <c r="G175" i="30" s="1"/>
  <c r="C18" i="30"/>
  <c r="G18" i="30" s="1"/>
  <c r="E86" i="30"/>
  <c r="C86" i="30"/>
  <c r="E267" i="30"/>
  <c r="G267" i="30" s="1"/>
  <c r="C247" i="30"/>
  <c r="G247" i="30" s="1"/>
  <c r="E92" i="30"/>
  <c r="G92" i="30" s="1"/>
  <c r="G229" i="31"/>
  <c r="G157" i="31"/>
  <c r="C251" i="31"/>
  <c r="G251" i="31" s="1"/>
  <c r="E205" i="31"/>
  <c r="E253" i="31"/>
  <c r="G253" i="31" s="1"/>
  <c r="G227" i="31"/>
  <c r="G203" i="31"/>
  <c r="G109" i="31"/>
  <c r="G87" i="30"/>
  <c r="G123" i="30"/>
  <c r="E181" i="30"/>
  <c r="C181" i="30"/>
  <c r="G181" i="30" s="1"/>
  <c r="E79" i="30"/>
  <c r="G79" i="30" s="1"/>
  <c r="E195" i="30"/>
  <c r="G195" i="30" s="1"/>
  <c r="E125" i="30"/>
  <c r="C125" i="30"/>
  <c r="E41" i="30"/>
  <c r="C41" i="30"/>
  <c r="C90" i="30"/>
  <c r="E90" i="30"/>
  <c r="E198" i="30"/>
  <c r="E80" i="30"/>
  <c r="C80" i="30"/>
  <c r="E148" i="30"/>
  <c r="C148" i="30"/>
  <c r="E200" i="30"/>
  <c r="G200" i="30" s="1"/>
  <c r="E164" i="30"/>
  <c r="G164" i="30" s="1"/>
  <c r="E89" i="30"/>
  <c r="C89" i="30"/>
  <c r="C66" i="30"/>
  <c r="E66" i="30"/>
  <c r="C145" i="30"/>
  <c r="G145" i="30" s="1"/>
  <c r="E112" i="30"/>
  <c r="C112" i="30"/>
  <c r="C29" i="30"/>
  <c r="G29" i="30" s="1"/>
  <c r="E159" i="30"/>
  <c r="G159" i="30" s="1"/>
  <c r="C77" i="30"/>
  <c r="G77" i="30" s="1"/>
  <c r="C60" i="30"/>
  <c r="E60" i="30"/>
  <c r="E259" i="30"/>
  <c r="G259" i="30" s="1"/>
  <c r="C197" i="30"/>
  <c r="G197" i="30" s="1"/>
  <c r="E221" i="30"/>
  <c r="C221" i="30"/>
  <c r="C260" i="30"/>
  <c r="G260" i="30" s="1"/>
  <c r="E243" i="30"/>
  <c r="C237" i="30"/>
  <c r="E237" i="30"/>
  <c r="E31" i="30"/>
  <c r="C31" i="30"/>
  <c r="E126" i="30"/>
  <c r="G126" i="30" s="1"/>
  <c r="E165" i="30"/>
  <c r="G165" i="30" s="1"/>
  <c r="E185" i="30"/>
  <c r="C185" i="30"/>
  <c r="E124" i="29"/>
  <c r="C124" i="29"/>
  <c r="E25" i="29"/>
  <c r="C25" i="29"/>
  <c r="G25" i="29" s="1"/>
  <c r="C152" i="29"/>
  <c r="E131" i="29"/>
  <c r="G131" i="29" s="1"/>
  <c r="E41" i="29"/>
  <c r="C41" i="29"/>
  <c r="G41" i="29" s="1"/>
  <c r="E88" i="29"/>
  <c r="C88" i="29"/>
  <c r="E65" i="29"/>
  <c r="C65" i="29"/>
  <c r="G205" i="29"/>
  <c r="E182" i="29"/>
  <c r="C182" i="29"/>
  <c r="E133" i="29"/>
  <c r="C133" i="29"/>
  <c r="C259" i="29"/>
  <c r="G259" i="29" s="1"/>
  <c r="C95" i="29"/>
  <c r="C206" i="29"/>
  <c r="G206" i="29" s="1"/>
  <c r="E74" i="29"/>
  <c r="C74" i="29"/>
  <c r="E248" i="29"/>
  <c r="C248" i="29"/>
  <c r="E31" i="29"/>
  <c r="G31" i="29" s="1"/>
  <c r="C64" i="29"/>
  <c r="G64" i="29" s="1"/>
  <c r="E62" i="29"/>
  <c r="C62" i="29"/>
  <c r="G62" i="29" s="1"/>
  <c r="E169" i="29"/>
  <c r="C169" i="29"/>
  <c r="G169" i="29" s="1"/>
  <c r="E146" i="29"/>
  <c r="C146" i="29"/>
  <c r="G146" i="29" s="1"/>
  <c r="E103" i="29"/>
  <c r="G103" i="29" s="1"/>
  <c r="E229" i="29"/>
  <c r="C229" i="29"/>
  <c r="C218" i="29"/>
  <c r="G218" i="29" s="1"/>
  <c r="C266" i="29"/>
  <c r="G266" i="29" s="1"/>
  <c r="E101" i="29"/>
  <c r="G101" i="29" s="1"/>
  <c r="C121" i="29"/>
  <c r="G121" i="29" s="1"/>
  <c r="C35" i="31"/>
  <c r="G35" i="31" s="1"/>
  <c r="E35" i="31"/>
  <c r="C58" i="31"/>
  <c r="E58" i="31"/>
  <c r="C241" i="31"/>
  <c r="E241" i="31"/>
  <c r="C225" i="31"/>
  <c r="E225" i="31"/>
  <c r="E34" i="31"/>
  <c r="C34" i="31"/>
  <c r="C217" i="31"/>
  <c r="E217" i="31"/>
  <c r="E239" i="31"/>
  <c r="C239" i="31"/>
  <c r="E95" i="31"/>
  <c r="C95" i="31"/>
  <c r="G95" i="31" s="1"/>
  <c r="E137" i="31"/>
  <c r="C137" i="31"/>
  <c r="E26" i="31"/>
  <c r="C26" i="31"/>
  <c r="E142" i="31"/>
  <c r="C142" i="31"/>
  <c r="C20" i="31"/>
  <c r="E20" i="31"/>
  <c r="E206" i="31"/>
  <c r="C206" i="31"/>
  <c r="E127" i="31"/>
  <c r="C127" i="31"/>
  <c r="G127" i="31" s="1"/>
  <c r="H271" i="31"/>
  <c r="C271" i="31"/>
  <c r="E271" i="31"/>
  <c r="E124" i="31"/>
  <c r="C124" i="31"/>
  <c r="E268" i="31"/>
  <c r="C268" i="31"/>
  <c r="E176" i="31"/>
  <c r="C176" i="31"/>
  <c r="C85" i="31"/>
  <c r="E85" i="31"/>
  <c r="E48" i="31"/>
  <c r="C48" i="31"/>
  <c r="G48" i="31" s="1"/>
  <c r="C84" i="31"/>
  <c r="E84" i="31"/>
  <c r="C120" i="31"/>
  <c r="E120" i="31"/>
  <c r="C156" i="31"/>
  <c r="G156" i="31" s="1"/>
  <c r="E156" i="31"/>
  <c r="C192" i="31"/>
  <c r="E192" i="31"/>
  <c r="C228" i="31"/>
  <c r="E228" i="31"/>
  <c r="C264" i="31"/>
  <c r="E264" i="31"/>
  <c r="E101" i="31"/>
  <c r="C101" i="31"/>
  <c r="E88" i="31"/>
  <c r="C88" i="31"/>
  <c r="C219" i="31"/>
  <c r="G219" i="31" s="1"/>
  <c r="E219" i="31"/>
  <c r="E113" i="31"/>
  <c r="C113" i="31"/>
  <c r="E100" i="31"/>
  <c r="C100" i="31"/>
  <c r="C150" i="31"/>
  <c r="E150" i="31"/>
  <c r="E143" i="31"/>
  <c r="C143" i="31"/>
  <c r="E112" i="31"/>
  <c r="C112" i="31"/>
  <c r="C261" i="31"/>
  <c r="G261" i="31" s="1"/>
  <c r="E261" i="31"/>
  <c r="C181" i="31"/>
  <c r="E181" i="31"/>
  <c r="E215" i="31"/>
  <c r="C215" i="31"/>
  <c r="E80" i="31"/>
  <c r="C80" i="31"/>
  <c r="G80" i="31" s="1"/>
  <c r="E149" i="31"/>
  <c r="C149" i="31"/>
  <c r="E49" i="31"/>
  <c r="C49" i="31"/>
  <c r="G49" i="31" s="1"/>
  <c r="E154" i="31"/>
  <c r="C154" i="31"/>
  <c r="C43" i="31"/>
  <c r="E43" i="31"/>
  <c r="E218" i="31"/>
  <c r="C218" i="31"/>
  <c r="C139" i="31"/>
  <c r="E139" i="31"/>
  <c r="E18" i="31"/>
  <c r="C18" i="31"/>
  <c r="E136" i="31"/>
  <c r="C136" i="31"/>
  <c r="E25" i="31"/>
  <c r="C25" i="31"/>
  <c r="E188" i="31"/>
  <c r="C188" i="31"/>
  <c r="G272" i="31"/>
  <c r="E51" i="31"/>
  <c r="C51" i="31"/>
  <c r="G51" i="31" s="1"/>
  <c r="C87" i="31"/>
  <c r="E87" i="31"/>
  <c r="C123" i="31"/>
  <c r="E123" i="31"/>
  <c r="C159" i="31"/>
  <c r="E159" i="31"/>
  <c r="C195" i="31"/>
  <c r="E195" i="31"/>
  <c r="C231" i="31"/>
  <c r="E231" i="31"/>
  <c r="C267" i="31"/>
  <c r="E267" i="31"/>
  <c r="E140" i="31"/>
  <c r="C140" i="31"/>
  <c r="E152" i="31"/>
  <c r="C152" i="31"/>
  <c r="E47" i="31"/>
  <c r="C47" i="31"/>
  <c r="G47" i="31" s="1"/>
  <c r="C153" i="31"/>
  <c r="E153" i="31"/>
  <c r="C133" i="31"/>
  <c r="G133" i="31" s="1"/>
  <c r="E133" i="31"/>
  <c r="E179" i="31"/>
  <c r="C179" i="31"/>
  <c r="G179" i="31" s="1"/>
  <c r="E53" i="31"/>
  <c r="C53" i="31"/>
  <c r="E161" i="31"/>
  <c r="C161" i="31"/>
  <c r="E62" i="31"/>
  <c r="C62" i="31"/>
  <c r="E166" i="31"/>
  <c r="C166" i="31"/>
  <c r="G166" i="31" s="1"/>
  <c r="C56" i="31"/>
  <c r="G56" i="31" s="1"/>
  <c r="E56" i="31"/>
  <c r="E230" i="31"/>
  <c r="C230" i="31"/>
  <c r="G230" i="31" s="1"/>
  <c r="E151" i="31"/>
  <c r="C151" i="31"/>
  <c r="E31" i="31"/>
  <c r="C31" i="31"/>
  <c r="E148" i="31"/>
  <c r="C148" i="31"/>
  <c r="E38" i="31"/>
  <c r="C38" i="31"/>
  <c r="G38" i="31" s="1"/>
  <c r="E200" i="31"/>
  <c r="C200" i="31"/>
  <c r="E54" i="31"/>
  <c r="C54" i="31"/>
  <c r="G54" i="31" s="1"/>
  <c r="C90" i="31"/>
  <c r="E90" i="31"/>
  <c r="C126" i="31"/>
  <c r="E126" i="31"/>
  <c r="C162" i="31"/>
  <c r="E162" i="31"/>
  <c r="C198" i="31"/>
  <c r="E198" i="31"/>
  <c r="C234" i="31"/>
  <c r="G234" i="31" s="1"/>
  <c r="E234" i="31"/>
  <c r="C270" i="31"/>
  <c r="E270" i="31"/>
  <c r="E167" i="31"/>
  <c r="C167" i="31"/>
  <c r="E245" i="31"/>
  <c r="C245" i="31"/>
  <c r="E232" i="31"/>
  <c r="C232" i="31"/>
  <c r="C111" i="31"/>
  <c r="E111" i="31"/>
  <c r="E191" i="31"/>
  <c r="C191" i="31"/>
  <c r="E118" i="31"/>
  <c r="C118" i="31"/>
  <c r="G118" i="31" s="1"/>
  <c r="E244" i="31"/>
  <c r="C244" i="31"/>
  <c r="E42" i="31"/>
  <c r="C42" i="31"/>
  <c r="E263" i="31"/>
  <c r="C263" i="31"/>
  <c r="E115" i="31"/>
  <c r="C115" i="31"/>
  <c r="G115" i="31" s="1"/>
  <c r="C189" i="31"/>
  <c r="G189" i="31" s="1"/>
  <c r="E189" i="31"/>
  <c r="G155" i="31"/>
  <c r="C32" i="31"/>
  <c r="E32" i="31"/>
  <c r="E131" i="31"/>
  <c r="C131" i="31"/>
  <c r="E40" i="31"/>
  <c r="C40" i="31"/>
  <c r="E173" i="31"/>
  <c r="C173" i="31"/>
  <c r="E23" i="31"/>
  <c r="C23" i="31"/>
  <c r="E178" i="31"/>
  <c r="C178" i="31"/>
  <c r="C98" i="31"/>
  <c r="E98" i="31"/>
  <c r="E242" i="31"/>
  <c r="C242" i="31"/>
  <c r="E163" i="31"/>
  <c r="C163" i="31"/>
  <c r="E44" i="31"/>
  <c r="C44" i="31"/>
  <c r="E160" i="31"/>
  <c r="C160" i="31"/>
  <c r="E61" i="31"/>
  <c r="C61" i="31"/>
  <c r="E212" i="31"/>
  <c r="C212" i="31"/>
  <c r="G212" i="31" s="1"/>
  <c r="E21" i="31"/>
  <c r="C21" i="31"/>
  <c r="E57" i="31"/>
  <c r="C57" i="31"/>
  <c r="G57" i="31" s="1"/>
  <c r="C93" i="31"/>
  <c r="G93" i="31" s="1"/>
  <c r="E93" i="31"/>
  <c r="C129" i="31"/>
  <c r="E129" i="31"/>
  <c r="C165" i="31"/>
  <c r="E165" i="31"/>
  <c r="C201" i="31"/>
  <c r="E201" i="31"/>
  <c r="C237" i="31"/>
  <c r="E237" i="31"/>
  <c r="C235" i="31"/>
  <c r="E235" i="31"/>
  <c r="C255" i="31"/>
  <c r="G255" i="31" s="1"/>
  <c r="E255" i="31"/>
  <c r="C247" i="31"/>
  <c r="E247" i="31"/>
  <c r="C186" i="31"/>
  <c r="E186" i="31"/>
  <c r="E125" i="31"/>
  <c r="C125" i="31"/>
  <c r="G125" i="31" s="1"/>
  <c r="C259" i="31"/>
  <c r="E259" i="31"/>
  <c r="E256" i="31"/>
  <c r="C256" i="31"/>
  <c r="C117" i="31"/>
  <c r="G117" i="31" s="1"/>
  <c r="E117" i="31"/>
  <c r="C19" i="31"/>
  <c r="E19" i="31"/>
  <c r="E70" i="31"/>
  <c r="C70" i="31"/>
  <c r="E29" i="31"/>
  <c r="C29" i="31"/>
  <c r="G29" i="31" s="1"/>
  <c r="E185" i="31"/>
  <c r="C185" i="31"/>
  <c r="E46" i="31"/>
  <c r="C46" i="31"/>
  <c r="G46" i="31" s="1"/>
  <c r="E190" i="31"/>
  <c r="C190" i="31"/>
  <c r="C110" i="31"/>
  <c r="E110" i="31"/>
  <c r="E254" i="31"/>
  <c r="C254" i="31"/>
  <c r="C175" i="31"/>
  <c r="E175" i="31"/>
  <c r="E67" i="31"/>
  <c r="C67" i="31"/>
  <c r="E172" i="31"/>
  <c r="C172" i="31"/>
  <c r="E74" i="31"/>
  <c r="C74" i="31"/>
  <c r="E224" i="31"/>
  <c r="C224" i="31"/>
  <c r="C24" i="31"/>
  <c r="E24" i="31"/>
  <c r="C60" i="31"/>
  <c r="E60" i="31"/>
  <c r="C96" i="31"/>
  <c r="E96" i="31"/>
  <c r="C132" i="31"/>
  <c r="E132" i="31"/>
  <c r="C168" i="31"/>
  <c r="G168" i="31" s="1"/>
  <c r="E168" i="31"/>
  <c r="C204" i="31"/>
  <c r="E204" i="31"/>
  <c r="C240" i="31"/>
  <c r="E240" i="31"/>
  <c r="C91" i="31"/>
  <c r="E91" i="31"/>
  <c r="E39" i="31"/>
  <c r="C39" i="31"/>
  <c r="C265" i="31"/>
  <c r="E265" i="31"/>
  <c r="E103" i="31"/>
  <c r="C103" i="31"/>
  <c r="C78" i="31"/>
  <c r="E78" i="31"/>
  <c r="C194" i="31"/>
  <c r="E194" i="31"/>
  <c r="C45" i="31"/>
  <c r="E45" i="31"/>
  <c r="C145" i="31"/>
  <c r="E145" i="31"/>
  <c r="C68" i="31"/>
  <c r="E68" i="31"/>
  <c r="E52" i="31"/>
  <c r="C52" i="31"/>
  <c r="E197" i="31"/>
  <c r="C197" i="31"/>
  <c r="E59" i="31"/>
  <c r="C59" i="31"/>
  <c r="G59" i="31" s="1"/>
  <c r="E202" i="31"/>
  <c r="C202" i="31"/>
  <c r="G202" i="31" s="1"/>
  <c r="C122" i="31"/>
  <c r="E122" i="31"/>
  <c r="E266" i="31"/>
  <c r="C266" i="31"/>
  <c r="C187" i="31"/>
  <c r="G187" i="31" s="1"/>
  <c r="E187" i="31"/>
  <c r="E28" i="31"/>
  <c r="C28" i="31"/>
  <c r="E184" i="31"/>
  <c r="C184" i="31"/>
  <c r="E92" i="31"/>
  <c r="C92" i="31"/>
  <c r="G92" i="31" s="1"/>
  <c r="E236" i="31"/>
  <c r="C236" i="31"/>
  <c r="E27" i="31"/>
  <c r="C27" i="31"/>
  <c r="E63" i="31"/>
  <c r="C63" i="31"/>
  <c r="C99" i="31"/>
  <c r="E99" i="31"/>
  <c r="C135" i="31"/>
  <c r="E135" i="31"/>
  <c r="C171" i="31"/>
  <c r="E171" i="31"/>
  <c r="C207" i="31"/>
  <c r="E207" i="31"/>
  <c r="C243" i="31"/>
  <c r="E243" i="31"/>
  <c r="E106" i="31"/>
  <c r="C106" i="31"/>
  <c r="C183" i="31"/>
  <c r="E183" i="31"/>
  <c r="E257" i="31"/>
  <c r="C257" i="31"/>
  <c r="C258" i="31"/>
  <c r="E258" i="31"/>
  <c r="E269" i="31"/>
  <c r="C269" i="31"/>
  <c r="E164" i="31"/>
  <c r="C164" i="31"/>
  <c r="E76" i="31"/>
  <c r="C76" i="31"/>
  <c r="C97" i="31"/>
  <c r="E97" i="31"/>
  <c r="E83" i="31"/>
  <c r="C83" i="31"/>
  <c r="E65" i="31"/>
  <c r="C65" i="31"/>
  <c r="G65" i="31" s="1"/>
  <c r="E209" i="31"/>
  <c r="C209" i="31"/>
  <c r="E79" i="31"/>
  <c r="C79" i="31"/>
  <c r="E214" i="31"/>
  <c r="C214" i="31"/>
  <c r="C134" i="31"/>
  <c r="E134" i="31"/>
  <c r="C37" i="31"/>
  <c r="E37" i="31"/>
  <c r="E199" i="31"/>
  <c r="C199" i="31"/>
  <c r="G199" i="31" s="1"/>
  <c r="E41" i="31"/>
  <c r="C41" i="31"/>
  <c r="E196" i="31"/>
  <c r="C196" i="31"/>
  <c r="E104" i="31"/>
  <c r="C104" i="31"/>
  <c r="E248" i="31"/>
  <c r="C248" i="31"/>
  <c r="C30" i="31"/>
  <c r="E30" i="31"/>
  <c r="C66" i="31"/>
  <c r="E66" i="31"/>
  <c r="C102" i="31"/>
  <c r="E102" i="31"/>
  <c r="C138" i="31"/>
  <c r="E138" i="31"/>
  <c r="C174" i="31"/>
  <c r="G174" i="31" s="1"/>
  <c r="E174" i="31"/>
  <c r="C210" i="31"/>
  <c r="E210" i="31"/>
  <c r="C246" i="31"/>
  <c r="E246" i="31"/>
  <c r="C170" i="31"/>
  <c r="E170" i="31"/>
  <c r="E75" i="31"/>
  <c r="C75" i="31"/>
  <c r="E119" i="31"/>
  <c r="C119" i="31"/>
  <c r="C182" i="31"/>
  <c r="G182" i="31" s="1"/>
  <c r="E182" i="31"/>
  <c r="C114" i="31"/>
  <c r="E114" i="31"/>
  <c r="C17" i="31"/>
  <c r="E17" i="31"/>
  <c r="C81" i="31"/>
  <c r="E81" i="31"/>
  <c r="C169" i="31"/>
  <c r="E169" i="31"/>
  <c r="C55" i="31"/>
  <c r="E55" i="31"/>
  <c r="C193" i="31"/>
  <c r="G193" i="31" s="1"/>
  <c r="E193" i="31"/>
  <c r="E82" i="31"/>
  <c r="C82" i="31"/>
  <c r="E221" i="31"/>
  <c r="C221" i="31"/>
  <c r="E86" i="31"/>
  <c r="C86" i="31"/>
  <c r="G86" i="31" s="1"/>
  <c r="E226" i="31"/>
  <c r="C226" i="31"/>
  <c r="C146" i="31"/>
  <c r="E146" i="31"/>
  <c r="C50" i="31"/>
  <c r="G50" i="31" s="1"/>
  <c r="E50" i="31"/>
  <c r="C211" i="31"/>
  <c r="E211" i="31"/>
  <c r="E64" i="31"/>
  <c r="C64" i="31"/>
  <c r="E208" i="31"/>
  <c r="C208" i="31"/>
  <c r="G208" i="31" s="1"/>
  <c r="E116" i="31"/>
  <c r="C116" i="31"/>
  <c r="E260" i="31"/>
  <c r="C260" i="31"/>
  <c r="E33" i="31"/>
  <c r="C33" i="31"/>
  <c r="E69" i="31"/>
  <c r="C69" i="31"/>
  <c r="C105" i="31"/>
  <c r="E105" i="31"/>
  <c r="C141" i="31"/>
  <c r="E141" i="31"/>
  <c r="C177" i="31"/>
  <c r="E177" i="31"/>
  <c r="C213" i="31"/>
  <c r="E213" i="31"/>
  <c r="C249" i="31"/>
  <c r="G249" i="31" s="1"/>
  <c r="E249" i="31"/>
  <c r="E250" i="31"/>
  <c r="C250" i="31"/>
  <c r="C147" i="31"/>
  <c r="E147" i="31"/>
  <c r="E262" i="31"/>
  <c r="C262" i="31"/>
  <c r="G262" i="31" s="1"/>
  <c r="C222" i="31"/>
  <c r="E222" i="31"/>
  <c r="E130" i="31"/>
  <c r="C130" i="31"/>
  <c r="C71" i="31"/>
  <c r="G71" i="31" s="1"/>
  <c r="E71" i="31"/>
  <c r="C121" i="31"/>
  <c r="E121" i="31"/>
  <c r="G205" i="31"/>
  <c r="E89" i="31"/>
  <c r="C89" i="31"/>
  <c r="G89" i="31" s="1"/>
  <c r="E233" i="31"/>
  <c r="C233" i="31"/>
  <c r="E94" i="31"/>
  <c r="C94" i="31"/>
  <c r="E238" i="31"/>
  <c r="C238" i="31"/>
  <c r="C158" i="31"/>
  <c r="E158" i="31"/>
  <c r="E73" i="31"/>
  <c r="C73" i="31"/>
  <c r="C223" i="31"/>
  <c r="E223" i="31"/>
  <c r="E77" i="31"/>
  <c r="C77" i="31"/>
  <c r="E220" i="31"/>
  <c r="C220" i="31"/>
  <c r="E128" i="31"/>
  <c r="C128" i="31"/>
  <c r="C22" i="31"/>
  <c r="E22" i="31"/>
  <c r="E36" i="31"/>
  <c r="C36" i="31"/>
  <c r="E72" i="31"/>
  <c r="C72" i="31"/>
  <c r="G72" i="31" s="1"/>
  <c r="C108" i="31"/>
  <c r="E108" i="31"/>
  <c r="C144" i="31"/>
  <c r="E144" i="31"/>
  <c r="C180" i="31"/>
  <c r="E180" i="31"/>
  <c r="C216" i="31"/>
  <c r="E216" i="31"/>
  <c r="C252" i="31"/>
  <c r="E252" i="31"/>
  <c r="E212" i="30"/>
  <c r="C212" i="30"/>
  <c r="C154" i="30"/>
  <c r="E154" i="30"/>
  <c r="E121" i="30"/>
  <c r="C121" i="30"/>
  <c r="G121" i="30" s="1"/>
  <c r="E101" i="30"/>
  <c r="C101" i="30"/>
  <c r="G101" i="30" s="1"/>
  <c r="C45" i="30"/>
  <c r="E45" i="30"/>
  <c r="G135" i="30"/>
  <c r="E134" i="30"/>
  <c r="C134" i="30"/>
  <c r="C255" i="30"/>
  <c r="E255" i="30"/>
  <c r="C111" i="30"/>
  <c r="E111" i="30"/>
  <c r="E68" i="30"/>
  <c r="C68" i="30"/>
  <c r="E202" i="30"/>
  <c r="C202" i="30"/>
  <c r="E58" i="30"/>
  <c r="C58" i="30"/>
  <c r="E74" i="30"/>
  <c r="C74" i="30"/>
  <c r="E265" i="30"/>
  <c r="C265" i="30"/>
  <c r="E245" i="30"/>
  <c r="C245" i="30"/>
  <c r="E199" i="30"/>
  <c r="C199" i="30"/>
  <c r="E55" i="30"/>
  <c r="C55" i="30"/>
  <c r="C189" i="30"/>
  <c r="E189" i="30"/>
  <c r="C192" i="30"/>
  <c r="E192" i="30"/>
  <c r="E61" i="30"/>
  <c r="C61" i="30"/>
  <c r="G51" i="30"/>
  <c r="C141" i="30"/>
  <c r="E141" i="30"/>
  <c r="C252" i="30"/>
  <c r="E252" i="30"/>
  <c r="C108" i="30"/>
  <c r="E108" i="30"/>
  <c r="E232" i="30"/>
  <c r="C232" i="30"/>
  <c r="E88" i="30"/>
  <c r="C88" i="30"/>
  <c r="C186" i="30"/>
  <c r="E186" i="30"/>
  <c r="C42" i="30"/>
  <c r="E42" i="30"/>
  <c r="E179" i="30"/>
  <c r="C179" i="30"/>
  <c r="G179" i="30" s="1"/>
  <c r="E35" i="30"/>
  <c r="C35" i="30"/>
  <c r="C182" i="30"/>
  <c r="E182" i="30"/>
  <c r="C48" i="30"/>
  <c r="G48" i="30" s="1"/>
  <c r="E48" i="30"/>
  <c r="E242" i="30"/>
  <c r="C242" i="30"/>
  <c r="E32" i="30"/>
  <c r="C32" i="30"/>
  <c r="C262" i="30"/>
  <c r="E262" i="30"/>
  <c r="C153" i="30"/>
  <c r="E153" i="30"/>
  <c r="E25" i="30"/>
  <c r="C25" i="30"/>
  <c r="C23" i="30"/>
  <c r="E23" i="30"/>
  <c r="E98" i="30"/>
  <c r="C98" i="30"/>
  <c r="E166" i="30"/>
  <c r="C166" i="30"/>
  <c r="G166" i="30" s="1"/>
  <c r="E38" i="30"/>
  <c r="C38" i="30"/>
  <c r="E163" i="30"/>
  <c r="C163" i="30"/>
  <c r="C249" i="30"/>
  <c r="E249" i="30"/>
  <c r="C105" i="30"/>
  <c r="E105" i="30"/>
  <c r="C216" i="30"/>
  <c r="E216" i="30"/>
  <c r="C72" i="30"/>
  <c r="E72" i="30"/>
  <c r="E196" i="30"/>
  <c r="C196" i="30"/>
  <c r="E52" i="30"/>
  <c r="C52" i="30"/>
  <c r="C150" i="30"/>
  <c r="G150" i="30" s="1"/>
  <c r="E150" i="30"/>
  <c r="E19" i="30"/>
  <c r="C19" i="30"/>
  <c r="E143" i="30"/>
  <c r="C143" i="30"/>
  <c r="C264" i="30"/>
  <c r="E264" i="30"/>
  <c r="C156" i="30"/>
  <c r="E156" i="30"/>
  <c r="G198" i="30"/>
  <c r="G99" i="30"/>
  <c r="G261" i="30"/>
  <c r="C167" i="30"/>
  <c r="E167" i="30"/>
  <c r="C219" i="30"/>
  <c r="E219" i="30"/>
  <c r="E65" i="30"/>
  <c r="C65" i="30"/>
  <c r="C239" i="30"/>
  <c r="E239" i="30"/>
  <c r="C95" i="30"/>
  <c r="E95" i="30"/>
  <c r="E206" i="30"/>
  <c r="C206" i="30"/>
  <c r="E62" i="30"/>
  <c r="C62" i="30"/>
  <c r="C183" i="30"/>
  <c r="E183" i="30"/>
  <c r="E140" i="30"/>
  <c r="C140" i="30"/>
  <c r="E130" i="30"/>
  <c r="C130" i="30"/>
  <c r="C254" i="30"/>
  <c r="E254" i="30"/>
  <c r="E146" i="30"/>
  <c r="C146" i="30"/>
  <c r="C131" i="30"/>
  <c r="E131" i="30"/>
  <c r="E22" i="30"/>
  <c r="C22" i="30"/>
  <c r="G22" i="30" s="1"/>
  <c r="E209" i="30"/>
  <c r="C209" i="30"/>
  <c r="C226" i="30"/>
  <c r="E226" i="30"/>
  <c r="C82" i="30"/>
  <c r="E82" i="30"/>
  <c r="E193" i="30"/>
  <c r="C193" i="30"/>
  <c r="E49" i="30"/>
  <c r="C49" i="30"/>
  <c r="E173" i="30"/>
  <c r="C173" i="30"/>
  <c r="G173" i="30" s="1"/>
  <c r="H271" i="30"/>
  <c r="E271" i="30"/>
  <c r="C271" i="30"/>
  <c r="G271" i="30" s="1"/>
  <c r="E127" i="30"/>
  <c r="C127" i="30"/>
  <c r="C117" i="30"/>
  <c r="E117" i="30"/>
  <c r="C241" i="30"/>
  <c r="E241" i="30"/>
  <c r="E133" i="30"/>
  <c r="C133" i="30"/>
  <c r="G243" i="30"/>
  <c r="E229" i="30"/>
  <c r="C229" i="30"/>
  <c r="C213" i="30"/>
  <c r="E213" i="30"/>
  <c r="C69" i="30"/>
  <c r="E69" i="30"/>
  <c r="C180" i="30"/>
  <c r="E180" i="30"/>
  <c r="E160" i="30"/>
  <c r="C160" i="30"/>
  <c r="C258" i="30"/>
  <c r="E258" i="30"/>
  <c r="C114" i="30"/>
  <c r="G114" i="30" s="1"/>
  <c r="E114" i="30"/>
  <c r="E251" i="30"/>
  <c r="C251" i="30"/>
  <c r="E107" i="30"/>
  <c r="C107" i="30"/>
  <c r="C120" i="30"/>
  <c r="E120" i="30"/>
  <c r="E176" i="30"/>
  <c r="C176" i="30"/>
  <c r="E85" i="30"/>
  <c r="C85" i="30"/>
  <c r="G85" i="30" s="1"/>
  <c r="C203" i="30"/>
  <c r="E203" i="30"/>
  <c r="C59" i="30"/>
  <c r="E59" i="30"/>
  <c r="E170" i="30"/>
  <c r="C170" i="30"/>
  <c r="C36" i="30"/>
  <c r="E36" i="30"/>
  <c r="C147" i="30"/>
  <c r="E147" i="30"/>
  <c r="E248" i="30"/>
  <c r="C248" i="30"/>
  <c r="G248" i="30" s="1"/>
  <c r="E104" i="30"/>
  <c r="C104" i="30"/>
  <c r="E238" i="30"/>
  <c r="C238" i="30"/>
  <c r="E94" i="30"/>
  <c r="C94" i="30"/>
  <c r="C228" i="30"/>
  <c r="E228" i="30"/>
  <c r="E110" i="30"/>
  <c r="C110" i="30"/>
  <c r="C75" i="30"/>
  <c r="E75" i="30"/>
  <c r="C169" i="30"/>
  <c r="E169" i="30"/>
  <c r="C118" i="30"/>
  <c r="E118" i="30"/>
  <c r="C190" i="30"/>
  <c r="E190" i="30"/>
  <c r="C46" i="30"/>
  <c r="G46" i="30" s="1"/>
  <c r="E46" i="30"/>
  <c r="E157" i="30"/>
  <c r="C157" i="30"/>
  <c r="E26" i="30"/>
  <c r="C26" i="30"/>
  <c r="E137" i="30"/>
  <c r="C137" i="30"/>
  <c r="G137" i="30" s="1"/>
  <c r="E235" i="30"/>
  <c r="C235" i="30"/>
  <c r="E91" i="30"/>
  <c r="C91" i="30"/>
  <c r="C225" i="30"/>
  <c r="E225" i="30"/>
  <c r="C81" i="30"/>
  <c r="E81" i="30"/>
  <c r="C218" i="30"/>
  <c r="E218" i="30"/>
  <c r="E97" i="30"/>
  <c r="C97" i="30"/>
  <c r="G97" i="30" s="1"/>
  <c r="G207" i="30"/>
  <c r="C177" i="30"/>
  <c r="E177" i="30"/>
  <c r="C33" i="30"/>
  <c r="E33" i="30"/>
  <c r="C144" i="30"/>
  <c r="E144" i="30"/>
  <c r="E268" i="30"/>
  <c r="C268" i="30"/>
  <c r="G268" i="30" s="1"/>
  <c r="E124" i="30"/>
  <c r="C124" i="30"/>
  <c r="C222" i="30"/>
  <c r="E222" i="30"/>
  <c r="C78" i="30"/>
  <c r="E78" i="30"/>
  <c r="E215" i="30"/>
  <c r="C215" i="30"/>
  <c r="E71" i="30"/>
  <c r="C71" i="30"/>
  <c r="C205" i="30"/>
  <c r="E205" i="30"/>
  <c r="C84" i="30"/>
  <c r="G84" i="30" s="1"/>
  <c r="E84" i="30"/>
  <c r="C113" i="28"/>
  <c r="G113" i="28" s="1"/>
  <c r="E52" i="28"/>
  <c r="G52" i="28" s="1"/>
  <c r="C158" i="28"/>
  <c r="E158" i="28"/>
  <c r="C143" i="28"/>
  <c r="G143" i="28" s="1"/>
  <c r="E269" i="28"/>
  <c r="C269" i="28"/>
  <c r="G269" i="28" s="1"/>
  <c r="C86" i="28"/>
  <c r="G86" i="28" s="1"/>
  <c r="E86" i="28"/>
  <c r="C142" i="28"/>
  <c r="E142" i="28"/>
  <c r="G142" i="28" s="1"/>
  <c r="C115" i="28"/>
  <c r="E115" i="28"/>
  <c r="E70" i="28"/>
  <c r="C70" i="28"/>
  <c r="E26" i="28"/>
  <c r="C26" i="28"/>
  <c r="E128" i="28"/>
  <c r="C128" i="28"/>
  <c r="G128" i="28" s="1"/>
  <c r="E229" i="28"/>
  <c r="C229" i="28"/>
  <c r="E257" i="28"/>
  <c r="C257" i="28"/>
  <c r="G257" i="28" s="1"/>
  <c r="E103" i="28"/>
  <c r="C103" i="28"/>
  <c r="E40" i="28"/>
  <c r="C40" i="28"/>
  <c r="C230" i="28"/>
  <c r="E230" i="28"/>
  <c r="E85" i="28"/>
  <c r="C85" i="28"/>
  <c r="C100" i="28"/>
  <c r="G100" i="28" s="1"/>
  <c r="E254" i="28"/>
  <c r="C254" i="28"/>
  <c r="C182" i="28"/>
  <c r="G182" i="28" s="1"/>
  <c r="E197" i="28"/>
  <c r="C197" i="28"/>
  <c r="C241" i="28"/>
  <c r="E241" i="28"/>
  <c r="E49" i="28"/>
  <c r="C49" i="28"/>
  <c r="C169" i="28"/>
  <c r="E169" i="28"/>
  <c r="C157" i="28"/>
  <c r="G157" i="28" s="1"/>
  <c r="E185" i="28"/>
  <c r="C185" i="28"/>
  <c r="C212" i="28"/>
  <c r="E212" i="28"/>
  <c r="E37" i="28"/>
  <c r="C37" i="28"/>
  <c r="G37" i="28" s="1"/>
  <c r="E129" i="27"/>
  <c r="C129" i="27"/>
  <c r="E115" i="27"/>
  <c r="G115" i="27" s="1"/>
  <c r="E31" i="27"/>
  <c r="G31" i="27" s="1"/>
  <c r="E151" i="27"/>
  <c r="G151" i="27" s="1"/>
  <c r="C17" i="27"/>
  <c r="G17" i="27" s="1"/>
  <c r="E228" i="27"/>
  <c r="C228" i="27"/>
  <c r="E39" i="27"/>
  <c r="C39" i="27"/>
  <c r="E150" i="27"/>
  <c r="C150" i="27"/>
  <c r="E120" i="27"/>
  <c r="C120" i="27"/>
  <c r="E199" i="27"/>
  <c r="G199" i="27" s="1"/>
  <c r="E100" i="27"/>
  <c r="G100" i="27" s="1"/>
  <c r="C191" i="27"/>
  <c r="G191" i="27" s="1"/>
  <c r="C240" i="27"/>
  <c r="G240" i="27" s="1"/>
  <c r="C186" i="27"/>
  <c r="G186" i="27" s="1"/>
  <c r="C132" i="27"/>
  <c r="G132" i="27" s="1"/>
  <c r="C60" i="27"/>
  <c r="G60" i="27" s="1"/>
  <c r="C161" i="27"/>
  <c r="G161" i="27" s="1"/>
  <c r="E29" i="27"/>
  <c r="C29" i="27"/>
  <c r="E28" i="27"/>
  <c r="G28" i="27" s="1"/>
  <c r="E37" i="27"/>
  <c r="G37" i="27" s="1"/>
  <c r="E106" i="27"/>
  <c r="G106" i="27" s="1"/>
  <c r="E43" i="27"/>
  <c r="G43" i="27" s="1"/>
  <c r="E214" i="27"/>
  <c r="G214" i="27" s="1"/>
  <c r="E223" i="27"/>
  <c r="G223" i="27" s="1"/>
  <c r="C114" i="27"/>
  <c r="G114" i="27" s="1"/>
  <c r="E97" i="27"/>
  <c r="G97" i="27" s="1"/>
  <c r="E259" i="27"/>
  <c r="G259" i="27" s="1"/>
  <c r="E156" i="27"/>
  <c r="C156" i="27"/>
  <c r="C262" i="27"/>
  <c r="E262" i="27"/>
  <c r="C127" i="27"/>
  <c r="E127" i="27"/>
  <c r="E74" i="27"/>
  <c r="C74" i="27"/>
  <c r="C244" i="27"/>
  <c r="E244" i="27"/>
  <c r="E78" i="27"/>
  <c r="C78" i="27"/>
  <c r="E137" i="27"/>
  <c r="C137" i="27"/>
  <c r="E116" i="27"/>
  <c r="C116" i="27"/>
  <c r="E53" i="27"/>
  <c r="C53" i="27"/>
  <c r="E143" i="27"/>
  <c r="C143" i="27"/>
  <c r="E254" i="27"/>
  <c r="C254" i="27"/>
  <c r="E42" i="27"/>
  <c r="C42" i="27"/>
  <c r="G42" i="27" s="1"/>
  <c r="E187" i="27"/>
  <c r="G187" i="27" s="1"/>
  <c r="E178" i="27"/>
  <c r="G178" i="27" s="1"/>
  <c r="G265" i="27"/>
  <c r="E168" i="27"/>
  <c r="C168" i="27"/>
  <c r="E236" i="27"/>
  <c r="C236" i="27"/>
  <c r="E246" i="27"/>
  <c r="C246" i="27"/>
  <c r="E33" i="27"/>
  <c r="C33" i="27"/>
  <c r="E218" i="27"/>
  <c r="C218" i="27"/>
  <c r="E155" i="27"/>
  <c r="C155" i="27"/>
  <c r="E83" i="27"/>
  <c r="C83" i="27"/>
  <c r="E92" i="27"/>
  <c r="C92" i="27"/>
  <c r="G92" i="27" s="1"/>
  <c r="E124" i="27"/>
  <c r="G124" i="27" s="1"/>
  <c r="E107" i="27"/>
  <c r="C107" i="27"/>
  <c r="C226" i="27"/>
  <c r="E226" i="27"/>
  <c r="E24" i="27"/>
  <c r="C24" i="27"/>
  <c r="E245" i="27"/>
  <c r="C245" i="27"/>
  <c r="E62" i="27"/>
  <c r="C62" i="27"/>
  <c r="E177" i="27"/>
  <c r="C177" i="27"/>
  <c r="E102" i="27"/>
  <c r="C102" i="27"/>
  <c r="E25" i="27"/>
  <c r="G25" i="27" s="1"/>
  <c r="E147" i="27"/>
  <c r="C147" i="27"/>
  <c r="E88" i="27"/>
  <c r="G88" i="27" s="1"/>
  <c r="E263" i="27"/>
  <c r="C263" i="27"/>
  <c r="E18" i="27"/>
  <c r="C18" i="27"/>
  <c r="E87" i="27"/>
  <c r="C87" i="27"/>
  <c r="C205" i="27"/>
  <c r="E205" i="27"/>
  <c r="E204" i="27"/>
  <c r="C204" i="27"/>
  <c r="G204" i="27" s="1"/>
  <c r="E192" i="27"/>
  <c r="C192" i="27"/>
  <c r="E210" i="27"/>
  <c r="C210" i="27"/>
  <c r="E206" i="27"/>
  <c r="C206" i="27"/>
  <c r="E197" i="27"/>
  <c r="C197" i="27"/>
  <c r="E258" i="27"/>
  <c r="C258" i="27"/>
  <c r="C105" i="27"/>
  <c r="G105" i="27" s="1"/>
  <c r="E64" i="27"/>
  <c r="G64" i="27" s="1"/>
  <c r="C253" i="27"/>
  <c r="E253" i="27"/>
  <c r="E128" i="27"/>
  <c r="C128" i="27"/>
  <c r="E66" i="27"/>
  <c r="C66" i="27"/>
  <c r="E195" i="27"/>
  <c r="C195" i="27"/>
  <c r="E65" i="27"/>
  <c r="C65" i="27"/>
  <c r="E183" i="27"/>
  <c r="C183" i="27"/>
  <c r="G183" i="27" s="1"/>
  <c r="E173" i="27"/>
  <c r="C173" i="27"/>
  <c r="E201" i="27"/>
  <c r="C201" i="27"/>
  <c r="C181" i="27"/>
  <c r="E181" i="27"/>
  <c r="E52" i="27"/>
  <c r="G52" i="27" s="1"/>
  <c r="E56" i="27"/>
  <c r="C56" i="27"/>
  <c r="E164" i="27"/>
  <c r="C164" i="27"/>
  <c r="C145" i="27"/>
  <c r="E145" i="27"/>
  <c r="E182" i="27"/>
  <c r="C182" i="27"/>
  <c r="E222" i="27"/>
  <c r="C222" i="27"/>
  <c r="E170" i="27"/>
  <c r="C170" i="27"/>
  <c r="G170" i="27" s="1"/>
  <c r="E93" i="27"/>
  <c r="C93" i="27"/>
  <c r="E84" i="27"/>
  <c r="C84" i="27"/>
  <c r="C235" i="27"/>
  <c r="E235" i="27"/>
  <c r="E227" i="27"/>
  <c r="C227" i="27"/>
  <c r="C109" i="27"/>
  <c r="E109" i="27"/>
  <c r="E237" i="27"/>
  <c r="C237" i="27"/>
  <c r="G237" i="27" s="1"/>
  <c r="E174" i="27"/>
  <c r="C174" i="27"/>
  <c r="C136" i="27"/>
  <c r="E136" i="27"/>
  <c r="E134" i="27"/>
  <c r="C134" i="27"/>
  <c r="E27" i="27"/>
  <c r="G27" i="27" s="1"/>
  <c r="E213" i="27"/>
  <c r="C213" i="27"/>
  <c r="C217" i="27"/>
  <c r="E217" i="27"/>
  <c r="E215" i="27"/>
  <c r="C215" i="27"/>
  <c r="E36" i="27"/>
  <c r="C36" i="27"/>
  <c r="E35" i="27"/>
  <c r="C35" i="27"/>
  <c r="G35" i="27" s="1"/>
  <c r="E125" i="27"/>
  <c r="C125" i="27"/>
  <c r="C154" i="27"/>
  <c r="E154" i="27"/>
  <c r="E22" i="29"/>
  <c r="C22" i="29"/>
  <c r="C261" i="29"/>
  <c r="E261" i="29"/>
  <c r="C58" i="29"/>
  <c r="E58" i="29"/>
  <c r="E256" i="29"/>
  <c r="C256" i="29"/>
  <c r="E250" i="29"/>
  <c r="C250" i="29"/>
  <c r="E164" i="29"/>
  <c r="C164" i="29"/>
  <c r="G164" i="29" s="1"/>
  <c r="E161" i="29"/>
  <c r="C161" i="29"/>
  <c r="E109" i="29"/>
  <c r="C109" i="29"/>
  <c r="C83" i="29"/>
  <c r="E83" i="29"/>
  <c r="C269" i="29"/>
  <c r="E269" i="29"/>
  <c r="C51" i="29"/>
  <c r="E51" i="29"/>
  <c r="E87" i="29"/>
  <c r="C87" i="29"/>
  <c r="G87" i="29" s="1"/>
  <c r="E123" i="29"/>
  <c r="C123" i="29"/>
  <c r="E159" i="29"/>
  <c r="C159" i="29"/>
  <c r="E195" i="29"/>
  <c r="C195" i="29"/>
  <c r="E231" i="29"/>
  <c r="C231" i="29"/>
  <c r="C267" i="29"/>
  <c r="E267" i="29"/>
  <c r="E100" i="29"/>
  <c r="C100" i="29"/>
  <c r="G100" i="29" s="1"/>
  <c r="G95" i="29"/>
  <c r="E208" i="29"/>
  <c r="C208" i="29"/>
  <c r="C264" i="29"/>
  <c r="E264" i="29"/>
  <c r="E226" i="29"/>
  <c r="C226" i="29"/>
  <c r="C251" i="29"/>
  <c r="E251" i="29"/>
  <c r="C81" i="29"/>
  <c r="E81" i="29"/>
  <c r="E225" i="29"/>
  <c r="C225" i="29"/>
  <c r="E151" i="29"/>
  <c r="C151" i="29"/>
  <c r="E48" i="29"/>
  <c r="C48" i="29"/>
  <c r="G48" i="29" s="1"/>
  <c r="E156" i="29"/>
  <c r="C156" i="29"/>
  <c r="E263" i="29"/>
  <c r="C263" i="29"/>
  <c r="C106" i="29"/>
  <c r="E106" i="29"/>
  <c r="E162" i="29"/>
  <c r="C162" i="29"/>
  <c r="E268" i="29"/>
  <c r="C268" i="29"/>
  <c r="G268" i="29" s="1"/>
  <c r="E197" i="29"/>
  <c r="C197" i="29"/>
  <c r="G197" i="29" s="1"/>
  <c r="C57" i="29"/>
  <c r="E57" i="29"/>
  <c r="C129" i="29"/>
  <c r="G129" i="29" s="1"/>
  <c r="E129" i="29"/>
  <c r="C201" i="29"/>
  <c r="E201" i="29"/>
  <c r="C44" i="29"/>
  <c r="E44" i="29"/>
  <c r="C241" i="29"/>
  <c r="E241" i="29"/>
  <c r="E107" i="29"/>
  <c r="C107" i="29"/>
  <c r="G107" i="29" s="1"/>
  <c r="C176" i="29"/>
  <c r="E176" i="29"/>
  <c r="E17" i="29"/>
  <c r="C17" i="29"/>
  <c r="E223" i="29"/>
  <c r="C223" i="29"/>
  <c r="G223" i="29" s="1"/>
  <c r="E220" i="29"/>
  <c r="C220" i="29"/>
  <c r="E158" i="29"/>
  <c r="C158" i="29"/>
  <c r="G158" i="29" s="1"/>
  <c r="C142" i="29"/>
  <c r="E142" i="29"/>
  <c r="E24" i="29"/>
  <c r="C24" i="29"/>
  <c r="E60" i="29"/>
  <c r="C60" i="29"/>
  <c r="E96" i="29"/>
  <c r="C96" i="29"/>
  <c r="G96" i="29" s="1"/>
  <c r="E132" i="29"/>
  <c r="C132" i="29"/>
  <c r="E168" i="29"/>
  <c r="C168" i="29"/>
  <c r="G168" i="29" s="1"/>
  <c r="E204" i="29"/>
  <c r="C204" i="29"/>
  <c r="G204" i="29" s="1"/>
  <c r="C240" i="29"/>
  <c r="E240" i="29"/>
  <c r="G232" i="29"/>
  <c r="C209" i="29"/>
  <c r="E209" i="29"/>
  <c r="E130" i="29"/>
  <c r="C130" i="29"/>
  <c r="G130" i="29" s="1"/>
  <c r="C199" i="29"/>
  <c r="E199" i="29"/>
  <c r="E20" i="29"/>
  <c r="C20" i="29"/>
  <c r="E236" i="29"/>
  <c r="C236" i="29"/>
  <c r="E233" i="29"/>
  <c r="C233" i="29"/>
  <c r="E181" i="29"/>
  <c r="C181" i="29"/>
  <c r="G181" i="29" s="1"/>
  <c r="C155" i="29"/>
  <c r="E155" i="29"/>
  <c r="E27" i="29"/>
  <c r="C27" i="29"/>
  <c r="E63" i="29"/>
  <c r="C63" i="29"/>
  <c r="E99" i="29"/>
  <c r="C99" i="29"/>
  <c r="E135" i="29"/>
  <c r="C135" i="29"/>
  <c r="G135" i="29" s="1"/>
  <c r="E171" i="29"/>
  <c r="C171" i="29"/>
  <c r="G171" i="29" s="1"/>
  <c r="E207" i="29"/>
  <c r="C207" i="29"/>
  <c r="C243" i="29"/>
  <c r="E243" i="29"/>
  <c r="G190" i="29"/>
  <c r="E238" i="29"/>
  <c r="C238" i="29"/>
  <c r="G238" i="29" s="1"/>
  <c r="E73" i="29"/>
  <c r="C73" i="29"/>
  <c r="C117" i="29"/>
  <c r="G117" i="29" s="1"/>
  <c r="E117" i="29"/>
  <c r="E245" i="29"/>
  <c r="C245" i="29"/>
  <c r="G245" i="29" s="1"/>
  <c r="C70" i="29"/>
  <c r="E70" i="29"/>
  <c r="E257" i="29"/>
  <c r="C257" i="29"/>
  <c r="G257" i="29" s="1"/>
  <c r="E122" i="29"/>
  <c r="C122" i="29"/>
  <c r="G122" i="29" s="1"/>
  <c r="C90" i="29"/>
  <c r="E90" i="29"/>
  <c r="C270" i="29"/>
  <c r="E270" i="29"/>
  <c r="E200" i="29"/>
  <c r="C200" i="29"/>
  <c r="G200" i="29" s="1"/>
  <c r="E145" i="29"/>
  <c r="C145" i="29"/>
  <c r="C93" i="29"/>
  <c r="E93" i="29"/>
  <c r="C165" i="29"/>
  <c r="E165" i="29"/>
  <c r="C237" i="29"/>
  <c r="E237" i="29"/>
  <c r="C212" i="29"/>
  <c r="G212" i="29" s="1"/>
  <c r="E212" i="29"/>
  <c r="E194" i="29"/>
  <c r="C194" i="29"/>
  <c r="G194" i="29" s="1"/>
  <c r="E30" i="29"/>
  <c r="C30" i="29"/>
  <c r="E174" i="29"/>
  <c r="C174" i="29"/>
  <c r="G174" i="29" s="1"/>
  <c r="C246" i="29"/>
  <c r="E246" i="29"/>
  <c r="E134" i="29"/>
  <c r="C134" i="29"/>
  <c r="E166" i="29"/>
  <c r="C166" i="29"/>
  <c r="C235" i="29"/>
  <c r="E235" i="29"/>
  <c r="E56" i="29"/>
  <c r="C56" i="29"/>
  <c r="E53" i="29"/>
  <c r="C53" i="29"/>
  <c r="G53" i="29" s="1"/>
  <c r="E254" i="29"/>
  <c r="C254" i="29"/>
  <c r="G254" i="29" s="1"/>
  <c r="E217" i="29"/>
  <c r="C217" i="29"/>
  <c r="C191" i="29"/>
  <c r="G191" i="29" s="1"/>
  <c r="E191" i="29"/>
  <c r="E33" i="29"/>
  <c r="C33" i="29"/>
  <c r="G33" i="29" s="1"/>
  <c r="E69" i="29"/>
  <c r="C69" i="29"/>
  <c r="E105" i="29"/>
  <c r="C105" i="29"/>
  <c r="G105" i="29" s="1"/>
  <c r="E141" i="29"/>
  <c r="C141" i="29"/>
  <c r="G141" i="29" s="1"/>
  <c r="E177" i="29"/>
  <c r="C177" i="29"/>
  <c r="E213" i="29"/>
  <c r="C213" i="29"/>
  <c r="C249" i="29"/>
  <c r="E249" i="29"/>
  <c r="E193" i="29"/>
  <c r="C193" i="29"/>
  <c r="G196" i="29"/>
  <c r="E125" i="29"/>
  <c r="C125" i="29"/>
  <c r="C45" i="29"/>
  <c r="E45" i="29"/>
  <c r="E189" i="29"/>
  <c r="C189" i="29"/>
  <c r="G189" i="29" s="1"/>
  <c r="C224" i="29"/>
  <c r="E224" i="29"/>
  <c r="C140" i="29"/>
  <c r="E140" i="29"/>
  <c r="E43" i="29"/>
  <c r="C43" i="29"/>
  <c r="E102" i="29"/>
  <c r="C102" i="29"/>
  <c r="C28" i="29"/>
  <c r="E28" i="29"/>
  <c r="E179" i="29"/>
  <c r="C179" i="29"/>
  <c r="G179" i="29" s="1"/>
  <c r="E154" i="29"/>
  <c r="C154" i="29"/>
  <c r="G154" i="29" s="1"/>
  <c r="E79" i="29"/>
  <c r="C79" i="29"/>
  <c r="E76" i="29"/>
  <c r="C76" i="29"/>
  <c r="E265" i="29"/>
  <c r="C265" i="29"/>
  <c r="E230" i="29"/>
  <c r="C230" i="29"/>
  <c r="C214" i="29"/>
  <c r="E214" i="29"/>
  <c r="E36" i="29"/>
  <c r="C36" i="29"/>
  <c r="G36" i="29" s="1"/>
  <c r="E72" i="29"/>
  <c r="C72" i="29"/>
  <c r="C108" i="29"/>
  <c r="E108" i="29"/>
  <c r="E144" i="29"/>
  <c r="C144" i="29"/>
  <c r="E180" i="29"/>
  <c r="C180" i="29"/>
  <c r="E216" i="29"/>
  <c r="C216" i="29"/>
  <c r="C252" i="29"/>
  <c r="E252" i="29"/>
  <c r="E172" i="29"/>
  <c r="C172" i="29"/>
  <c r="E128" i="29"/>
  <c r="C128" i="29"/>
  <c r="E153" i="29"/>
  <c r="C153" i="29"/>
  <c r="E239" i="29"/>
  <c r="C239" i="29"/>
  <c r="E86" i="29"/>
  <c r="C86" i="29"/>
  <c r="G86" i="29" s="1"/>
  <c r="E84" i="29"/>
  <c r="C84" i="29"/>
  <c r="G84" i="29" s="1"/>
  <c r="E192" i="29"/>
  <c r="C192" i="29"/>
  <c r="E187" i="29"/>
  <c r="C187" i="29"/>
  <c r="E54" i="29"/>
  <c r="C54" i="29"/>
  <c r="E198" i="29"/>
  <c r="C198" i="29"/>
  <c r="E94" i="29"/>
  <c r="C94" i="29"/>
  <c r="G94" i="29" s="1"/>
  <c r="C21" i="29"/>
  <c r="E21" i="29"/>
  <c r="E143" i="29"/>
  <c r="C143" i="29"/>
  <c r="G143" i="29" s="1"/>
  <c r="E247" i="29"/>
  <c r="C247" i="29"/>
  <c r="E66" i="29"/>
  <c r="C66" i="29"/>
  <c r="C49" i="29"/>
  <c r="E49" i="29"/>
  <c r="E202" i="29"/>
  <c r="C202" i="29"/>
  <c r="G202" i="29" s="1"/>
  <c r="E167" i="29"/>
  <c r="C167" i="29"/>
  <c r="G167" i="29" s="1"/>
  <c r="E92" i="29"/>
  <c r="C92" i="29"/>
  <c r="G92" i="29" s="1"/>
  <c r="E89" i="29"/>
  <c r="C89" i="29"/>
  <c r="E37" i="29"/>
  <c r="C37" i="29"/>
  <c r="G272" i="29"/>
  <c r="C227" i="29"/>
  <c r="E227" i="29"/>
  <c r="C39" i="29"/>
  <c r="G39" i="29" s="1"/>
  <c r="E39" i="29"/>
  <c r="C75" i="29"/>
  <c r="E75" i="29"/>
  <c r="E111" i="29"/>
  <c r="C111" i="29"/>
  <c r="E147" i="29"/>
  <c r="C147" i="29"/>
  <c r="G147" i="29" s="1"/>
  <c r="C183" i="29"/>
  <c r="E183" i="29"/>
  <c r="C219" i="29"/>
  <c r="E219" i="29"/>
  <c r="C255" i="29"/>
  <c r="E255" i="29"/>
  <c r="C67" i="29"/>
  <c r="E67" i="29"/>
  <c r="H271" i="29"/>
  <c r="C271" i="29"/>
  <c r="E271" i="29"/>
  <c r="G152" i="29"/>
  <c r="C47" i="29"/>
  <c r="E47" i="29"/>
  <c r="E35" i="29"/>
  <c r="C35" i="29"/>
  <c r="E148" i="29"/>
  <c r="C148" i="29"/>
  <c r="C262" i="29"/>
  <c r="E262" i="29"/>
  <c r="E120" i="29"/>
  <c r="C120" i="29"/>
  <c r="E228" i="29"/>
  <c r="C228" i="29"/>
  <c r="G228" i="29" s="1"/>
  <c r="E71" i="29"/>
  <c r="C71" i="29"/>
  <c r="G71" i="29" s="1"/>
  <c r="E184" i="29"/>
  <c r="C184" i="29"/>
  <c r="C126" i="29"/>
  <c r="G126" i="29" s="1"/>
  <c r="E126" i="29"/>
  <c r="E234" i="29"/>
  <c r="C234" i="29"/>
  <c r="G234" i="29" s="1"/>
  <c r="C55" i="29"/>
  <c r="E55" i="29"/>
  <c r="C163" i="29"/>
  <c r="E163" i="29"/>
  <c r="C119" i="29"/>
  <c r="E119" i="29"/>
  <c r="C149" i="29"/>
  <c r="E149" i="29"/>
  <c r="E40" i="29"/>
  <c r="C40" i="29"/>
  <c r="C178" i="29"/>
  <c r="E178" i="29"/>
  <c r="E138" i="29"/>
  <c r="C138" i="29"/>
  <c r="E210" i="29"/>
  <c r="C210" i="29"/>
  <c r="G210" i="29" s="1"/>
  <c r="E38" i="29"/>
  <c r="C38" i="29"/>
  <c r="G38" i="29" s="1"/>
  <c r="E215" i="29"/>
  <c r="C215" i="29"/>
  <c r="E203" i="29"/>
  <c r="C203" i="29"/>
  <c r="E115" i="29"/>
  <c r="C115" i="29"/>
  <c r="G115" i="29" s="1"/>
  <c r="E112" i="29"/>
  <c r="C112" i="29"/>
  <c r="E50" i="29"/>
  <c r="C50" i="29"/>
  <c r="G50" i="29" s="1"/>
  <c r="C34" i="29"/>
  <c r="E34" i="29"/>
  <c r="C244" i="29"/>
  <c r="E244" i="29"/>
  <c r="E42" i="29"/>
  <c r="C42" i="29"/>
  <c r="E78" i="29"/>
  <c r="C78" i="29"/>
  <c r="G78" i="29" s="1"/>
  <c r="E114" i="29"/>
  <c r="C114" i="29"/>
  <c r="C150" i="29"/>
  <c r="E150" i="29"/>
  <c r="C186" i="29"/>
  <c r="E186" i="29"/>
  <c r="C222" i="29"/>
  <c r="E222" i="29"/>
  <c r="C258" i="29"/>
  <c r="E258" i="29"/>
  <c r="E61" i="29"/>
  <c r="C61" i="29"/>
  <c r="G61" i="29" s="1"/>
  <c r="C260" i="29"/>
  <c r="E260" i="29"/>
  <c r="C116" i="28"/>
  <c r="E116" i="28"/>
  <c r="E24" i="28"/>
  <c r="C24" i="28"/>
  <c r="C60" i="28"/>
  <c r="E60" i="28"/>
  <c r="C96" i="28"/>
  <c r="E96" i="28"/>
  <c r="C132" i="28"/>
  <c r="E132" i="28"/>
  <c r="C168" i="28"/>
  <c r="E168" i="28"/>
  <c r="C204" i="28"/>
  <c r="E204" i="28"/>
  <c r="C240" i="28"/>
  <c r="E240" i="28"/>
  <c r="C256" i="28"/>
  <c r="E256" i="28"/>
  <c r="E148" i="28"/>
  <c r="C148" i="28"/>
  <c r="C217" i="28"/>
  <c r="E217" i="28"/>
  <c r="C109" i="28"/>
  <c r="E109" i="28"/>
  <c r="E27" i="28"/>
  <c r="C27" i="28"/>
  <c r="C63" i="28"/>
  <c r="E63" i="28"/>
  <c r="C99" i="28"/>
  <c r="E99" i="28"/>
  <c r="C135" i="28"/>
  <c r="E135" i="28"/>
  <c r="C171" i="28"/>
  <c r="E171" i="28"/>
  <c r="C207" i="28"/>
  <c r="E207" i="28"/>
  <c r="C243" i="28"/>
  <c r="G243" i="28" s="1"/>
  <c r="E243" i="28"/>
  <c r="C245" i="28"/>
  <c r="E245" i="28"/>
  <c r="C137" i="28"/>
  <c r="E137" i="28"/>
  <c r="E25" i="28"/>
  <c r="C25" i="28"/>
  <c r="C162" i="28"/>
  <c r="E162" i="28"/>
  <c r="C242" i="28"/>
  <c r="E242" i="28"/>
  <c r="C198" i="28"/>
  <c r="G198" i="28" s="1"/>
  <c r="E198" i="28"/>
  <c r="C270" i="28"/>
  <c r="E270" i="28"/>
  <c r="C235" i="28"/>
  <c r="E235" i="28"/>
  <c r="C21" i="28"/>
  <c r="E21" i="28"/>
  <c r="C57" i="28"/>
  <c r="E57" i="28"/>
  <c r="C129" i="28"/>
  <c r="E129" i="28"/>
  <c r="C201" i="28"/>
  <c r="G201" i="28" s="1"/>
  <c r="E201" i="28"/>
  <c r="C268" i="28"/>
  <c r="E268" i="28"/>
  <c r="C155" i="28"/>
  <c r="E155" i="28"/>
  <c r="C224" i="28"/>
  <c r="E224" i="28"/>
  <c r="C206" i="28"/>
  <c r="E206" i="28"/>
  <c r="C98" i="28"/>
  <c r="E98" i="28"/>
  <c r="C30" i="28"/>
  <c r="G30" i="28" s="1"/>
  <c r="E30" i="28"/>
  <c r="C66" i="28"/>
  <c r="E66" i="28"/>
  <c r="C138" i="28"/>
  <c r="E138" i="28"/>
  <c r="C174" i="28"/>
  <c r="E174" i="28"/>
  <c r="C210" i="28"/>
  <c r="E210" i="28"/>
  <c r="C246" i="28"/>
  <c r="E246" i="28"/>
  <c r="E238" i="28"/>
  <c r="C238" i="28"/>
  <c r="E130" i="28"/>
  <c r="C130" i="28"/>
  <c r="C199" i="28"/>
  <c r="E199" i="28"/>
  <c r="C91" i="28"/>
  <c r="E91" i="28"/>
  <c r="C33" i="28"/>
  <c r="E33" i="28"/>
  <c r="C69" i="28"/>
  <c r="E69" i="28"/>
  <c r="C105" i="28"/>
  <c r="G105" i="28" s="1"/>
  <c r="E105" i="28"/>
  <c r="C141" i="28"/>
  <c r="E141" i="28"/>
  <c r="C177" i="28"/>
  <c r="E177" i="28"/>
  <c r="C213" i="28"/>
  <c r="E213" i="28"/>
  <c r="C249" i="28"/>
  <c r="E249" i="28"/>
  <c r="C227" i="28"/>
  <c r="E227" i="28"/>
  <c r="C119" i="28"/>
  <c r="G119" i="28" s="1"/>
  <c r="E119" i="28"/>
  <c r="H271" i="28"/>
  <c r="E271" i="28"/>
  <c r="C271" i="28"/>
  <c r="C80" i="28"/>
  <c r="E80" i="28"/>
  <c r="E36" i="28"/>
  <c r="C36" i="28"/>
  <c r="C72" i="28"/>
  <c r="E72" i="28"/>
  <c r="C108" i="28"/>
  <c r="G108" i="28" s="1"/>
  <c r="E108" i="28"/>
  <c r="C144" i="28"/>
  <c r="E144" i="28"/>
  <c r="C180" i="28"/>
  <c r="E180" i="28"/>
  <c r="C216" i="28"/>
  <c r="E216" i="28"/>
  <c r="C252" i="28"/>
  <c r="E252" i="28"/>
  <c r="E220" i="28"/>
  <c r="C220" i="28"/>
  <c r="E112" i="28"/>
  <c r="C112" i="28"/>
  <c r="E259" i="28"/>
  <c r="C259" i="28"/>
  <c r="G259" i="28" s="1"/>
  <c r="C90" i="28"/>
  <c r="E90" i="28"/>
  <c r="C234" i="28"/>
  <c r="E234" i="28"/>
  <c r="C127" i="28"/>
  <c r="E127" i="28"/>
  <c r="C93" i="28"/>
  <c r="E93" i="28"/>
  <c r="C165" i="28"/>
  <c r="G165" i="28" s="1"/>
  <c r="E165" i="28"/>
  <c r="C237" i="28"/>
  <c r="E237" i="28"/>
  <c r="E38" i="28"/>
  <c r="C38" i="28"/>
  <c r="C102" i="28"/>
  <c r="E102" i="28"/>
  <c r="C188" i="28"/>
  <c r="E188" i="28"/>
  <c r="C181" i="28"/>
  <c r="E181" i="28"/>
  <c r="C73" i="28"/>
  <c r="G73" i="28" s="1"/>
  <c r="E73" i="28"/>
  <c r="E39" i="28"/>
  <c r="C39" i="28"/>
  <c r="G39" i="28" s="1"/>
  <c r="C75" i="28"/>
  <c r="E75" i="28"/>
  <c r="C111" i="28"/>
  <c r="E111" i="28"/>
  <c r="C147" i="28"/>
  <c r="E147" i="28"/>
  <c r="C183" i="28"/>
  <c r="E183" i="28"/>
  <c r="C219" i="28"/>
  <c r="G219" i="28" s="1"/>
  <c r="E219" i="28"/>
  <c r="C255" i="28"/>
  <c r="E255" i="28"/>
  <c r="E209" i="28"/>
  <c r="C209" i="28"/>
  <c r="E101" i="28"/>
  <c r="C101" i="28"/>
  <c r="G101" i="28" s="1"/>
  <c r="C126" i="28"/>
  <c r="E126" i="28"/>
  <c r="C170" i="28"/>
  <c r="E170" i="28"/>
  <c r="C62" i="28"/>
  <c r="G62" i="28" s="1"/>
  <c r="E62" i="28"/>
  <c r="C42" i="28"/>
  <c r="E42" i="28"/>
  <c r="C78" i="28"/>
  <c r="E78" i="28"/>
  <c r="C114" i="28"/>
  <c r="E114" i="28"/>
  <c r="C150" i="28"/>
  <c r="E150" i="28"/>
  <c r="C186" i="28"/>
  <c r="E186" i="28"/>
  <c r="C222" i="28"/>
  <c r="E222" i="28"/>
  <c r="C258" i="28"/>
  <c r="E258" i="28"/>
  <c r="C202" i="28"/>
  <c r="E202" i="28"/>
  <c r="C94" i="28"/>
  <c r="E94" i="28"/>
  <c r="G260" i="28"/>
  <c r="E54" i="28"/>
  <c r="C54" i="28"/>
  <c r="G54" i="28" s="1"/>
  <c r="E58" i="28"/>
  <c r="C58" i="28"/>
  <c r="G58" i="28" s="1"/>
  <c r="C55" i="28"/>
  <c r="G55" i="28" s="1"/>
  <c r="E55" i="28"/>
  <c r="C117" i="28"/>
  <c r="E117" i="28"/>
  <c r="C225" i="28"/>
  <c r="E225" i="28"/>
  <c r="G272" i="28"/>
  <c r="C152" i="28"/>
  <c r="E152" i="28"/>
  <c r="E48" i="28"/>
  <c r="C48" i="28"/>
  <c r="C84" i="28"/>
  <c r="G84" i="28" s="1"/>
  <c r="E84" i="28"/>
  <c r="C120" i="28"/>
  <c r="E120" i="28"/>
  <c r="C156" i="28"/>
  <c r="E156" i="28"/>
  <c r="C192" i="28"/>
  <c r="E192" i="28"/>
  <c r="C228" i="28"/>
  <c r="E228" i="28"/>
  <c r="C264" i="28"/>
  <c r="E264" i="28"/>
  <c r="E184" i="28"/>
  <c r="C184" i="28"/>
  <c r="C76" i="28"/>
  <c r="E76" i="28"/>
  <c r="C134" i="28"/>
  <c r="E134" i="28"/>
  <c r="C166" i="28"/>
  <c r="E166" i="28"/>
  <c r="C163" i="28"/>
  <c r="E163" i="28"/>
  <c r="E45" i="28"/>
  <c r="C45" i="28"/>
  <c r="C81" i="28"/>
  <c r="G81" i="28" s="1"/>
  <c r="E81" i="28"/>
  <c r="C153" i="28"/>
  <c r="E153" i="28"/>
  <c r="C189" i="28"/>
  <c r="E189" i="28"/>
  <c r="C261" i="28"/>
  <c r="E261" i="28"/>
  <c r="E191" i="28"/>
  <c r="C191" i="28"/>
  <c r="E83" i="28"/>
  <c r="C83" i="28"/>
  <c r="C32" i="28"/>
  <c r="G32" i="28" s="1"/>
  <c r="E32" i="28"/>
  <c r="C253" i="28"/>
  <c r="E253" i="28"/>
  <c r="C145" i="28"/>
  <c r="E145" i="28"/>
  <c r="C19" i="28"/>
  <c r="E19" i="28"/>
  <c r="E51" i="28"/>
  <c r="C51" i="28"/>
  <c r="C87" i="28"/>
  <c r="E87" i="28"/>
  <c r="C123" i="28"/>
  <c r="G123" i="28" s="1"/>
  <c r="E123" i="28"/>
  <c r="C159" i="28"/>
  <c r="E159" i="28"/>
  <c r="C195" i="28"/>
  <c r="E195" i="28"/>
  <c r="C231" i="28"/>
  <c r="E231" i="28"/>
  <c r="C267" i="28"/>
  <c r="E267" i="28"/>
  <c r="C173" i="28"/>
  <c r="E173" i="28"/>
  <c r="E65" i="28"/>
  <c r="C65" i="28"/>
  <c r="C59" i="26"/>
  <c r="G59" i="26" s="1"/>
  <c r="C254" i="26"/>
  <c r="G254" i="26" s="1"/>
  <c r="E85" i="26"/>
  <c r="E265" i="26"/>
  <c r="G265" i="26" s="1"/>
  <c r="G263" i="26"/>
  <c r="E37" i="26"/>
  <c r="G37" i="26" s="1"/>
  <c r="C169" i="26"/>
  <c r="G169" i="26" s="1"/>
  <c r="C148" i="26"/>
  <c r="G148" i="26" s="1"/>
  <c r="E251" i="26"/>
  <c r="G251" i="26" s="1"/>
  <c r="C110" i="26"/>
  <c r="G110" i="26" s="1"/>
  <c r="C248" i="26"/>
  <c r="G248" i="26" s="1"/>
  <c r="C200" i="26"/>
  <c r="G200" i="26" s="1"/>
  <c r="C40" i="26"/>
  <c r="G40" i="26" s="1"/>
  <c r="C34" i="26"/>
  <c r="G34" i="26" s="1"/>
  <c r="G85" i="26"/>
  <c r="C154" i="26"/>
  <c r="G154" i="26" s="1"/>
  <c r="G266" i="26"/>
  <c r="G86" i="26"/>
  <c r="C164" i="26"/>
  <c r="G164" i="26" s="1"/>
  <c r="E62" i="26"/>
  <c r="G62" i="26" s="1"/>
  <c r="C230" i="26"/>
  <c r="G230" i="26" s="1"/>
  <c r="E82" i="26"/>
  <c r="C82" i="26"/>
  <c r="E53" i="26"/>
  <c r="C53" i="26"/>
  <c r="E50" i="26"/>
  <c r="C50" i="26"/>
  <c r="E47" i="26"/>
  <c r="C47" i="26"/>
  <c r="C83" i="26"/>
  <c r="G83" i="26" s="1"/>
  <c r="E18" i="26"/>
  <c r="C18" i="26"/>
  <c r="G18" i="26" s="1"/>
  <c r="E130" i="26"/>
  <c r="C130" i="26"/>
  <c r="E67" i="26"/>
  <c r="C67" i="26"/>
  <c r="E157" i="26"/>
  <c r="C157" i="26"/>
  <c r="E173" i="26"/>
  <c r="C173" i="26"/>
  <c r="E119" i="26"/>
  <c r="C119" i="26"/>
  <c r="E77" i="26"/>
  <c r="C77" i="26"/>
  <c r="G77" i="26" s="1"/>
  <c r="E247" i="26"/>
  <c r="C247" i="26"/>
  <c r="E97" i="26"/>
  <c r="C97" i="26"/>
  <c r="E191" i="26"/>
  <c r="C191" i="26"/>
  <c r="E103" i="26"/>
  <c r="C103" i="26"/>
  <c r="E151" i="26"/>
  <c r="C151" i="26"/>
  <c r="E197" i="26"/>
  <c r="C197" i="26"/>
  <c r="G197" i="26" s="1"/>
  <c r="E229" i="26"/>
  <c r="C229" i="26"/>
  <c r="C193" i="26"/>
  <c r="G193" i="26" s="1"/>
  <c r="E43" i="26"/>
  <c r="C43" i="26"/>
  <c r="E125" i="26"/>
  <c r="C125" i="26"/>
  <c r="E179" i="26"/>
  <c r="C179" i="26"/>
  <c r="E28" i="26"/>
  <c r="C28" i="26"/>
  <c r="E23" i="26"/>
  <c r="C23" i="26"/>
  <c r="E140" i="26"/>
  <c r="C140" i="26"/>
  <c r="C233" i="26"/>
  <c r="E233" i="26"/>
  <c r="E215" i="26"/>
  <c r="C215" i="26"/>
  <c r="E136" i="26"/>
  <c r="C136" i="26"/>
  <c r="C20" i="25"/>
  <c r="G20" i="25" s="1"/>
  <c r="C48" i="25"/>
  <c r="G48" i="25" s="1"/>
  <c r="C217" i="25"/>
  <c r="G217" i="25" s="1"/>
  <c r="E176" i="25"/>
  <c r="E193" i="25"/>
  <c r="C193" i="25"/>
  <c r="E75" i="25"/>
  <c r="G75" i="25" s="1"/>
  <c r="C119" i="25"/>
  <c r="G119" i="25" s="1"/>
  <c r="E248" i="25"/>
  <c r="G248" i="25" s="1"/>
  <c r="C64" i="25"/>
  <c r="G64" i="25" s="1"/>
  <c r="C100" i="25"/>
  <c r="G100" i="25" s="1"/>
  <c r="C93" i="25"/>
  <c r="C72" i="4"/>
  <c r="E72" i="4"/>
  <c r="C24" i="4"/>
  <c r="E24" i="4"/>
  <c r="C120" i="4"/>
  <c r="E120" i="4"/>
  <c r="C42" i="4"/>
  <c r="E42" i="4"/>
  <c r="C160" i="4"/>
  <c r="E160" i="4"/>
  <c r="E157" i="4"/>
  <c r="C157" i="4"/>
  <c r="C30" i="4"/>
  <c r="E30" i="4"/>
  <c r="E178" i="4"/>
  <c r="C178" i="4"/>
  <c r="G178" i="4" s="1"/>
  <c r="C76" i="4"/>
  <c r="E76" i="4"/>
  <c r="C93" i="4"/>
  <c r="E93" i="4"/>
  <c r="E235" i="4"/>
  <c r="C235" i="4"/>
  <c r="G235" i="4" s="1"/>
  <c r="C103" i="4"/>
  <c r="E103" i="4"/>
  <c r="E167" i="4"/>
  <c r="C167" i="4"/>
  <c r="G167" i="4" s="1"/>
  <c r="E203" i="4"/>
  <c r="C203" i="4"/>
  <c r="G203" i="4" s="1"/>
  <c r="E239" i="4"/>
  <c r="C239" i="4"/>
  <c r="C138" i="4"/>
  <c r="E138" i="4"/>
  <c r="C174" i="4"/>
  <c r="E174" i="4"/>
  <c r="C210" i="4"/>
  <c r="E210" i="4"/>
  <c r="C246" i="4"/>
  <c r="E246" i="4"/>
  <c r="C71" i="4"/>
  <c r="E71" i="4"/>
  <c r="E118" i="4"/>
  <c r="C118" i="4"/>
  <c r="C145" i="4"/>
  <c r="E145" i="4"/>
  <c r="E265" i="4"/>
  <c r="C265" i="4"/>
  <c r="G265" i="4" s="1"/>
  <c r="E32" i="4"/>
  <c r="C32" i="4"/>
  <c r="E35" i="4"/>
  <c r="C35" i="4"/>
  <c r="G35" i="4" s="1"/>
  <c r="E23" i="4"/>
  <c r="C23" i="4"/>
  <c r="G23" i="4" s="1"/>
  <c r="C48" i="4"/>
  <c r="E48" i="4"/>
  <c r="C29" i="4"/>
  <c r="E29" i="4"/>
  <c r="C169" i="4"/>
  <c r="E169" i="4"/>
  <c r="E43" i="4"/>
  <c r="C43" i="4"/>
  <c r="E190" i="4"/>
  <c r="C190" i="4"/>
  <c r="G190" i="4" s="1"/>
  <c r="C89" i="4"/>
  <c r="E89" i="4"/>
  <c r="E106" i="4"/>
  <c r="C106" i="4"/>
  <c r="E247" i="4"/>
  <c r="C247" i="4"/>
  <c r="C116" i="4"/>
  <c r="E116" i="4"/>
  <c r="E170" i="4"/>
  <c r="C170" i="4"/>
  <c r="E206" i="4"/>
  <c r="C206" i="4"/>
  <c r="G206" i="4" s="1"/>
  <c r="E242" i="4"/>
  <c r="C242" i="4"/>
  <c r="G242" i="4" s="1"/>
  <c r="C141" i="4"/>
  <c r="E141" i="4"/>
  <c r="C177" i="4"/>
  <c r="E177" i="4"/>
  <c r="C213" i="4"/>
  <c r="E213" i="4"/>
  <c r="C249" i="4"/>
  <c r="E249" i="4"/>
  <c r="C123" i="4"/>
  <c r="E123" i="4"/>
  <c r="C78" i="4"/>
  <c r="E78" i="4"/>
  <c r="C121" i="4"/>
  <c r="E121" i="4"/>
  <c r="C90" i="4"/>
  <c r="E90" i="4"/>
  <c r="E61" i="4"/>
  <c r="C61" i="4"/>
  <c r="G61" i="4" s="1"/>
  <c r="C84" i="4"/>
  <c r="E84" i="4"/>
  <c r="C41" i="4"/>
  <c r="E41" i="4"/>
  <c r="E74" i="4"/>
  <c r="C74" i="4"/>
  <c r="G74" i="4" s="1"/>
  <c r="C98" i="4"/>
  <c r="E98" i="4"/>
  <c r="C39" i="4"/>
  <c r="E39" i="4"/>
  <c r="E181" i="4"/>
  <c r="C181" i="4"/>
  <c r="G181" i="4" s="1"/>
  <c r="E202" i="4"/>
  <c r="C202" i="4"/>
  <c r="E119" i="4"/>
  <c r="C119" i="4"/>
  <c r="G119" i="4" s="1"/>
  <c r="E259" i="4"/>
  <c r="C259" i="4"/>
  <c r="G259" i="4" s="1"/>
  <c r="C126" i="4"/>
  <c r="E126" i="4"/>
  <c r="C173" i="4"/>
  <c r="E173" i="4"/>
  <c r="C209" i="4"/>
  <c r="E209" i="4"/>
  <c r="C245" i="4"/>
  <c r="E245" i="4"/>
  <c r="C144" i="4"/>
  <c r="E144" i="4"/>
  <c r="C180" i="4"/>
  <c r="E180" i="4"/>
  <c r="C216" i="4"/>
  <c r="E216" i="4"/>
  <c r="C252" i="4"/>
  <c r="E252" i="4"/>
  <c r="E20" i="4"/>
  <c r="C20" i="4"/>
  <c r="G20" i="4" s="1"/>
  <c r="E223" i="4"/>
  <c r="C223" i="4"/>
  <c r="C243" i="4"/>
  <c r="E243" i="4"/>
  <c r="C99" i="4"/>
  <c r="E99" i="4"/>
  <c r="C33" i="4"/>
  <c r="E33" i="4"/>
  <c r="C45" i="4"/>
  <c r="E45" i="4"/>
  <c r="E46" i="4"/>
  <c r="C46" i="4"/>
  <c r="G46" i="4" s="1"/>
  <c r="C85" i="4"/>
  <c r="E85" i="4"/>
  <c r="C132" i="4"/>
  <c r="E132" i="4"/>
  <c r="C52" i="4"/>
  <c r="E52" i="4"/>
  <c r="E193" i="4"/>
  <c r="C193" i="4"/>
  <c r="C66" i="4"/>
  <c r="E66" i="4"/>
  <c r="E214" i="4"/>
  <c r="C214" i="4"/>
  <c r="G214" i="4" s="1"/>
  <c r="C112" i="4"/>
  <c r="E112" i="4"/>
  <c r="C129" i="4"/>
  <c r="E129" i="4"/>
  <c r="E268" i="4"/>
  <c r="C268" i="4"/>
  <c r="G268" i="4" s="1"/>
  <c r="E140" i="4"/>
  <c r="C140" i="4"/>
  <c r="C176" i="4"/>
  <c r="E176" i="4"/>
  <c r="E212" i="4"/>
  <c r="C212" i="4"/>
  <c r="G212" i="4" s="1"/>
  <c r="E248" i="4"/>
  <c r="C248" i="4"/>
  <c r="C147" i="4"/>
  <c r="E147" i="4"/>
  <c r="C183" i="4"/>
  <c r="E183" i="4"/>
  <c r="C219" i="4"/>
  <c r="E219" i="4"/>
  <c r="C255" i="4"/>
  <c r="E255" i="4"/>
  <c r="C164" i="4"/>
  <c r="E164" i="4"/>
  <c r="E56" i="4"/>
  <c r="C56" i="4"/>
  <c r="C60" i="4"/>
  <c r="E60" i="4"/>
  <c r="C51" i="4"/>
  <c r="E51" i="4"/>
  <c r="E91" i="4"/>
  <c r="C91" i="4"/>
  <c r="C136" i="4"/>
  <c r="E136" i="4"/>
  <c r="E232" i="4"/>
  <c r="C232" i="4"/>
  <c r="G232" i="4" s="1"/>
  <c r="C65" i="4"/>
  <c r="E65" i="4"/>
  <c r="E205" i="4"/>
  <c r="C205" i="4"/>
  <c r="G205" i="4" s="1"/>
  <c r="E79" i="4"/>
  <c r="C79" i="4"/>
  <c r="G79" i="4" s="1"/>
  <c r="E226" i="4"/>
  <c r="C226" i="4"/>
  <c r="C125" i="4"/>
  <c r="E125" i="4"/>
  <c r="E139" i="4"/>
  <c r="C139" i="4"/>
  <c r="G139" i="4" s="1"/>
  <c r="G272" i="4"/>
  <c r="E143" i="4"/>
  <c r="C143" i="4"/>
  <c r="E179" i="4"/>
  <c r="C179" i="4"/>
  <c r="E215" i="4"/>
  <c r="C215" i="4"/>
  <c r="G215" i="4" s="1"/>
  <c r="E251" i="4"/>
  <c r="C251" i="4"/>
  <c r="C150" i="4"/>
  <c r="E150" i="4"/>
  <c r="C186" i="4"/>
  <c r="E186" i="4"/>
  <c r="C222" i="4"/>
  <c r="G222" i="4" s="1"/>
  <c r="E222" i="4"/>
  <c r="C258" i="4"/>
  <c r="G258" i="4" s="1"/>
  <c r="E258" i="4"/>
  <c r="G105" i="4"/>
  <c r="E166" i="4"/>
  <c r="C166" i="4"/>
  <c r="C171" i="4"/>
  <c r="E171" i="4"/>
  <c r="E55" i="4"/>
  <c r="C55" i="4"/>
  <c r="G55" i="4" s="1"/>
  <c r="E73" i="4"/>
  <c r="C73" i="4"/>
  <c r="C97" i="4"/>
  <c r="E97" i="4"/>
  <c r="E19" i="4"/>
  <c r="C19" i="4"/>
  <c r="G19" i="4" s="1"/>
  <c r="E68" i="4"/>
  <c r="C68" i="4"/>
  <c r="C75" i="4"/>
  <c r="E75" i="4"/>
  <c r="E217" i="4"/>
  <c r="C217" i="4"/>
  <c r="G217" i="4" s="1"/>
  <c r="E92" i="4"/>
  <c r="C92" i="4"/>
  <c r="E238" i="4"/>
  <c r="C238" i="4"/>
  <c r="G238" i="4" s="1"/>
  <c r="C135" i="4"/>
  <c r="E135" i="4"/>
  <c r="E151" i="4"/>
  <c r="C151" i="4"/>
  <c r="C18" i="4"/>
  <c r="E18" i="4"/>
  <c r="E146" i="4"/>
  <c r="C146" i="4"/>
  <c r="E182" i="4"/>
  <c r="C182" i="4"/>
  <c r="E218" i="4"/>
  <c r="C218" i="4"/>
  <c r="G218" i="4" s="1"/>
  <c r="E254" i="4"/>
  <c r="C254" i="4"/>
  <c r="G254" i="4" s="1"/>
  <c r="C153" i="4"/>
  <c r="E153" i="4"/>
  <c r="C189" i="4"/>
  <c r="E189" i="4"/>
  <c r="C225" i="4"/>
  <c r="E225" i="4"/>
  <c r="C261" i="4"/>
  <c r="E261" i="4"/>
  <c r="C134" i="4"/>
  <c r="E134" i="4"/>
  <c r="E131" i="4"/>
  <c r="C131" i="4"/>
  <c r="G131" i="4" s="1"/>
  <c r="E95" i="4"/>
  <c r="C95" i="4"/>
  <c r="C108" i="4"/>
  <c r="E108" i="4"/>
  <c r="E130" i="4"/>
  <c r="C130" i="4"/>
  <c r="G130" i="4" s="1"/>
  <c r="E88" i="4"/>
  <c r="C88" i="4"/>
  <c r="E229" i="4"/>
  <c r="C229" i="4"/>
  <c r="G229" i="4" s="1"/>
  <c r="C102" i="4"/>
  <c r="E102" i="4"/>
  <c r="E250" i="4"/>
  <c r="C250" i="4"/>
  <c r="C21" i="4"/>
  <c r="E21" i="4"/>
  <c r="E163" i="4"/>
  <c r="C163" i="4"/>
  <c r="G163" i="4" s="1"/>
  <c r="C31" i="4"/>
  <c r="E31" i="4"/>
  <c r="C149" i="4"/>
  <c r="E149" i="4"/>
  <c r="C185" i="4"/>
  <c r="E185" i="4"/>
  <c r="C221" i="4"/>
  <c r="E221" i="4"/>
  <c r="C156" i="4"/>
  <c r="E156" i="4"/>
  <c r="C192" i="4"/>
  <c r="E192" i="4"/>
  <c r="C228" i="4"/>
  <c r="E228" i="4"/>
  <c r="C264" i="4"/>
  <c r="E264" i="4"/>
  <c r="E122" i="4"/>
  <c r="C122" i="4"/>
  <c r="G122" i="4" s="1"/>
  <c r="C100" i="4"/>
  <c r="E100" i="4"/>
  <c r="E236" i="4"/>
  <c r="C236" i="4"/>
  <c r="C28" i="4"/>
  <c r="E28" i="4"/>
  <c r="E25" i="4"/>
  <c r="C25" i="4"/>
  <c r="C257" i="4"/>
  <c r="E257" i="4"/>
  <c r="E148" i="4"/>
  <c r="C148" i="4"/>
  <c r="G148" i="4" s="1"/>
  <c r="E58" i="4"/>
  <c r="C58" i="4"/>
  <c r="C36" i="4"/>
  <c r="E36" i="4"/>
  <c r="E37" i="4"/>
  <c r="C37" i="4"/>
  <c r="G37" i="4" s="1"/>
  <c r="C101" i="4"/>
  <c r="E101" i="4"/>
  <c r="E241" i="4"/>
  <c r="C241" i="4"/>
  <c r="G241" i="4" s="1"/>
  <c r="E115" i="4"/>
  <c r="C115" i="4"/>
  <c r="G115" i="4" s="1"/>
  <c r="E262" i="4"/>
  <c r="C262" i="4"/>
  <c r="E34" i="4"/>
  <c r="C34" i="4"/>
  <c r="E175" i="4"/>
  <c r="C175" i="4"/>
  <c r="G175" i="4" s="1"/>
  <c r="C44" i="4"/>
  <c r="E44" i="4"/>
  <c r="C152" i="4"/>
  <c r="E152" i="4"/>
  <c r="E188" i="4"/>
  <c r="C188" i="4"/>
  <c r="G188" i="4" s="1"/>
  <c r="E224" i="4"/>
  <c r="C224" i="4"/>
  <c r="E260" i="4"/>
  <c r="C260" i="4"/>
  <c r="C159" i="4"/>
  <c r="E159" i="4"/>
  <c r="C195" i="4"/>
  <c r="E195" i="4"/>
  <c r="C231" i="4"/>
  <c r="E231" i="4"/>
  <c r="C267" i="4"/>
  <c r="E267" i="4"/>
  <c r="E107" i="4"/>
  <c r="C107" i="4"/>
  <c r="C114" i="4"/>
  <c r="E114" i="4"/>
  <c r="E200" i="4"/>
  <c r="C200" i="4"/>
  <c r="G200" i="4" s="1"/>
  <c r="E256" i="4"/>
  <c r="C256" i="4"/>
  <c r="C64" i="4"/>
  <c r="E64" i="4"/>
  <c r="C81" i="4"/>
  <c r="E81" i="4"/>
  <c r="E59" i="4"/>
  <c r="C59" i="4"/>
  <c r="C111" i="4"/>
  <c r="E111" i="4"/>
  <c r="E253" i="4"/>
  <c r="C253" i="4"/>
  <c r="G253" i="4" s="1"/>
  <c r="E128" i="4"/>
  <c r="C128" i="4"/>
  <c r="C27" i="4"/>
  <c r="E27" i="4"/>
  <c r="E47" i="4"/>
  <c r="C47" i="4"/>
  <c r="G47" i="4" s="1"/>
  <c r="E187" i="4"/>
  <c r="C187" i="4"/>
  <c r="C54" i="4"/>
  <c r="E54" i="4"/>
  <c r="E155" i="4"/>
  <c r="C155" i="4"/>
  <c r="G155" i="4" s="1"/>
  <c r="E191" i="4"/>
  <c r="C191" i="4"/>
  <c r="E227" i="4"/>
  <c r="C227" i="4"/>
  <c r="G227" i="4" s="1"/>
  <c r="E263" i="4"/>
  <c r="C263" i="4"/>
  <c r="G263" i="4" s="1"/>
  <c r="C162" i="4"/>
  <c r="E162" i="4"/>
  <c r="C198" i="4"/>
  <c r="E198" i="4"/>
  <c r="C234" i="4"/>
  <c r="E234" i="4"/>
  <c r="C270" i="4"/>
  <c r="E270" i="4"/>
  <c r="E82" i="4"/>
  <c r="C82" i="4"/>
  <c r="G82" i="4" s="1"/>
  <c r="C49" i="4"/>
  <c r="E49" i="4"/>
  <c r="C63" i="4"/>
  <c r="E63" i="4"/>
  <c r="C207" i="4"/>
  <c r="E207" i="4"/>
  <c r="C113" i="4"/>
  <c r="E113" i="4"/>
  <c r="C69" i="4"/>
  <c r="E69" i="4"/>
  <c r="E104" i="4"/>
  <c r="C104" i="4"/>
  <c r="G104" i="4" s="1"/>
  <c r="E124" i="4"/>
  <c r="C124" i="4"/>
  <c r="G124" i="4" s="1"/>
  <c r="E271" i="4"/>
  <c r="H271" i="4"/>
  <c r="C271" i="4"/>
  <c r="E142" i="4"/>
  <c r="C142" i="4"/>
  <c r="G142" i="4" s="1"/>
  <c r="C40" i="4"/>
  <c r="E40" i="4"/>
  <c r="C57" i="4"/>
  <c r="G57" i="4" s="1"/>
  <c r="E57" i="4"/>
  <c r="E199" i="4"/>
  <c r="C199" i="4"/>
  <c r="E158" i="4"/>
  <c r="C158" i="4"/>
  <c r="G158" i="4" s="1"/>
  <c r="E194" i="4"/>
  <c r="C194" i="4"/>
  <c r="E230" i="4"/>
  <c r="C230" i="4"/>
  <c r="G230" i="4" s="1"/>
  <c r="C266" i="4"/>
  <c r="E266" i="4"/>
  <c r="C165" i="4"/>
  <c r="G165" i="4" s="1"/>
  <c r="E165" i="4"/>
  <c r="C201" i="4"/>
  <c r="G201" i="4" s="1"/>
  <c r="E201" i="4"/>
  <c r="C237" i="4"/>
  <c r="E237" i="4"/>
  <c r="E94" i="4"/>
  <c r="C94" i="4"/>
  <c r="E172" i="4"/>
  <c r="C172" i="4"/>
  <c r="G172" i="4" s="1"/>
  <c r="E83" i="4"/>
  <c r="C83" i="4"/>
  <c r="G83" i="4" s="1"/>
  <c r="C96" i="4"/>
  <c r="G96" i="4" s="1"/>
  <c r="E96" i="4"/>
  <c r="E196" i="4"/>
  <c r="C196" i="4"/>
  <c r="C87" i="4"/>
  <c r="E87" i="4"/>
  <c r="C67" i="4"/>
  <c r="E67" i="4"/>
  <c r="C77" i="4"/>
  <c r="E77" i="4"/>
  <c r="E127" i="4"/>
  <c r="C127" i="4"/>
  <c r="G127" i="4" s="1"/>
  <c r="E220" i="4"/>
  <c r="C220" i="4"/>
  <c r="E86" i="4"/>
  <c r="C86" i="4"/>
  <c r="E109" i="4"/>
  <c r="C109" i="4"/>
  <c r="G109" i="4" s="1"/>
  <c r="C110" i="4"/>
  <c r="E110" i="4"/>
  <c r="E137" i="4"/>
  <c r="C137" i="4"/>
  <c r="G137" i="4" s="1"/>
  <c r="E17" i="4"/>
  <c r="C17" i="4"/>
  <c r="G17" i="4" s="1"/>
  <c r="E154" i="4"/>
  <c r="C154" i="4"/>
  <c r="C53" i="4"/>
  <c r="G53" i="4" s="1"/>
  <c r="E53" i="4"/>
  <c r="E70" i="4"/>
  <c r="C70" i="4"/>
  <c r="G70" i="4" s="1"/>
  <c r="E211" i="4"/>
  <c r="C211" i="4"/>
  <c r="C80" i="4"/>
  <c r="E80" i="4"/>
  <c r="C161" i="4"/>
  <c r="E161" i="4"/>
  <c r="C197" i="4"/>
  <c r="G197" i="4" s="1"/>
  <c r="E197" i="4"/>
  <c r="C233" i="4"/>
  <c r="G233" i="4" s="1"/>
  <c r="E233" i="4"/>
  <c r="E269" i="4"/>
  <c r="C269" i="4"/>
  <c r="G269" i="4" s="1"/>
  <c r="C168" i="4"/>
  <c r="E168" i="4"/>
  <c r="C204" i="4"/>
  <c r="E204" i="4"/>
  <c r="C240" i="4"/>
  <c r="E240" i="4"/>
  <c r="C184" i="4"/>
  <c r="G184" i="4" s="1"/>
  <c r="E184" i="4"/>
  <c r="C34" i="25"/>
  <c r="G34" i="25" s="1"/>
  <c r="G272" i="25"/>
  <c r="C126" i="25"/>
  <c r="G126" i="25" s="1"/>
  <c r="C215" i="25"/>
  <c r="G215" i="25" s="1"/>
  <c r="C152" i="25"/>
  <c r="G152" i="25" s="1"/>
  <c r="C24" i="25"/>
  <c r="G24" i="25" s="1"/>
  <c r="E113" i="25"/>
  <c r="C113" i="25"/>
  <c r="C266" i="25"/>
  <c r="C47" i="25"/>
  <c r="G47" i="25" s="1"/>
  <c r="C185" i="25"/>
  <c r="G185" i="25" s="1"/>
  <c r="E53" i="25"/>
  <c r="G53" i="25" s="1"/>
  <c r="C184" i="25"/>
  <c r="G184" i="25" s="1"/>
  <c r="E114" i="25"/>
  <c r="E81" i="25"/>
  <c r="G81" i="25" s="1"/>
  <c r="C239" i="25"/>
  <c r="G239" i="25" s="1"/>
  <c r="C175" i="25"/>
  <c r="G175" i="25" s="1"/>
  <c r="E69" i="25"/>
  <c r="G69" i="25" s="1"/>
  <c r="C265" i="25"/>
  <c r="G265" i="25" s="1"/>
  <c r="C124" i="25"/>
  <c r="G124" i="25" s="1"/>
  <c r="E161" i="25"/>
  <c r="C161" i="25"/>
  <c r="G161" i="25" s="1"/>
  <c r="E247" i="25"/>
  <c r="C247" i="25"/>
  <c r="E28" i="25"/>
  <c r="G28" i="25" s="1"/>
  <c r="E125" i="25"/>
  <c r="C125" i="25"/>
  <c r="E19" i="25"/>
  <c r="C19" i="25"/>
  <c r="G114" i="25"/>
  <c r="G224" i="25"/>
  <c r="G233" i="25"/>
  <c r="G242" i="25"/>
  <c r="C178" i="25"/>
  <c r="E178" i="25"/>
  <c r="E235" i="25"/>
  <c r="C235" i="25"/>
  <c r="E54" i="25"/>
  <c r="C54" i="25"/>
  <c r="E229" i="25"/>
  <c r="C229" i="25"/>
  <c r="C97" i="25"/>
  <c r="E97" i="25"/>
  <c r="C102" i="25"/>
  <c r="E102" i="25"/>
  <c r="C67" i="25"/>
  <c r="E67" i="25"/>
  <c r="E107" i="25"/>
  <c r="C107" i="25"/>
  <c r="E98" i="25"/>
  <c r="C98" i="25"/>
  <c r="E94" i="25"/>
  <c r="C94" i="25"/>
  <c r="E128" i="25"/>
  <c r="C128" i="25"/>
  <c r="E182" i="25"/>
  <c r="C182" i="25"/>
  <c r="E236" i="25"/>
  <c r="C236" i="25"/>
  <c r="C135" i="25"/>
  <c r="E135" i="25"/>
  <c r="C171" i="25"/>
  <c r="E171" i="25"/>
  <c r="C207" i="25"/>
  <c r="E207" i="25"/>
  <c r="C243" i="25"/>
  <c r="E243" i="25"/>
  <c r="E244" i="25"/>
  <c r="C244" i="25"/>
  <c r="E203" i="25"/>
  <c r="C203" i="25"/>
  <c r="E194" i="25"/>
  <c r="C194" i="25"/>
  <c r="G257" i="25"/>
  <c r="E221" i="25"/>
  <c r="C221" i="25"/>
  <c r="C61" i="25"/>
  <c r="E61" i="25"/>
  <c r="E89" i="25"/>
  <c r="C89" i="25"/>
  <c r="C72" i="25"/>
  <c r="E72" i="25"/>
  <c r="E112" i="25"/>
  <c r="C112" i="25"/>
  <c r="C103" i="25"/>
  <c r="E103" i="25"/>
  <c r="C106" i="25"/>
  <c r="E106" i="25"/>
  <c r="C133" i="25"/>
  <c r="E133" i="25"/>
  <c r="C187" i="25"/>
  <c r="E187" i="25"/>
  <c r="C241" i="25"/>
  <c r="E241" i="25"/>
  <c r="C138" i="25"/>
  <c r="E138" i="25"/>
  <c r="C174" i="25"/>
  <c r="E174" i="25"/>
  <c r="C210" i="25"/>
  <c r="E210" i="25"/>
  <c r="C246" i="25"/>
  <c r="E246" i="25"/>
  <c r="E62" i="25"/>
  <c r="C62" i="25"/>
  <c r="E220" i="25"/>
  <c r="C220" i="25"/>
  <c r="E157" i="25"/>
  <c r="C157" i="25"/>
  <c r="E170" i="25"/>
  <c r="C170" i="25"/>
  <c r="E197" i="25"/>
  <c r="C197" i="25"/>
  <c r="E50" i="25"/>
  <c r="C50" i="25"/>
  <c r="E59" i="25"/>
  <c r="C59" i="25"/>
  <c r="E86" i="25"/>
  <c r="C86" i="25"/>
  <c r="E148" i="25"/>
  <c r="C148" i="25"/>
  <c r="C108" i="25"/>
  <c r="E108" i="25"/>
  <c r="C118" i="25"/>
  <c r="E118" i="25"/>
  <c r="E137" i="25"/>
  <c r="C137" i="25"/>
  <c r="E191" i="25"/>
  <c r="C191" i="25"/>
  <c r="E245" i="25"/>
  <c r="C245" i="25"/>
  <c r="C141" i="25"/>
  <c r="E141" i="25"/>
  <c r="C177" i="25"/>
  <c r="E177" i="25"/>
  <c r="C213" i="25"/>
  <c r="E213" i="25"/>
  <c r="C249" i="25"/>
  <c r="E249" i="25"/>
  <c r="E230" i="25"/>
  <c r="C230" i="25"/>
  <c r="E188" i="25"/>
  <c r="C188" i="25"/>
  <c r="E109" i="25"/>
  <c r="C109" i="25"/>
  <c r="E76" i="25"/>
  <c r="C76" i="25"/>
  <c r="G176" i="25"/>
  <c r="E181" i="25"/>
  <c r="C181" i="25"/>
  <c r="E22" i="25"/>
  <c r="C22" i="25"/>
  <c r="E49" i="25"/>
  <c r="C49" i="25"/>
  <c r="C91" i="25"/>
  <c r="E91" i="25"/>
  <c r="E35" i="25"/>
  <c r="C35" i="25"/>
  <c r="E122" i="25"/>
  <c r="C122" i="25"/>
  <c r="E23" i="25"/>
  <c r="C23" i="25"/>
  <c r="E142" i="25"/>
  <c r="C142" i="25"/>
  <c r="C196" i="25"/>
  <c r="E196" i="25"/>
  <c r="C250" i="25"/>
  <c r="E250" i="25"/>
  <c r="C144" i="25"/>
  <c r="E144" i="25"/>
  <c r="C180" i="25"/>
  <c r="E180" i="25"/>
  <c r="C216" i="25"/>
  <c r="E216" i="25"/>
  <c r="C252" i="25"/>
  <c r="E252" i="25"/>
  <c r="E65" i="25"/>
  <c r="C65" i="25"/>
  <c r="E88" i="25"/>
  <c r="C88" i="25"/>
  <c r="C232" i="25"/>
  <c r="E232" i="25"/>
  <c r="C132" i="25"/>
  <c r="E132" i="25"/>
  <c r="E25" i="25"/>
  <c r="C25" i="25"/>
  <c r="E212" i="25"/>
  <c r="C212" i="25"/>
  <c r="C127" i="25"/>
  <c r="E127" i="25"/>
  <c r="C190" i="25"/>
  <c r="E190" i="25"/>
  <c r="E136" i="25"/>
  <c r="C136" i="25"/>
  <c r="E40" i="25"/>
  <c r="C40" i="25"/>
  <c r="E158" i="25"/>
  <c r="C158" i="25"/>
  <c r="E143" i="25"/>
  <c r="C143" i="25"/>
  <c r="C163" i="25"/>
  <c r="E163" i="25"/>
  <c r="E110" i="25"/>
  <c r="C110" i="25"/>
  <c r="C43" i="25"/>
  <c r="E43" i="25"/>
  <c r="C154" i="25"/>
  <c r="E154" i="25"/>
  <c r="E46" i="25"/>
  <c r="C46" i="25"/>
  <c r="E151" i="25"/>
  <c r="C151" i="25"/>
  <c r="C205" i="25"/>
  <c r="E205" i="25"/>
  <c r="C259" i="25"/>
  <c r="E259" i="25"/>
  <c r="C150" i="25"/>
  <c r="E150" i="25"/>
  <c r="C186" i="25"/>
  <c r="E186" i="25"/>
  <c r="C222" i="25"/>
  <c r="E222" i="25"/>
  <c r="C258" i="25"/>
  <c r="E258" i="25"/>
  <c r="E251" i="25"/>
  <c r="C251" i="25"/>
  <c r="E27" i="25"/>
  <c r="C27" i="25"/>
  <c r="C84" i="25"/>
  <c r="E84" i="25"/>
  <c r="C204" i="25"/>
  <c r="E204" i="25"/>
  <c r="E71" i="25"/>
  <c r="C71" i="25"/>
  <c r="E166" i="25"/>
  <c r="C166" i="25"/>
  <c r="C96" i="25"/>
  <c r="E96" i="25"/>
  <c r="E33" i="25"/>
  <c r="C33" i="25"/>
  <c r="E254" i="25"/>
  <c r="C254" i="25"/>
  <c r="C183" i="25"/>
  <c r="E183" i="25"/>
  <c r="C123" i="25"/>
  <c r="E123" i="25"/>
  <c r="E21" i="25"/>
  <c r="C21" i="25"/>
  <c r="E130" i="25"/>
  <c r="C130" i="25"/>
  <c r="E269" i="25"/>
  <c r="C269" i="25"/>
  <c r="C30" i="25"/>
  <c r="E30" i="25"/>
  <c r="E115" i="25"/>
  <c r="C115" i="25"/>
  <c r="C51" i="25"/>
  <c r="E51" i="25"/>
  <c r="E18" i="25"/>
  <c r="C18" i="25"/>
  <c r="E56" i="25"/>
  <c r="C56" i="25"/>
  <c r="E155" i="25"/>
  <c r="C155" i="25"/>
  <c r="E209" i="25"/>
  <c r="C209" i="25"/>
  <c r="E263" i="25"/>
  <c r="C263" i="25"/>
  <c r="C153" i="25"/>
  <c r="E153" i="25"/>
  <c r="C189" i="25"/>
  <c r="E189" i="25"/>
  <c r="C225" i="25"/>
  <c r="E225" i="25"/>
  <c r="C261" i="25"/>
  <c r="E261" i="25"/>
  <c r="C66" i="25"/>
  <c r="E66" i="25"/>
  <c r="C240" i="25"/>
  <c r="E240" i="25"/>
  <c r="C172" i="25"/>
  <c r="E172" i="25"/>
  <c r="E202" i="25"/>
  <c r="C202" i="25"/>
  <c r="E39" i="25"/>
  <c r="C39" i="25"/>
  <c r="E146" i="25"/>
  <c r="C146" i="25"/>
  <c r="C147" i="25"/>
  <c r="E147" i="25"/>
  <c r="C219" i="25"/>
  <c r="E219" i="25"/>
  <c r="C145" i="25"/>
  <c r="E145" i="25"/>
  <c r="C78" i="25"/>
  <c r="E78" i="25"/>
  <c r="E149" i="25"/>
  <c r="C149" i="25"/>
  <c r="C117" i="25"/>
  <c r="E117" i="25"/>
  <c r="E211" i="25"/>
  <c r="C211" i="25"/>
  <c r="E29" i="25"/>
  <c r="C29" i="25"/>
  <c r="C120" i="25"/>
  <c r="E120" i="25"/>
  <c r="E55" i="25"/>
  <c r="C55" i="25"/>
  <c r="E31" i="25"/>
  <c r="C31" i="25"/>
  <c r="E68" i="25"/>
  <c r="C68" i="25"/>
  <c r="C160" i="25"/>
  <c r="E160" i="25"/>
  <c r="C214" i="25"/>
  <c r="E214" i="25"/>
  <c r="C268" i="25"/>
  <c r="E268" i="25"/>
  <c r="C156" i="25"/>
  <c r="E156" i="25"/>
  <c r="C192" i="25"/>
  <c r="E192" i="25"/>
  <c r="C228" i="25"/>
  <c r="E228" i="25"/>
  <c r="C264" i="25"/>
  <c r="E264" i="25"/>
  <c r="E116" i="25"/>
  <c r="C116" i="25"/>
  <c r="E134" i="25"/>
  <c r="C134" i="25"/>
  <c r="E179" i="25"/>
  <c r="C179" i="25"/>
  <c r="E80" i="25"/>
  <c r="C80" i="25"/>
  <c r="C159" i="25"/>
  <c r="E159" i="25"/>
  <c r="C195" i="25"/>
  <c r="E195" i="25"/>
  <c r="C231" i="25"/>
  <c r="E231" i="25"/>
  <c r="C267" i="25"/>
  <c r="E267" i="25"/>
  <c r="E226" i="25"/>
  <c r="C226" i="25"/>
  <c r="E253" i="25"/>
  <c r="C253" i="25"/>
  <c r="C82" i="25"/>
  <c r="E82" i="25"/>
  <c r="C168" i="25"/>
  <c r="E168" i="25"/>
  <c r="E36" i="25"/>
  <c r="C36" i="25"/>
  <c r="E206" i="25"/>
  <c r="C206" i="25"/>
  <c r="C255" i="25"/>
  <c r="E255" i="25"/>
  <c r="C37" i="25"/>
  <c r="E37" i="25"/>
  <c r="C60" i="25"/>
  <c r="E60" i="25"/>
  <c r="E164" i="25"/>
  <c r="C164" i="25"/>
  <c r="C105" i="25"/>
  <c r="E105" i="25"/>
  <c r="C17" i="25"/>
  <c r="E17" i="25"/>
  <c r="E121" i="25"/>
  <c r="C121" i="25"/>
  <c r="H271" i="25"/>
  <c r="E271" i="25"/>
  <c r="C271" i="25"/>
  <c r="E85" i="25"/>
  <c r="C85" i="25"/>
  <c r="C90" i="25"/>
  <c r="E90" i="25"/>
  <c r="E41" i="25"/>
  <c r="C41" i="25"/>
  <c r="E167" i="25"/>
  <c r="C167" i="25"/>
  <c r="E74" i="25"/>
  <c r="C74" i="25"/>
  <c r="E58" i="25"/>
  <c r="C58" i="25"/>
  <c r="E92" i="25"/>
  <c r="C92" i="25"/>
  <c r="C169" i="25"/>
  <c r="E169" i="25"/>
  <c r="C223" i="25"/>
  <c r="E223" i="25"/>
  <c r="C162" i="25"/>
  <c r="E162" i="25"/>
  <c r="C198" i="25"/>
  <c r="E198" i="25"/>
  <c r="C234" i="25"/>
  <c r="E234" i="25"/>
  <c r="C270" i="25"/>
  <c r="E270" i="25"/>
  <c r="E101" i="25"/>
  <c r="C101" i="25"/>
  <c r="G93" i="25"/>
  <c r="E32" i="25"/>
  <c r="C32" i="25"/>
  <c r="E238" i="25"/>
  <c r="C238" i="25"/>
  <c r="E200" i="25"/>
  <c r="C200" i="25"/>
  <c r="E26" i="25"/>
  <c r="C26" i="25"/>
  <c r="C111" i="25"/>
  <c r="E111" i="25"/>
  <c r="E140" i="25"/>
  <c r="C140" i="25"/>
  <c r="E44" i="25"/>
  <c r="C44" i="25"/>
  <c r="E218" i="25"/>
  <c r="C218" i="25"/>
  <c r="C99" i="25"/>
  <c r="E99" i="25"/>
  <c r="E260" i="25"/>
  <c r="C260" i="25"/>
  <c r="E95" i="25"/>
  <c r="C95" i="25"/>
  <c r="E262" i="25"/>
  <c r="C262" i="25"/>
  <c r="E73" i="25"/>
  <c r="C73" i="25"/>
  <c r="E77" i="25"/>
  <c r="C77" i="25"/>
  <c r="E45" i="25"/>
  <c r="C45" i="25"/>
  <c r="E83" i="25"/>
  <c r="C83" i="25"/>
  <c r="E79" i="25"/>
  <c r="C79" i="25"/>
  <c r="E70" i="25"/>
  <c r="C70" i="25"/>
  <c r="E104" i="25"/>
  <c r="C104" i="25"/>
  <c r="E173" i="25"/>
  <c r="C173" i="25"/>
  <c r="E227" i="25"/>
  <c r="C227" i="25"/>
  <c r="C129" i="25"/>
  <c r="E129" i="25"/>
  <c r="C165" i="25"/>
  <c r="E165" i="25"/>
  <c r="C201" i="25"/>
  <c r="E201" i="25"/>
  <c r="C237" i="25"/>
  <c r="E237" i="25"/>
  <c r="G266" i="25"/>
  <c r="C193" i="27"/>
  <c r="E193" i="27"/>
  <c r="E72" i="27"/>
  <c r="C72" i="27"/>
  <c r="C212" i="27"/>
  <c r="E212" i="27"/>
  <c r="E270" i="27"/>
  <c r="C270" i="27"/>
  <c r="C166" i="27"/>
  <c r="E166" i="27"/>
  <c r="C203" i="27"/>
  <c r="E203" i="27"/>
  <c r="C95" i="27"/>
  <c r="E95" i="27"/>
  <c r="E261" i="27"/>
  <c r="C261" i="27"/>
  <c r="E153" i="27"/>
  <c r="C153" i="27"/>
  <c r="E45" i="27"/>
  <c r="C45" i="27"/>
  <c r="C157" i="27"/>
  <c r="E157" i="27"/>
  <c r="C49" i="27"/>
  <c r="E49" i="27"/>
  <c r="C224" i="27"/>
  <c r="E224" i="27"/>
  <c r="C239" i="27"/>
  <c r="E239" i="27"/>
  <c r="C122" i="27"/>
  <c r="E122" i="27"/>
  <c r="C76" i="27"/>
  <c r="E76" i="27"/>
  <c r="C221" i="27"/>
  <c r="E221" i="27"/>
  <c r="C242" i="27"/>
  <c r="E242" i="27"/>
  <c r="C194" i="27"/>
  <c r="E194" i="27"/>
  <c r="C256" i="27"/>
  <c r="E256" i="27"/>
  <c r="E171" i="27"/>
  <c r="C171" i="27"/>
  <c r="E162" i="27"/>
  <c r="C162" i="27"/>
  <c r="C86" i="27"/>
  <c r="E86" i="27"/>
  <c r="E252" i="27"/>
  <c r="C252" i="27"/>
  <c r="C185" i="27"/>
  <c r="E185" i="27"/>
  <c r="C77" i="27"/>
  <c r="E77" i="27"/>
  <c r="E243" i="27"/>
  <c r="C243" i="27"/>
  <c r="E135" i="27"/>
  <c r="C135" i="27"/>
  <c r="E30" i="27"/>
  <c r="C30" i="27"/>
  <c r="C247" i="27"/>
  <c r="E247" i="27"/>
  <c r="C139" i="27"/>
  <c r="E139" i="27"/>
  <c r="C260" i="27"/>
  <c r="E260" i="27"/>
  <c r="C113" i="27"/>
  <c r="E113" i="27"/>
  <c r="E63" i="27"/>
  <c r="C63" i="27"/>
  <c r="C104" i="27"/>
  <c r="E104" i="27"/>
  <c r="E54" i="27"/>
  <c r="C54" i="27"/>
  <c r="C58" i="27"/>
  <c r="E58" i="27"/>
  <c r="E144" i="27"/>
  <c r="C144" i="27"/>
  <c r="C148" i="27"/>
  <c r="E148" i="27"/>
  <c r="C176" i="27"/>
  <c r="E176" i="27"/>
  <c r="C68" i="27"/>
  <c r="E68" i="27"/>
  <c r="E234" i="27"/>
  <c r="C234" i="27"/>
  <c r="E126" i="27"/>
  <c r="C126" i="27"/>
  <c r="C238" i="27"/>
  <c r="E238" i="27"/>
  <c r="C130" i="27"/>
  <c r="E130" i="27"/>
  <c r="C85" i="27"/>
  <c r="E85" i="27"/>
  <c r="C167" i="27"/>
  <c r="E167" i="27"/>
  <c r="C59" i="27"/>
  <c r="E59" i="27"/>
  <c r="E225" i="27"/>
  <c r="C225" i="27"/>
  <c r="E117" i="27"/>
  <c r="C117" i="27"/>
  <c r="H271" i="27"/>
  <c r="E271" i="27"/>
  <c r="C271" i="27"/>
  <c r="C229" i="27"/>
  <c r="E229" i="27"/>
  <c r="C121" i="27"/>
  <c r="E121" i="27"/>
  <c r="E189" i="27"/>
  <c r="C189" i="27"/>
  <c r="C175" i="27"/>
  <c r="E175" i="27"/>
  <c r="C266" i="27"/>
  <c r="E266" i="27"/>
  <c r="C158" i="27"/>
  <c r="E158" i="27"/>
  <c r="C50" i="27"/>
  <c r="E50" i="27"/>
  <c r="E216" i="27"/>
  <c r="C216" i="27"/>
  <c r="E108" i="27"/>
  <c r="C108" i="27"/>
  <c r="G272" i="27"/>
  <c r="C220" i="27"/>
  <c r="E220" i="27"/>
  <c r="C112" i="27"/>
  <c r="E112" i="27"/>
  <c r="C131" i="27"/>
  <c r="E131" i="27"/>
  <c r="E81" i="27"/>
  <c r="C81" i="27"/>
  <c r="C230" i="27"/>
  <c r="E230" i="27"/>
  <c r="E180" i="27"/>
  <c r="C180" i="27"/>
  <c r="C184" i="27"/>
  <c r="E184" i="27"/>
  <c r="E251" i="27"/>
  <c r="C251" i="27"/>
  <c r="C67" i="27"/>
  <c r="E67" i="27"/>
  <c r="C233" i="27"/>
  <c r="E233" i="27"/>
  <c r="C149" i="27"/>
  <c r="E149" i="27"/>
  <c r="C41" i="27"/>
  <c r="E41" i="27"/>
  <c r="C23" i="27"/>
  <c r="E23" i="27"/>
  <c r="C257" i="27"/>
  <c r="E257" i="27"/>
  <c r="E207" i="27"/>
  <c r="C207" i="27"/>
  <c r="E99" i="27"/>
  <c r="C99" i="27"/>
  <c r="C211" i="27"/>
  <c r="E211" i="27"/>
  <c r="C103" i="27"/>
  <c r="E103" i="27"/>
  <c r="C248" i="27"/>
  <c r="E248" i="27"/>
  <c r="C140" i="27"/>
  <c r="E140" i="27"/>
  <c r="C34" i="27"/>
  <c r="E34" i="27"/>
  <c r="E198" i="27"/>
  <c r="C198" i="27"/>
  <c r="E90" i="27"/>
  <c r="C90" i="27"/>
  <c r="C202" i="27"/>
  <c r="E202" i="27"/>
  <c r="C94" i="27"/>
  <c r="E94" i="27"/>
  <c r="C269" i="27"/>
  <c r="E269" i="27"/>
  <c r="E212" i="26"/>
  <c r="C212" i="26"/>
  <c r="G212" i="26" s="1"/>
  <c r="C250" i="26"/>
  <c r="E250" i="26"/>
  <c r="C156" i="26"/>
  <c r="E156" i="26"/>
  <c r="C149" i="26"/>
  <c r="E149" i="26"/>
  <c r="C267" i="26"/>
  <c r="E267" i="26"/>
  <c r="E35" i="26"/>
  <c r="C35" i="26"/>
  <c r="C142" i="26"/>
  <c r="E142" i="26"/>
  <c r="C120" i="26"/>
  <c r="E120" i="26"/>
  <c r="E253" i="26"/>
  <c r="C253" i="26"/>
  <c r="C198" i="26"/>
  <c r="E198" i="26"/>
  <c r="E79" i="26"/>
  <c r="C79" i="26"/>
  <c r="E235" i="26"/>
  <c r="C235" i="26"/>
  <c r="E84" i="26"/>
  <c r="C84" i="26"/>
  <c r="G84" i="26" s="1"/>
  <c r="C228" i="26"/>
  <c r="E228" i="26"/>
  <c r="C257" i="26"/>
  <c r="E257" i="26"/>
  <c r="C195" i="26"/>
  <c r="E195" i="26"/>
  <c r="E54" i="26"/>
  <c r="C54" i="26"/>
  <c r="G54" i="26" s="1"/>
  <c r="C234" i="26"/>
  <c r="E234" i="26"/>
  <c r="G269" i="26"/>
  <c r="E152" i="26"/>
  <c r="C152" i="26"/>
  <c r="C29" i="26"/>
  <c r="E29" i="26"/>
  <c r="C93" i="26"/>
  <c r="E93" i="26"/>
  <c r="E259" i="26"/>
  <c r="C259" i="26"/>
  <c r="C208" i="26"/>
  <c r="E208" i="26"/>
  <c r="E74" i="26"/>
  <c r="C74" i="26"/>
  <c r="C178" i="26"/>
  <c r="E178" i="26"/>
  <c r="C168" i="26"/>
  <c r="E168" i="26"/>
  <c r="C190" i="26"/>
  <c r="E190" i="26"/>
  <c r="E176" i="26"/>
  <c r="C176" i="26"/>
  <c r="E22" i="26"/>
  <c r="C22" i="26"/>
  <c r="E220" i="26"/>
  <c r="C220" i="26"/>
  <c r="C185" i="26"/>
  <c r="E185" i="26"/>
  <c r="C63" i="26"/>
  <c r="E63" i="26"/>
  <c r="C135" i="26"/>
  <c r="E135" i="26"/>
  <c r="C243" i="26"/>
  <c r="E243" i="26"/>
  <c r="E241" i="26"/>
  <c r="C241" i="26"/>
  <c r="C172" i="26"/>
  <c r="E172" i="26"/>
  <c r="H271" i="26"/>
  <c r="E271" i="26"/>
  <c r="C271" i="26"/>
  <c r="E139" i="26"/>
  <c r="C139" i="26"/>
  <c r="E44" i="26"/>
  <c r="C44" i="26"/>
  <c r="E58" i="26"/>
  <c r="C58" i="26"/>
  <c r="E181" i="26"/>
  <c r="C181" i="26"/>
  <c r="E19" i="26"/>
  <c r="C19" i="26"/>
  <c r="C88" i="26"/>
  <c r="E88" i="26"/>
  <c r="C196" i="26"/>
  <c r="E196" i="26"/>
  <c r="E30" i="26"/>
  <c r="C30" i="26"/>
  <c r="E66" i="26"/>
  <c r="C66" i="26"/>
  <c r="C102" i="26"/>
  <c r="E102" i="26"/>
  <c r="C138" i="26"/>
  <c r="E138" i="26"/>
  <c r="C174" i="26"/>
  <c r="E174" i="26"/>
  <c r="C210" i="26"/>
  <c r="E210" i="26"/>
  <c r="C246" i="26"/>
  <c r="E246" i="26"/>
  <c r="E17" i="26"/>
  <c r="C17" i="26"/>
  <c r="E25" i="26"/>
  <c r="C25" i="26"/>
  <c r="E51" i="26"/>
  <c r="C51" i="26"/>
  <c r="G51" i="26" s="1"/>
  <c r="C159" i="26"/>
  <c r="E159" i="26"/>
  <c r="C160" i="26"/>
  <c r="E160" i="26"/>
  <c r="C126" i="26"/>
  <c r="E126" i="26"/>
  <c r="E41" i="26"/>
  <c r="C41" i="26"/>
  <c r="E61" i="26"/>
  <c r="C61" i="26"/>
  <c r="E57" i="26"/>
  <c r="C57" i="26"/>
  <c r="G57" i="26" s="1"/>
  <c r="E218" i="26"/>
  <c r="C218" i="26"/>
  <c r="C52" i="26"/>
  <c r="E52" i="26"/>
  <c r="E60" i="26"/>
  <c r="C60" i="26"/>
  <c r="C204" i="26"/>
  <c r="E204" i="26"/>
  <c r="C240" i="26"/>
  <c r="E240" i="26"/>
  <c r="C171" i="26"/>
  <c r="E171" i="26"/>
  <c r="E166" i="26"/>
  <c r="C166" i="26"/>
  <c r="E187" i="26"/>
  <c r="C187" i="26"/>
  <c r="E188" i="26"/>
  <c r="C188" i="26"/>
  <c r="C95" i="26"/>
  <c r="E95" i="26"/>
  <c r="E69" i="26"/>
  <c r="C69" i="26"/>
  <c r="C105" i="26"/>
  <c r="E105" i="26"/>
  <c r="C141" i="26"/>
  <c r="E141" i="26"/>
  <c r="C177" i="26"/>
  <c r="E177" i="26"/>
  <c r="C249" i="26"/>
  <c r="E249" i="26"/>
  <c r="E73" i="26"/>
  <c r="C73" i="26"/>
  <c r="C107" i="26"/>
  <c r="E107" i="26"/>
  <c r="E238" i="26"/>
  <c r="C238" i="26"/>
  <c r="C192" i="26"/>
  <c r="E192" i="26"/>
  <c r="E245" i="26"/>
  <c r="C245" i="26"/>
  <c r="E145" i="26"/>
  <c r="C145" i="26"/>
  <c r="C162" i="26"/>
  <c r="E162" i="26"/>
  <c r="C21" i="26"/>
  <c r="E21" i="26"/>
  <c r="C165" i="26"/>
  <c r="E165" i="26"/>
  <c r="C201" i="26"/>
  <c r="E201" i="26"/>
  <c r="E194" i="26"/>
  <c r="C194" i="26"/>
  <c r="E268" i="26"/>
  <c r="C268" i="26"/>
  <c r="C96" i="26"/>
  <c r="E96" i="26"/>
  <c r="C203" i="26"/>
  <c r="E203" i="26"/>
  <c r="E128" i="26"/>
  <c r="C128" i="26"/>
  <c r="G128" i="26" s="1"/>
  <c r="C106" i="26"/>
  <c r="E106" i="26"/>
  <c r="C252" i="26"/>
  <c r="E252" i="26"/>
  <c r="E127" i="26"/>
  <c r="C127" i="26"/>
  <c r="E48" i="26"/>
  <c r="C48" i="26"/>
  <c r="C264" i="26"/>
  <c r="E264" i="26"/>
  <c r="E134" i="26"/>
  <c r="C134" i="26"/>
  <c r="G134" i="26" s="1"/>
  <c r="E87" i="26"/>
  <c r="C87" i="26"/>
  <c r="C231" i="26"/>
  <c r="E231" i="26"/>
  <c r="C76" i="26"/>
  <c r="E76" i="26"/>
  <c r="E38" i="26"/>
  <c r="C38" i="26"/>
  <c r="C270" i="26"/>
  <c r="E270" i="26"/>
  <c r="E260" i="26"/>
  <c r="C260" i="26"/>
  <c r="C167" i="26"/>
  <c r="E167" i="26"/>
  <c r="C129" i="26"/>
  <c r="E129" i="26"/>
  <c r="C237" i="26"/>
  <c r="E237" i="26"/>
  <c r="E262" i="26"/>
  <c r="C262" i="26"/>
  <c r="E163" i="26"/>
  <c r="C163" i="26"/>
  <c r="E24" i="26"/>
  <c r="C24" i="26"/>
  <c r="C132" i="26"/>
  <c r="E132" i="26"/>
  <c r="C122" i="26"/>
  <c r="E122" i="26"/>
  <c r="E205" i="26"/>
  <c r="C205" i="26"/>
  <c r="E170" i="26"/>
  <c r="C170" i="26"/>
  <c r="C65" i="26"/>
  <c r="E65" i="26"/>
  <c r="C27" i="26"/>
  <c r="E27" i="26"/>
  <c r="C99" i="26"/>
  <c r="E99" i="26"/>
  <c r="C207" i="26"/>
  <c r="E207" i="26"/>
  <c r="E244" i="26"/>
  <c r="C244" i="26"/>
  <c r="E133" i="26"/>
  <c r="C133" i="26"/>
  <c r="E71" i="26"/>
  <c r="C71" i="26"/>
  <c r="E32" i="26"/>
  <c r="C32" i="26"/>
  <c r="G32" i="26" s="1"/>
  <c r="C33" i="26"/>
  <c r="E33" i="26"/>
  <c r="C213" i="26"/>
  <c r="E213" i="26"/>
  <c r="C161" i="26"/>
  <c r="E161" i="26"/>
  <c r="E226" i="26"/>
  <c r="C226" i="26"/>
  <c r="E20" i="26"/>
  <c r="C20" i="26"/>
  <c r="E91" i="26"/>
  <c r="C91" i="26"/>
  <c r="G91" i="26" s="1"/>
  <c r="E199" i="26"/>
  <c r="C199" i="26"/>
  <c r="E55" i="26"/>
  <c r="C55" i="26"/>
  <c r="C214" i="26"/>
  <c r="E214" i="26"/>
  <c r="C36" i="26"/>
  <c r="E36" i="26"/>
  <c r="E72" i="26"/>
  <c r="C72" i="26"/>
  <c r="C108" i="26"/>
  <c r="E108" i="26"/>
  <c r="C144" i="26"/>
  <c r="E144" i="26"/>
  <c r="C180" i="26"/>
  <c r="E180" i="26"/>
  <c r="C216" i="26"/>
  <c r="E216" i="26"/>
  <c r="E211" i="26"/>
  <c r="C211" i="26"/>
  <c r="E155" i="26"/>
  <c r="C155" i="26"/>
  <c r="E80" i="26"/>
  <c r="C80" i="26"/>
  <c r="G80" i="26" s="1"/>
  <c r="E70" i="26"/>
  <c r="C70" i="26"/>
  <c r="E202" i="26"/>
  <c r="C202" i="26"/>
  <c r="E98" i="26"/>
  <c r="C98" i="26"/>
  <c r="E206" i="26"/>
  <c r="C206" i="26"/>
  <c r="E68" i="26"/>
  <c r="C68" i="26"/>
  <c r="C113" i="26"/>
  <c r="E113" i="26"/>
  <c r="C221" i="26"/>
  <c r="E221" i="26"/>
  <c r="C39" i="26"/>
  <c r="E39" i="26"/>
  <c r="C75" i="26"/>
  <c r="E75" i="26"/>
  <c r="C111" i="26"/>
  <c r="E111" i="26"/>
  <c r="C147" i="26"/>
  <c r="E147" i="26"/>
  <c r="C183" i="26"/>
  <c r="E183" i="26"/>
  <c r="C219" i="26"/>
  <c r="E219" i="26"/>
  <c r="C255" i="26"/>
  <c r="E255" i="26"/>
  <c r="C49" i="26"/>
  <c r="E49" i="26"/>
  <c r="E256" i="26"/>
  <c r="C256" i="26"/>
  <c r="E101" i="26"/>
  <c r="C101" i="26"/>
  <c r="E242" i="26"/>
  <c r="C242" i="26"/>
  <c r="C123" i="26"/>
  <c r="E123" i="26"/>
  <c r="C90" i="26"/>
  <c r="E90" i="26"/>
  <c r="C118" i="26"/>
  <c r="E118" i="26"/>
  <c r="E56" i="26"/>
  <c r="C56" i="26"/>
  <c r="E46" i="26"/>
  <c r="C46" i="26"/>
  <c r="E209" i="26"/>
  <c r="C209" i="26"/>
  <c r="G209" i="26" s="1"/>
  <c r="E109" i="26"/>
  <c r="C109" i="26"/>
  <c r="E217" i="26"/>
  <c r="C217" i="26"/>
  <c r="G272" i="26"/>
  <c r="C124" i="26"/>
  <c r="E124" i="26"/>
  <c r="C232" i="26"/>
  <c r="E232" i="26"/>
  <c r="E42" i="26"/>
  <c r="C42" i="26"/>
  <c r="E78" i="26"/>
  <c r="C78" i="26"/>
  <c r="C114" i="26"/>
  <c r="E114" i="26"/>
  <c r="C150" i="26"/>
  <c r="E150" i="26"/>
  <c r="C186" i="26"/>
  <c r="E186" i="26"/>
  <c r="C222" i="26"/>
  <c r="E222" i="26"/>
  <c r="C258" i="26"/>
  <c r="E258" i="26"/>
  <c r="E112" i="26"/>
  <c r="C112" i="26"/>
  <c r="E31" i="26"/>
  <c r="C31" i="26"/>
  <c r="G31" i="26" s="1"/>
  <c r="E227" i="26"/>
  <c r="C227" i="26"/>
  <c r="E116" i="26"/>
  <c r="C116" i="26"/>
  <c r="E224" i="26"/>
  <c r="C224" i="26"/>
  <c r="E184" i="26"/>
  <c r="C184" i="26"/>
  <c r="C131" i="26"/>
  <c r="E131" i="26"/>
  <c r="C239" i="26"/>
  <c r="E239" i="26"/>
  <c r="E45" i="26"/>
  <c r="C45" i="26"/>
  <c r="E81" i="26"/>
  <c r="C81" i="26"/>
  <c r="C117" i="26"/>
  <c r="E117" i="26"/>
  <c r="C153" i="26"/>
  <c r="E153" i="26"/>
  <c r="C189" i="26"/>
  <c r="E189" i="26"/>
  <c r="C225" i="26"/>
  <c r="E225" i="26"/>
  <c r="C261" i="26"/>
  <c r="E261" i="26"/>
  <c r="G120" i="27" l="1"/>
  <c r="G129" i="27"/>
  <c r="G48" i="27"/>
  <c r="G207" i="27"/>
  <c r="G63" i="27"/>
  <c r="G135" i="27"/>
  <c r="G162" i="27"/>
  <c r="G45" i="27"/>
  <c r="G270" i="27"/>
  <c r="G228" i="27"/>
  <c r="G174" i="27"/>
  <c r="G93" i="27"/>
  <c r="G56" i="27"/>
  <c r="G246" i="27"/>
  <c r="G219" i="27"/>
  <c r="G264" i="27"/>
  <c r="G213" i="27"/>
  <c r="G201" i="27"/>
  <c r="G128" i="27"/>
  <c r="G210" i="27"/>
  <c r="G263" i="27"/>
  <c r="G245" i="27"/>
  <c r="G116" i="27"/>
  <c r="G179" i="27"/>
  <c r="G37" i="30"/>
  <c r="G233" i="30"/>
  <c r="G122" i="30"/>
  <c r="G112" i="30"/>
  <c r="G91" i="30"/>
  <c r="G52" i="30"/>
  <c r="G163" i="30"/>
  <c r="G142" i="30"/>
  <c r="G78" i="30"/>
  <c r="G177" i="30"/>
  <c r="G69" i="30"/>
  <c r="G127" i="30"/>
  <c r="G82" i="30"/>
  <c r="G254" i="30"/>
  <c r="G95" i="30"/>
  <c r="G196" i="30"/>
  <c r="G38" i="30"/>
  <c r="G143" i="30"/>
  <c r="G98" i="30"/>
  <c r="G242" i="30"/>
  <c r="G245" i="30"/>
  <c r="G60" i="30"/>
  <c r="G98" i="35"/>
  <c r="G166" i="35"/>
  <c r="G45" i="35"/>
  <c r="G73" i="35"/>
  <c r="G230" i="35"/>
  <c r="G214" i="35"/>
  <c r="G69" i="35"/>
  <c r="G19" i="35"/>
  <c r="G66" i="35"/>
  <c r="G185" i="35"/>
  <c r="G27" i="35"/>
  <c r="G24" i="35"/>
  <c r="G20" i="35"/>
  <c r="G217" i="35"/>
  <c r="G124" i="35"/>
  <c r="G121" i="35"/>
  <c r="G120" i="35"/>
  <c r="G82" i="35"/>
  <c r="G265" i="35"/>
  <c r="G145" i="35"/>
  <c r="G48" i="35"/>
  <c r="G206" i="35"/>
  <c r="G269" i="35"/>
  <c r="G68" i="35"/>
  <c r="G40" i="35"/>
  <c r="G36" i="35"/>
  <c r="G110" i="35"/>
  <c r="G122" i="35"/>
  <c r="G142" i="35"/>
  <c r="G99" i="35"/>
  <c r="G96" i="35"/>
  <c r="G164" i="35"/>
  <c r="G56" i="35"/>
  <c r="G157" i="35"/>
  <c r="G241" i="35"/>
  <c r="G38" i="35"/>
  <c r="G22" i="35"/>
  <c r="G193" i="35"/>
  <c r="G17" i="35"/>
  <c r="G61" i="35"/>
  <c r="G232" i="35"/>
  <c r="G256" i="35"/>
  <c r="G95" i="35"/>
  <c r="G92" i="35"/>
  <c r="G58" i="35"/>
  <c r="G85" i="35"/>
  <c r="G220" i="35"/>
  <c r="G244" i="35"/>
  <c r="G184" i="35"/>
  <c r="G25" i="35"/>
  <c r="G26" i="35"/>
  <c r="G204" i="34"/>
  <c r="G56" i="34"/>
  <c r="G165" i="34"/>
  <c r="G116" i="34"/>
  <c r="G65" i="34"/>
  <c r="G173" i="34"/>
  <c r="G202" i="34"/>
  <c r="G214" i="34"/>
  <c r="G85" i="34"/>
  <c r="G40" i="34"/>
  <c r="G141" i="34"/>
  <c r="G127" i="34"/>
  <c r="G66" i="34"/>
  <c r="G98" i="34"/>
  <c r="G44" i="34"/>
  <c r="G155" i="34"/>
  <c r="G39" i="34"/>
  <c r="G197" i="34"/>
  <c r="G215" i="34"/>
  <c r="G122" i="34"/>
  <c r="G170" i="34"/>
  <c r="G33" i="34"/>
  <c r="G103" i="37"/>
  <c r="G148" i="37"/>
  <c r="G202" i="37"/>
  <c r="G121" i="37"/>
  <c r="G61" i="37"/>
  <c r="G230" i="37"/>
  <c r="G29" i="37"/>
  <c r="G201" i="37"/>
  <c r="G234" i="37"/>
  <c r="G200" i="37"/>
  <c r="G145" i="37"/>
  <c r="G211" i="37"/>
  <c r="G139" i="37"/>
  <c r="G68" i="37"/>
  <c r="G22" i="37"/>
  <c r="G194" i="37"/>
  <c r="G59" i="37"/>
  <c r="G114" i="37"/>
  <c r="G219" i="37"/>
  <c r="G252" i="37"/>
  <c r="G207" i="37"/>
  <c r="G141" i="37"/>
  <c r="G210" i="37"/>
  <c r="G132" i="37"/>
  <c r="G165" i="37"/>
  <c r="G198" i="37"/>
  <c r="G136" i="37"/>
  <c r="G164" i="37"/>
  <c r="G184" i="37"/>
  <c r="G18" i="37"/>
  <c r="G37" i="37"/>
  <c r="G44" i="37"/>
  <c r="G78" i="37"/>
  <c r="G40" i="37"/>
  <c r="G183" i="37"/>
  <c r="G216" i="37"/>
  <c r="G84" i="37"/>
  <c r="G105" i="37"/>
  <c r="G174" i="37"/>
  <c r="G264" i="37"/>
  <c r="G96" i="37"/>
  <c r="G129" i="37"/>
  <c r="G162" i="37"/>
  <c r="G55" i="37"/>
  <c r="G97" i="37"/>
  <c r="G28" i="37"/>
  <c r="G81" i="37"/>
  <c r="G267" i="37"/>
  <c r="G87" i="37"/>
  <c r="G109" i="37"/>
  <c r="G76" i="37"/>
  <c r="G122" i="37"/>
  <c r="G271" i="37"/>
  <c r="G92" i="37"/>
  <c r="G263" i="37"/>
  <c r="G178" i="37"/>
  <c r="G152" i="37"/>
  <c r="G181" i="37"/>
  <c r="G185" i="37"/>
  <c r="G17" i="37"/>
  <c r="G33" i="37"/>
  <c r="G106" i="37"/>
  <c r="G143" i="37"/>
  <c r="G208" i="37"/>
  <c r="G24" i="37"/>
  <c r="G124" i="37"/>
  <c r="G197" i="37"/>
  <c r="G98" i="37"/>
  <c r="G233" i="37"/>
  <c r="G95" i="37"/>
  <c r="G261" i="37"/>
  <c r="G227" i="37"/>
  <c r="G52" i="37"/>
  <c r="G160" i="37"/>
  <c r="G116" i="37"/>
  <c r="G125" i="37"/>
  <c r="G149" i="37"/>
  <c r="G190" i="37"/>
  <c r="G254" i="37"/>
  <c r="G205" i="37"/>
  <c r="G269" i="37"/>
  <c r="G107" i="37"/>
  <c r="G248" i="37"/>
  <c r="G245" i="37"/>
  <c r="G232" i="37"/>
  <c r="G21" i="37"/>
  <c r="G133" i="37"/>
  <c r="G142" i="37"/>
  <c r="G225" i="37"/>
  <c r="G191" i="37"/>
  <c r="G70" i="37"/>
  <c r="G176" i="37"/>
  <c r="G39" i="37"/>
  <c r="G94" i="37"/>
  <c r="G154" i="37"/>
  <c r="G113" i="37"/>
  <c r="G218" i="37"/>
  <c r="G80" i="37"/>
  <c r="G30" i="37"/>
  <c r="G112" i="37"/>
  <c r="G104" i="37"/>
  <c r="G209" i="37"/>
  <c r="G89" i="37"/>
  <c r="G242" i="37"/>
  <c r="G241" i="37"/>
  <c r="G239" i="37"/>
  <c r="G250" i="37"/>
  <c r="G231" i="37"/>
  <c r="G189" i="37"/>
  <c r="G161" i="37"/>
  <c r="G155" i="37"/>
  <c r="G172" i="37"/>
  <c r="G140" i="37"/>
  <c r="G260" i="37"/>
  <c r="G187" i="37"/>
  <c r="G212" i="37"/>
  <c r="G36" i="37"/>
  <c r="G100" i="37"/>
  <c r="G182" i="37"/>
  <c r="G20" i="37"/>
  <c r="G251" i="37"/>
  <c r="G214" i="37"/>
  <c r="G173" i="37"/>
  <c r="G85" i="37"/>
  <c r="G206" i="37"/>
  <c r="G127" i="37"/>
  <c r="G203" i="37"/>
  <c r="G195" i="37"/>
  <c r="G153" i="37"/>
  <c r="G262" i="37"/>
  <c r="G119" i="37"/>
  <c r="G223" i="37"/>
  <c r="G224" i="37"/>
  <c r="G62" i="37"/>
  <c r="G118" i="37"/>
  <c r="G257" i="37"/>
  <c r="G196" i="37"/>
  <c r="G146" i="37"/>
  <c r="G199" i="37"/>
  <c r="G215" i="37"/>
  <c r="G26" i="37"/>
  <c r="G137" i="37"/>
  <c r="G226" i="37"/>
  <c r="G170" i="37"/>
  <c r="G235" i="37"/>
  <c r="G167" i="37"/>
  <c r="G159" i="37"/>
  <c r="G120" i="37"/>
  <c r="G117" i="37"/>
  <c r="G42" i="37"/>
  <c r="G217" i="37"/>
  <c r="G188" i="37"/>
  <c r="G77" i="37"/>
  <c r="G56" i="37"/>
  <c r="G221" i="37"/>
  <c r="G73" i="37"/>
  <c r="G19" i="37"/>
  <c r="G110" i="37"/>
  <c r="G179" i="37"/>
  <c r="G43" i="37"/>
  <c r="G46" i="37"/>
  <c r="G101" i="37"/>
  <c r="G253" i="37"/>
  <c r="G134" i="37"/>
  <c r="G23" i="37"/>
  <c r="G131" i="37"/>
  <c r="G123" i="37"/>
  <c r="G61" i="36"/>
  <c r="G97" i="36"/>
  <c r="G241" i="36"/>
  <c r="G160" i="36"/>
  <c r="G263" i="36"/>
  <c r="G55" i="36"/>
  <c r="G75" i="36"/>
  <c r="G116" i="36"/>
  <c r="G56" i="36"/>
  <c r="G72" i="36"/>
  <c r="G113" i="36"/>
  <c r="G161" i="36"/>
  <c r="G218" i="36"/>
  <c r="G71" i="36"/>
  <c r="G106" i="36"/>
  <c r="G99" i="36"/>
  <c r="G140" i="36"/>
  <c r="G209" i="36"/>
  <c r="G124" i="36"/>
  <c r="G93" i="36"/>
  <c r="G134" i="36"/>
  <c r="G84" i="36"/>
  <c r="G203" i="36"/>
  <c r="G230" i="36"/>
  <c r="G250" i="36"/>
  <c r="G17" i="36"/>
  <c r="G167" i="36"/>
  <c r="G164" i="36"/>
  <c r="G194" i="36"/>
  <c r="G76" i="36"/>
  <c r="G217" i="36"/>
  <c r="G44" i="36"/>
  <c r="G52" i="36"/>
  <c r="G133" i="36"/>
  <c r="G90" i="36"/>
  <c r="G95" i="36"/>
  <c r="G122" i="36"/>
  <c r="G271" i="36"/>
  <c r="G18" i="36"/>
  <c r="G226" i="36"/>
  <c r="G180" i="36"/>
  <c r="G207" i="36"/>
  <c r="G191" i="36"/>
  <c r="G260" i="36"/>
  <c r="G73" i="36"/>
  <c r="G48" i="36"/>
  <c r="G257" i="36"/>
  <c r="G91" i="36"/>
  <c r="G105" i="36"/>
  <c r="G146" i="36"/>
  <c r="G215" i="36"/>
  <c r="G27" i="36"/>
  <c r="G96" i="36"/>
  <c r="G137" i="36"/>
  <c r="G87" i="36"/>
  <c r="G62" i="36"/>
  <c r="G131" i="36"/>
  <c r="G197" i="36"/>
  <c r="G158" i="36"/>
  <c r="G114" i="36"/>
  <c r="G60" i="36"/>
  <c r="G183" i="36"/>
  <c r="G195" i="36"/>
  <c r="G81" i="36"/>
  <c r="G147" i="36"/>
  <c r="G267" i="36"/>
  <c r="G144" i="36"/>
  <c r="G159" i="36"/>
  <c r="G249" i="36"/>
  <c r="G102" i="36"/>
  <c r="G120" i="36"/>
  <c r="G171" i="36"/>
  <c r="G121" i="36"/>
  <c r="G240" i="36"/>
  <c r="G165" i="36"/>
  <c r="G139" i="36"/>
  <c r="G270" i="36"/>
  <c r="G261" i="36"/>
  <c r="G86" i="36"/>
  <c r="G201" i="36"/>
  <c r="G258" i="36"/>
  <c r="G111" i="36"/>
  <c r="G108" i="36"/>
  <c r="G156" i="36"/>
  <c r="G213" i="36"/>
  <c r="G135" i="36"/>
  <c r="G204" i="36"/>
  <c r="G163" i="36"/>
  <c r="G129" i="36"/>
  <c r="G192" i="36"/>
  <c r="G234" i="36"/>
  <c r="G225" i="36"/>
  <c r="G49" i="36"/>
  <c r="G187" i="36"/>
  <c r="G222" i="36"/>
  <c r="G259" i="36"/>
  <c r="G265" i="36"/>
  <c r="G177" i="36"/>
  <c r="G88" i="36"/>
  <c r="G246" i="36"/>
  <c r="G30" i="36"/>
  <c r="G264" i="36"/>
  <c r="G168" i="36"/>
  <c r="G130" i="36"/>
  <c r="G198" i="36"/>
  <c r="G148" i="36"/>
  <c r="G189" i="36"/>
  <c r="G151" i="36"/>
  <c r="G70" i="36"/>
  <c r="G138" i="36"/>
  <c r="G186" i="36"/>
  <c r="G26" i="36"/>
  <c r="G255" i="36"/>
  <c r="G228" i="36"/>
  <c r="G252" i="36"/>
  <c r="G36" i="36"/>
  <c r="G141" i="36"/>
  <c r="G210" i="36"/>
  <c r="G63" i="36"/>
  <c r="G132" i="36"/>
  <c r="G231" i="36"/>
  <c r="G162" i="36"/>
  <c r="G153" i="36"/>
  <c r="G235" i="36"/>
  <c r="G44" i="35"/>
  <c r="G228" i="35"/>
  <c r="G32" i="35"/>
  <c r="G163" i="35"/>
  <c r="G186" i="35"/>
  <c r="G224" i="35"/>
  <c r="G147" i="35"/>
  <c r="G216" i="35"/>
  <c r="G104" i="35"/>
  <c r="G176" i="35"/>
  <c r="G105" i="35"/>
  <c r="G235" i="35"/>
  <c r="G247" i="35"/>
  <c r="G237" i="35"/>
  <c r="G67" i="35"/>
  <c r="G196" i="35"/>
  <c r="G251" i="35"/>
  <c r="G133" i="35"/>
  <c r="G156" i="35"/>
  <c r="G113" i="35"/>
  <c r="G225" i="35"/>
  <c r="G123" i="35"/>
  <c r="G114" i="35"/>
  <c r="G187" i="35"/>
  <c r="G90" i="35"/>
  <c r="G144" i="35"/>
  <c r="G249" i="35"/>
  <c r="G246" i="35"/>
  <c r="G207" i="35"/>
  <c r="G204" i="35"/>
  <c r="G165" i="35"/>
  <c r="G54" i="35"/>
  <c r="G189" i="35"/>
  <c r="G212" i="35"/>
  <c r="G188" i="35"/>
  <c r="G175" i="35"/>
  <c r="G78" i="35"/>
  <c r="G233" i="35"/>
  <c r="G255" i="35"/>
  <c r="G39" i="35"/>
  <c r="G87" i="35"/>
  <c r="G108" i="35"/>
  <c r="G213" i="35"/>
  <c r="G210" i="35"/>
  <c r="G171" i="35"/>
  <c r="G168" i="35"/>
  <c r="G139" i="35"/>
  <c r="G84" i="35"/>
  <c r="G178" i="35"/>
  <c r="G91" i="35"/>
  <c r="G226" i="35"/>
  <c r="G238" i="35"/>
  <c r="G118" i="35"/>
  <c r="G134" i="35"/>
  <c r="G146" i="35"/>
  <c r="G57" i="35"/>
  <c r="G268" i="35"/>
  <c r="G169" i="35"/>
  <c r="G136" i="35"/>
  <c r="G160" i="35"/>
  <c r="G150" i="34"/>
  <c r="G182" i="34"/>
  <c r="G38" i="34"/>
  <c r="G133" i="34"/>
  <c r="G61" i="34"/>
  <c r="G88" i="34"/>
  <c r="G157" i="34"/>
  <c r="G78" i="34"/>
  <c r="G196" i="34"/>
  <c r="G137" i="34"/>
  <c r="G142" i="34"/>
  <c r="G199" i="34"/>
  <c r="G207" i="34"/>
  <c r="G123" i="34"/>
  <c r="G46" i="34"/>
  <c r="G113" i="34"/>
  <c r="G140" i="34"/>
  <c r="G132" i="34"/>
  <c r="G256" i="34"/>
  <c r="G92" i="34"/>
  <c r="G186" i="34"/>
  <c r="G93" i="34"/>
  <c r="G34" i="34"/>
  <c r="G52" i="34"/>
  <c r="G248" i="34"/>
  <c r="G31" i="34"/>
  <c r="G73" i="34"/>
  <c r="G162" i="34"/>
  <c r="G232" i="34"/>
  <c r="G45" i="34"/>
  <c r="G23" i="34"/>
  <c r="G67" i="34"/>
  <c r="G29" i="34"/>
  <c r="G223" i="34"/>
  <c r="G36" i="34"/>
  <c r="G179" i="34"/>
  <c r="G250" i="34"/>
  <c r="G219" i="34"/>
  <c r="G172" i="34"/>
  <c r="G226" i="34"/>
  <c r="G60" i="34"/>
  <c r="G89" i="34"/>
  <c r="G90" i="34"/>
  <c r="G63" i="34"/>
  <c r="G84" i="34"/>
  <c r="G194" i="34"/>
  <c r="G35" i="34"/>
  <c r="G106" i="34"/>
  <c r="G180" i="34"/>
  <c r="G211" i="34"/>
  <c r="G94" i="34"/>
  <c r="G146" i="34"/>
  <c r="G154" i="34"/>
  <c r="G177" i="34"/>
  <c r="G175" i="34"/>
  <c r="G185" i="34"/>
  <c r="G176" i="34"/>
  <c r="G148" i="34"/>
  <c r="G96" i="34"/>
  <c r="G47" i="34"/>
  <c r="G131" i="34"/>
  <c r="G57" i="34"/>
  <c r="G37" i="34"/>
  <c r="G158" i="34"/>
  <c r="G115" i="34"/>
  <c r="G126" i="34"/>
  <c r="G91" i="34"/>
  <c r="G181" i="34"/>
  <c r="G53" i="34"/>
  <c r="G120" i="34"/>
  <c r="G188" i="34"/>
  <c r="G86" i="34"/>
  <c r="G27" i="34"/>
  <c r="G169" i="34"/>
  <c r="G208" i="33"/>
  <c r="G219" i="33"/>
  <c r="G76" i="33"/>
  <c r="G226" i="33"/>
  <c r="G141" i="33"/>
  <c r="G135" i="33"/>
  <c r="G229" i="33"/>
  <c r="G111" i="33"/>
  <c r="G243" i="33"/>
  <c r="G252" i="33"/>
  <c r="G99" i="33"/>
  <c r="G249" i="33"/>
  <c r="G190" i="33"/>
  <c r="G63" i="33"/>
  <c r="G92" i="33"/>
  <c r="G208" i="32"/>
  <c r="G71" i="32"/>
  <c r="G182" i="32"/>
  <c r="G156" i="32"/>
  <c r="G207" i="32"/>
  <c r="G186" i="32"/>
  <c r="G65" i="32"/>
  <c r="G63" i="32"/>
  <c r="G231" i="32"/>
  <c r="G201" i="32"/>
  <c r="G184" i="32"/>
  <c r="G101" i="32"/>
  <c r="G147" i="32"/>
  <c r="G221" i="32"/>
  <c r="G113" i="32"/>
  <c r="G64" i="32"/>
  <c r="G146" i="32"/>
  <c r="G38" i="32"/>
  <c r="G196" i="32"/>
  <c r="G126" i="32"/>
  <c r="G228" i="32"/>
  <c r="G222" i="32"/>
  <c r="G150" i="32"/>
  <c r="G54" i="32"/>
  <c r="G235" i="32"/>
  <c r="G258" i="32"/>
  <c r="G160" i="32"/>
  <c r="G198" i="32"/>
  <c r="G211" i="32"/>
  <c r="G259" i="32"/>
  <c r="G25" i="32"/>
  <c r="G103" i="32"/>
  <c r="G214" i="32"/>
  <c r="G197" i="32"/>
  <c r="G107" i="32"/>
  <c r="G238" i="32"/>
  <c r="G130" i="32"/>
  <c r="G80" i="32"/>
  <c r="G251" i="32"/>
  <c r="G61" i="32"/>
  <c r="G110" i="32"/>
  <c r="G82" i="32"/>
  <c r="G130" i="28"/>
  <c r="G92" i="28"/>
  <c r="G34" i="28"/>
  <c r="G83" i="28"/>
  <c r="G45" i="28"/>
  <c r="G48" i="28"/>
  <c r="G40" i="28"/>
  <c r="G70" i="28"/>
  <c r="G124" i="28"/>
  <c r="G163" i="28"/>
  <c r="G152" i="28"/>
  <c r="G150" i="28"/>
  <c r="G126" i="28"/>
  <c r="G147" i="28"/>
  <c r="G188" i="28"/>
  <c r="G127" i="28"/>
  <c r="G148" i="28"/>
  <c r="G115" i="28"/>
  <c r="G269" i="34"/>
  <c r="G21" i="34"/>
  <c r="G262" i="34"/>
  <c r="G257" i="34"/>
  <c r="G263" i="34"/>
  <c r="G230" i="34"/>
  <c r="G268" i="34"/>
  <c r="G24" i="34"/>
  <c r="G271" i="34"/>
  <c r="G245" i="34"/>
  <c r="G20" i="34"/>
  <c r="G270" i="33"/>
  <c r="G234" i="33"/>
  <c r="G23" i="33"/>
  <c r="G239" i="33"/>
  <c r="G263" i="33"/>
  <c r="G271" i="33"/>
  <c r="G267" i="33"/>
  <c r="G262" i="33"/>
  <c r="G258" i="33"/>
  <c r="G233" i="33"/>
  <c r="G240" i="33"/>
  <c r="G257" i="33"/>
  <c r="G21" i="33"/>
  <c r="G24" i="33"/>
  <c r="G256" i="33"/>
  <c r="G259" i="33"/>
  <c r="G26" i="33"/>
  <c r="G17" i="33"/>
  <c r="G247" i="32"/>
  <c r="G18" i="32"/>
  <c r="G260" i="32"/>
  <c r="G256" i="32"/>
  <c r="G22" i="32"/>
  <c r="G271" i="32"/>
  <c r="G248" i="32"/>
  <c r="G249" i="32"/>
  <c r="G192" i="35"/>
  <c r="G200" i="35"/>
  <c r="G261" i="35"/>
  <c r="G267" i="35"/>
  <c r="G150" i="35"/>
  <c r="G197" i="35"/>
  <c r="G111" i="35"/>
  <c r="G234" i="35"/>
  <c r="G180" i="35"/>
  <c r="G248" i="35"/>
  <c r="G195" i="35"/>
  <c r="G211" i="35"/>
  <c r="G223" i="35"/>
  <c r="G243" i="35"/>
  <c r="G240" i="35"/>
  <c r="G201" i="35"/>
  <c r="G198" i="35"/>
  <c r="G50" i="35"/>
  <c r="G55" i="35"/>
  <c r="G218" i="35"/>
  <c r="G221" i="35"/>
  <c r="G75" i="35"/>
  <c r="G86" i="35"/>
  <c r="G130" i="35"/>
  <c r="G161" i="35"/>
  <c r="G33" i="35"/>
  <c r="G173" i="35"/>
  <c r="G30" i="35"/>
  <c r="G106" i="35"/>
  <c r="G140" i="35"/>
  <c r="G152" i="35"/>
  <c r="G194" i="35"/>
  <c r="G257" i="35"/>
  <c r="G242" i="35"/>
  <c r="G37" i="35"/>
  <c r="G76" i="35"/>
  <c r="G116" i="35"/>
  <c r="G89" i="35"/>
  <c r="G128" i="35"/>
  <c r="G250" i="35"/>
  <c r="G262" i="35"/>
  <c r="G158" i="35"/>
  <c r="G93" i="35"/>
  <c r="G151" i="35"/>
  <c r="G153" i="35"/>
  <c r="G127" i="35"/>
  <c r="G125" i="35"/>
  <c r="G258" i="35"/>
  <c r="G42" i="35"/>
  <c r="G137" i="35"/>
  <c r="G219" i="35"/>
  <c r="G199" i="35"/>
  <c r="G72" i="35"/>
  <c r="G270" i="35"/>
  <c r="G177" i="35"/>
  <c r="G260" i="35"/>
  <c r="G174" i="35"/>
  <c r="G135" i="35"/>
  <c r="G132" i="35"/>
  <c r="G115" i="35"/>
  <c r="G231" i="35"/>
  <c r="G264" i="35"/>
  <c r="G117" i="35"/>
  <c r="G162" i="35"/>
  <c r="G222" i="35"/>
  <c r="G183" i="35"/>
  <c r="G236" i="35"/>
  <c r="G149" i="35"/>
  <c r="G252" i="35"/>
  <c r="G126" i="35"/>
  <c r="G141" i="35"/>
  <c r="G129" i="35"/>
  <c r="G138" i="35"/>
  <c r="G80" i="35"/>
  <c r="G103" i="35"/>
  <c r="G259" i="35"/>
  <c r="G159" i="35"/>
  <c r="G245" i="35"/>
  <c r="G81" i="35"/>
  <c r="G182" i="35"/>
  <c r="G190" i="35"/>
  <c r="G202" i="35"/>
  <c r="G209" i="35"/>
  <c r="G53" i="35"/>
  <c r="G254" i="35"/>
  <c r="G21" i="35"/>
  <c r="G266" i="35"/>
  <c r="G102" i="35"/>
  <c r="G154" i="35"/>
  <c r="G63" i="35"/>
  <c r="G60" i="35"/>
  <c r="G170" i="35"/>
  <c r="G51" i="35"/>
  <c r="G100" i="34"/>
  <c r="G255" i="34"/>
  <c r="G97" i="34"/>
  <c r="G220" i="34"/>
  <c r="G87" i="34"/>
  <c r="G251" i="34"/>
  <c r="G265" i="34"/>
  <c r="G156" i="34"/>
  <c r="G233" i="34"/>
  <c r="G152" i="34"/>
  <c r="G190" i="34"/>
  <c r="G136" i="34"/>
  <c r="G163" i="34"/>
  <c r="G243" i="34"/>
  <c r="G252" i="34"/>
  <c r="G184" i="34"/>
  <c r="G247" i="34"/>
  <c r="G174" i="34"/>
  <c r="G121" i="34"/>
  <c r="G203" i="34"/>
  <c r="G227" i="34"/>
  <c r="G267" i="34"/>
  <c r="G51" i="34"/>
  <c r="G253" i="34"/>
  <c r="G241" i="34"/>
  <c r="G222" i="34"/>
  <c r="G166" i="34"/>
  <c r="G70" i="34"/>
  <c r="G183" i="34"/>
  <c r="G224" i="34"/>
  <c r="G212" i="34"/>
  <c r="G246" i="34"/>
  <c r="G149" i="34"/>
  <c r="G109" i="34"/>
  <c r="G102" i="34"/>
  <c r="G143" i="34"/>
  <c r="G237" i="34"/>
  <c r="G101" i="34"/>
  <c r="G19" i="34"/>
  <c r="G58" i="34"/>
  <c r="G238" i="34"/>
  <c r="G231" i="34"/>
  <c r="G28" i="34"/>
  <c r="G261" i="34"/>
  <c r="G147" i="34"/>
  <c r="G18" i="34"/>
  <c r="G160" i="34"/>
  <c r="G249" i="34"/>
  <c r="G210" i="34"/>
  <c r="G82" i="34"/>
  <c r="G30" i="34"/>
  <c r="G240" i="34"/>
  <c r="G107" i="34"/>
  <c r="G64" i="34"/>
  <c r="G26" i="34"/>
  <c r="G258" i="34"/>
  <c r="G205" i="34"/>
  <c r="G270" i="34"/>
  <c r="G95" i="34"/>
  <c r="G218" i="34"/>
  <c r="G195" i="34"/>
  <c r="G254" i="34"/>
  <c r="G264" i="34"/>
  <c r="G239" i="34"/>
  <c r="G266" i="34"/>
  <c r="G144" i="34"/>
  <c r="G111" i="34"/>
  <c r="G110" i="34"/>
  <c r="G77" i="34"/>
  <c r="G32" i="34"/>
  <c r="G114" i="34"/>
  <c r="G234" i="34"/>
  <c r="G41" i="34"/>
  <c r="G225" i="34"/>
  <c r="G159" i="34"/>
  <c r="G208" i="34"/>
  <c r="G228" i="34"/>
  <c r="G221" i="34"/>
  <c r="G229" i="34"/>
  <c r="G171" i="34"/>
  <c r="G128" i="34"/>
  <c r="G75" i="34"/>
  <c r="G145" i="34"/>
  <c r="G25" i="34"/>
  <c r="G108" i="34"/>
  <c r="G105" i="34"/>
  <c r="G164" i="34"/>
  <c r="G83" i="34"/>
  <c r="G99" i="34"/>
  <c r="G168" i="34"/>
  <c r="G139" i="34"/>
  <c r="G71" i="34"/>
  <c r="G153" i="34"/>
  <c r="G129" i="34"/>
  <c r="G244" i="34"/>
  <c r="G209" i="34"/>
  <c r="G189" i="34"/>
  <c r="G42" i="34"/>
  <c r="G135" i="34"/>
  <c r="G198" i="34"/>
  <c r="G103" i="34"/>
  <c r="G59" i="34"/>
  <c r="G117" i="34"/>
  <c r="G236" i="34"/>
  <c r="G217" i="34"/>
  <c r="G79" i="34"/>
  <c r="G178" i="34"/>
  <c r="G192" i="34"/>
  <c r="G260" i="34"/>
  <c r="G69" i="34"/>
  <c r="G187" i="34"/>
  <c r="G134" i="34"/>
  <c r="G151" i="34"/>
  <c r="G72" i="34"/>
  <c r="G65" i="33"/>
  <c r="G178" i="33"/>
  <c r="G97" i="33"/>
  <c r="G127" i="33"/>
  <c r="G31" i="33"/>
  <c r="G49" i="33"/>
  <c r="G214" i="33"/>
  <c r="G181" i="33"/>
  <c r="G194" i="33"/>
  <c r="G265" i="33"/>
  <c r="G42" i="33"/>
  <c r="G199" i="33"/>
  <c r="G101" i="33"/>
  <c r="G250" i="33"/>
  <c r="G133" i="33"/>
  <c r="G56" i="33"/>
  <c r="G131" i="33"/>
  <c r="G82" i="33"/>
  <c r="G79" i="33"/>
  <c r="G19" i="33"/>
  <c r="G158" i="33"/>
  <c r="G138" i="33"/>
  <c r="G159" i="33"/>
  <c r="G192" i="33"/>
  <c r="G154" i="33"/>
  <c r="G222" i="33"/>
  <c r="G244" i="33"/>
  <c r="G73" i="33"/>
  <c r="G183" i="33"/>
  <c r="G125" i="33"/>
  <c r="G118" i="33"/>
  <c r="G105" i="33"/>
  <c r="G126" i="33"/>
  <c r="G165" i="33"/>
  <c r="G123" i="33"/>
  <c r="G74" i="33"/>
  <c r="G156" i="33"/>
  <c r="G108" i="33"/>
  <c r="G204" i="33"/>
  <c r="G201" i="33"/>
  <c r="G261" i="33"/>
  <c r="G186" i="33"/>
  <c r="G136" i="33"/>
  <c r="G147" i="33"/>
  <c r="G55" i="33"/>
  <c r="G180" i="33"/>
  <c r="G37" i="33"/>
  <c r="G90" i="33"/>
  <c r="G59" i="33"/>
  <c r="G137" i="33"/>
  <c r="G196" i="33"/>
  <c r="G87" i="33"/>
  <c r="G175" i="33"/>
  <c r="G238" i="33"/>
  <c r="G98" i="33"/>
  <c r="G61" i="33"/>
  <c r="G77" i="33"/>
  <c r="G58" i="33"/>
  <c r="G60" i="33"/>
  <c r="G193" i="33"/>
  <c r="G268" i="33"/>
  <c r="G151" i="33"/>
  <c r="G91" i="33"/>
  <c r="G247" i="33"/>
  <c r="G67" i="33"/>
  <c r="G32" i="33"/>
  <c r="G128" i="33"/>
  <c r="G155" i="33"/>
  <c r="G33" i="33"/>
  <c r="G62" i="33"/>
  <c r="G64" i="33"/>
  <c r="G54" i="33"/>
  <c r="G27" i="33"/>
  <c r="G189" i="33"/>
  <c r="G143" i="33"/>
  <c r="G89" i="33"/>
  <c r="G114" i="33"/>
  <c r="G25" i="33"/>
  <c r="G197" i="33"/>
  <c r="G237" i="33"/>
  <c r="G213" i="33"/>
  <c r="G215" i="33"/>
  <c r="G96" i="33"/>
  <c r="G162" i="33"/>
  <c r="G50" i="33"/>
  <c r="G231" i="33"/>
  <c r="G269" i="33"/>
  <c r="G264" i="33"/>
  <c r="G48" i="33"/>
  <c r="G100" i="33"/>
  <c r="G153" i="33"/>
  <c r="G216" i="33"/>
  <c r="G210" i="33"/>
  <c r="G255" i="33"/>
  <c r="G246" i="33"/>
  <c r="G86" i="33"/>
  <c r="G53" i="33"/>
  <c r="G177" i="33"/>
  <c r="G107" i="33"/>
  <c r="G102" i="33"/>
  <c r="G202" i="32"/>
  <c r="G152" i="32"/>
  <c r="G166" i="32"/>
  <c r="G250" i="32"/>
  <c r="G163" i="32"/>
  <c r="G234" i="32"/>
  <c r="G239" i="32"/>
  <c r="G269" i="32"/>
  <c r="G87" i="32"/>
  <c r="G140" i="32"/>
  <c r="G49" i="32"/>
  <c r="G161" i="32"/>
  <c r="G81" i="32"/>
  <c r="G117" i="32"/>
  <c r="G183" i="32"/>
  <c r="G55" i="32"/>
  <c r="G51" i="32"/>
  <c r="G174" i="32"/>
  <c r="G77" i="32"/>
  <c r="G169" i="32"/>
  <c r="G89" i="32"/>
  <c r="G205" i="32"/>
  <c r="G143" i="32"/>
  <c r="G142" i="32"/>
  <c r="G254" i="32"/>
  <c r="G192" i="32"/>
  <c r="G225" i="32"/>
  <c r="G189" i="32"/>
  <c r="G76" i="32"/>
  <c r="G175" i="32"/>
  <c r="G32" i="32"/>
  <c r="G159" i="32"/>
  <c r="G270" i="32"/>
  <c r="G209" i="32"/>
  <c r="G220" i="32"/>
  <c r="G91" i="32"/>
  <c r="G162" i="32"/>
  <c r="G78" i="32"/>
  <c r="G104" i="32"/>
  <c r="G27" i="32"/>
  <c r="G185" i="32"/>
  <c r="G125" i="32"/>
  <c r="G133" i="32"/>
  <c r="G53" i="32"/>
  <c r="G97" i="32"/>
  <c r="G244" i="32"/>
  <c r="G263" i="32"/>
  <c r="G241" i="32"/>
  <c r="G94" i="32"/>
  <c r="G268" i="32"/>
  <c r="G212" i="32"/>
  <c r="G88" i="32"/>
  <c r="G264" i="32"/>
  <c r="G99" i="32"/>
  <c r="G52" i="32"/>
  <c r="G42" i="32"/>
  <c r="G21" i="32"/>
  <c r="G255" i="32"/>
  <c r="G261" i="32"/>
  <c r="G173" i="32"/>
  <c r="G262" i="32"/>
  <c r="G120" i="32"/>
  <c r="G84" i="32"/>
  <c r="G127" i="32"/>
  <c r="G123" i="32"/>
  <c r="G68" i="32"/>
  <c r="G158" i="32"/>
  <c r="G219" i="32"/>
  <c r="G218" i="32"/>
  <c r="G179" i="32"/>
  <c r="G267" i="32"/>
  <c r="G19" i="32"/>
  <c r="G149" i="32"/>
  <c r="G34" i="32"/>
  <c r="G191" i="32"/>
  <c r="G148" i="32"/>
  <c r="G265" i="32"/>
  <c r="G245" i="32"/>
  <c r="G116" i="31"/>
  <c r="G226" i="31"/>
  <c r="G75" i="31"/>
  <c r="G41" i="31"/>
  <c r="G209" i="31"/>
  <c r="G269" i="31"/>
  <c r="G236" i="31"/>
  <c r="G39" i="31"/>
  <c r="G67" i="31"/>
  <c r="G185" i="31"/>
  <c r="G21" i="31"/>
  <c r="G242" i="31"/>
  <c r="G131" i="31"/>
  <c r="G18" i="31"/>
  <c r="G149" i="31"/>
  <c r="G143" i="31"/>
  <c r="G101" i="31"/>
  <c r="G108" i="31"/>
  <c r="G90" i="31"/>
  <c r="G87" i="31"/>
  <c r="G90" i="30"/>
  <c r="G125" i="30"/>
  <c r="G158" i="30"/>
  <c r="G237" i="30"/>
  <c r="G80" i="30"/>
  <c r="G66" i="30"/>
  <c r="G70" i="29"/>
  <c r="G124" i="29"/>
  <c r="G229" i="29"/>
  <c r="G260" i="29"/>
  <c r="G44" i="29"/>
  <c r="G215" i="29"/>
  <c r="G184" i="29"/>
  <c r="G35" i="29"/>
  <c r="G177" i="29"/>
  <c r="G217" i="29"/>
  <c r="G134" i="29"/>
  <c r="G73" i="29"/>
  <c r="G24" i="29"/>
  <c r="G156" i="29"/>
  <c r="G226" i="29"/>
  <c r="G74" i="29"/>
  <c r="G88" i="29"/>
  <c r="G82" i="29"/>
  <c r="G49" i="29"/>
  <c r="G28" i="29"/>
  <c r="G45" i="29"/>
  <c r="G83" i="29"/>
  <c r="G58" i="29"/>
  <c r="G55" i="29"/>
  <c r="G151" i="29"/>
  <c r="G208" i="29"/>
  <c r="G21" i="27"/>
  <c r="G39" i="27"/>
  <c r="G78" i="27"/>
  <c r="G36" i="27"/>
  <c r="G136" i="27"/>
  <c r="G65" i="27"/>
  <c r="G258" i="27"/>
  <c r="G102" i="27"/>
  <c r="G107" i="27"/>
  <c r="G254" i="27"/>
  <c r="G151" i="26"/>
  <c r="G119" i="26"/>
  <c r="G55" i="26"/>
  <c r="G139" i="26"/>
  <c r="G229" i="26"/>
  <c r="G247" i="26"/>
  <c r="G130" i="26"/>
  <c r="G19" i="25"/>
  <c r="G193" i="25"/>
  <c r="G146" i="4"/>
  <c r="G211" i="4"/>
  <c r="G94" i="4"/>
  <c r="G194" i="4"/>
  <c r="G207" i="4"/>
  <c r="G198" i="4"/>
  <c r="G54" i="4"/>
  <c r="G111" i="4"/>
  <c r="G114" i="4"/>
  <c r="G36" i="4"/>
  <c r="G156" i="4"/>
  <c r="G21" i="4"/>
  <c r="G108" i="4"/>
  <c r="G189" i="4"/>
  <c r="G18" i="4"/>
  <c r="G75" i="4"/>
  <c r="G171" i="4"/>
  <c r="G251" i="4"/>
  <c r="G125" i="4"/>
  <c r="G136" i="4"/>
  <c r="G255" i="4"/>
  <c r="G176" i="4"/>
  <c r="G66" i="4"/>
  <c r="G45" i="4"/>
  <c r="G252" i="4"/>
  <c r="G173" i="4"/>
  <c r="G39" i="4"/>
  <c r="G90" i="4"/>
  <c r="G177" i="4"/>
  <c r="G29" i="4"/>
  <c r="G145" i="4"/>
  <c r="G138" i="4"/>
  <c r="G93" i="4"/>
  <c r="G42" i="4"/>
  <c r="G63" i="4"/>
  <c r="G100" i="4"/>
  <c r="G33" i="4"/>
  <c r="G121" i="4"/>
  <c r="G221" i="4"/>
  <c r="G216" i="4"/>
  <c r="G76" i="4"/>
  <c r="G153" i="4"/>
  <c r="G219" i="4"/>
  <c r="G126" i="4"/>
  <c r="G48" i="4"/>
  <c r="G162" i="4"/>
  <c r="G98" i="4"/>
  <c r="G141" i="4"/>
  <c r="G120" i="4"/>
  <c r="G191" i="4"/>
  <c r="G128" i="4"/>
  <c r="G256" i="4"/>
  <c r="G25" i="4"/>
  <c r="G88" i="4"/>
  <c r="G182" i="4"/>
  <c r="G92" i="4"/>
  <c r="G73" i="4"/>
  <c r="G56" i="4"/>
  <c r="G248" i="4"/>
  <c r="G223" i="4"/>
  <c r="G202" i="4"/>
  <c r="G170" i="4"/>
  <c r="G43" i="4"/>
  <c r="G32" i="4"/>
  <c r="G157" i="4"/>
  <c r="G71" i="30"/>
  <c r="G110" i="30"/>
  <c r="G176" i="30"/>
  <c r="G160" i="30"/>
  <c r="G49" i="30"/>
  <c r="G62" i="30"/>
  <c r="G61" i="30"/>
  <c r="G265" i="30"/>
  <c r="G31" i="30"/>
  <c r="G83" i="30"/>
  <c r="G86" i="30"/>
  <c r="G70" i="30"/>
  <c r="G43" i="31"/>
  <c r="G130" i="31"/>
  <c r="G260" i="31"/>
  <c r="G119" i="31"/>
  <c r="G196" i="31"/>
  <c r="G79" i="31"/>
  <c r="G164" i="31"/>
  <c r="G27" i="31"/>
  <c r="G266" i="31"/>
  <c r="G172" i="31"/>
  <c r="G256" i="31"/>
  <c r="G163" i="31"/>
  <c r="G40" i="31"/>
  <c r="G136" i="31"/>
  <c r="G112" i="31"/>
  <c r="G88" i="31"/>
  <c r="G124" i="31"/>
  <c r="G241" i="31"/>
  <c r="G144" i="31"/>
  <c r="G64" i="31"/>
  <c r="G221" i="31"/>
  <c r="G83" i="31"/>
  <c r="G257" i="31"/>
  <c r="G184" i="31"/>
  <c r="G254" i="31"/>
  <c r="G70" i="31"/>
  <c r="G61" i="31"/>
  <c r="G178" i="31"/>
  <c r="G218" i="31"/>
  <c r="G215" i="31"/>
  <c r="G100" i="31"/>
  <c r="G126" i="31"/>
  <c r="G123" i="31"/>
  <c r="G225" i="31"/>
  <c r="G36" i="31"/>
  <c r="G73" i="31"/>
  <c r="G183" i="31"/>
  <c r="G192" i="31"/>
  <c r="G110" i="31"/>
  <c r="G247" i="31"/>
  <c r="G181" i="31"/>
  <c r="G121" i="31"/>
  <c r="G211" i="31"/>
  <c r="G114" i="31"/>
  <c r="G210" i="31"/>
  <c r="G134" i="31"/>
  <c r="G97" i="31"/>
  <c r="G99" i="31"/>
  <c r="G78" i="31"/>
  <c r="G204" i="31"/>
  <c r="G19" i="31"/>
  <c r="G129" i="31"/>
  <c r="G128" i="31"/>
  <c r="G238" i="31"/>
  <c r="G263" i="31"/>
  <c r="G232" i="31"/>
  <c r="G148" i="31"/>
  <c r="G62" i="31"/>
  <c r="G142" i="31"/>
  <c r="G34" i="31"/>
  <c r="G185" i="30"/>
  <c r="G89" i="30"/>
  <c r="G41" i="30"/>
  <c r="G186" i="30"/>
  <c r="G212" i="30"/>
  <c r="G148" i="30"/>
  <c r="G33" i="30"/>
  <c r="G228" i="30"/>
  <c r="G36" i="30"/>
  <c r="G120" i="30"/>
  <c r="G180" i="30"/>
  <c r="G192" i="30"/>
  <c r="G23" i="30"/>
  <c r="G58" i="30"/>
  <c r="G81" i="30"/>
  <c r="G105" i="30"/>
  <c r="G118" i="30"/>
  <c r="G238" i="30"/>
  <c r="G251" i="30"/>
  <c r="G130" i="30"/>
  <c r="G108" i="30"/>
  <c r="G55" i="30"/>
  <c r="G202" i="30"/>
  <c r="G221" i="30"/>
  <c r="G89" i="29"/>
  <c r="G247" i="29"/>
  <c r="G187" i="29"/>
  <c r="G128" i="29"/>
  <c r="G76" i="29"/>
  <c r="G43" i="29"/>
  <c r="G27" i="29"/>
  <c r="G123" i="29"/>
  <c r="G161" i="29"/>
  <c r="G22" i="29"/>
  <c r="G133" i="29"/>
  <c r="G192" i="29"/>
  <c r="G172" i="29"/>
  <c r="G72" i="29"/>
  <c r="G79" i="29"/>
  <c r="G207" i="29"/>
  <c r="G182" i="29"/>
  <c r="G248" i="29"/>
  <c r="G65" i="29"/>
  <c r="G26" i="30"/>
  <c r="G203" i="30"/>
  <c r="G225" i="30"/>
  <c r="G241" i="30"/>
  <c r="G249" i="30"/>
  <c r="G232" i="30"/>
  <c r="G250" i="29"/>
  <c r="G258" i="29"/>
  <c r="G255" i="29"/>
  <c r="G216" i="29"/>
  <c r="G270" i="29"/>
  <c r="G233" i="29"/>
  <c r="G251" i="29"/>
  <c r="G231" i="29"/>
  <c r="G256" i="29"/>
  <c r="G261" i="29"/>
  <c r="G216" i="31"/>
  <c r="G22" i="31"/>
  <c r="G158" i="31"/>
  <c r="G33" i="31"/>
  <c r="G104" i="31"/>
  <c r="G214" i="31"/>
  <c r="G76" i="31"/>
  <c r="G106" i="31"/>
  <c r="G63" i="31"/>
  <c r="G52" i="31"/>
  <c r="G103" i="31"/>
  <c r="G74" i="31"/>
  <c r="G190" i="31"/>
  <c r="G44" i="31"/>
  <c r="G173" i="31"/>
  <c r="G111" i="31"/>
  <c r="G198" i="31"/>
  <c r="G153" i="31"/>
  <c r="G195" i="31"/>
  <c r="G25" i="31"/>
  <c r="G154" i="31"/>
  <c r="G268" i="31"/>
  <c r="G20" i="31"/>
  <c r="G217" i="31"/>
  <c r="G180" i="31"/>
  <c r="G162" i="31"/>
  <c r="G159" i="31"/>
  <c r="G220" i="31"/>
  <c r="G94" i="31"/>
  <c r="G213" i="31"/>
  <c r="G146" i="31"/>
  <c r="G55" i="31"/>
  <c r="G138" i="31"/>
  <c r="G243" i="31"/>
  <c r="G68" i="31"/>
  <c r="G265" i="31"/>
  <c r="G132" i="31"/>
  <c r="G235" i="31"/>
  <c r="G42" i="31"/>
  <c r="G245" i="31"/>
  <c r="G31" i="31"/>
  <c r="G161" i="31"/>
  <c r="G152" i="31"/>
  <c r="G120" i="31"/>
  <c r="G26" i="31"/>
  <c r="G77" i="31"/>
  <c r="G233" i="31"/>
  <c r="G222" i="31"/>
  <c r="G177" i="31"/>
  <c r="G169" i="31"/>
  <c r="G102" i="31"/>
  <c r="G207" i="31"/>
  <c r="G122" i="31"/>
  <c r="G145" i="31"/>
  <c r="G96" i="31"/>
  <c r="G259" i="31"/>
  <c r="G237" i="31"/>
  <c r="G244" i="31"/>
  <c r="G167" i="31"/>
  <c r="G151" i="31"/>
  <c r="G53" i="31"/>
  <c r="G140" i="31"/>
  <c r="G84" i="31"/>
  <c r="G271" i="31"/>
  <c r="G137" i="31"/>
  <c r="G81" i="31"/>
  <c r="G170" i="31"/>
  <c r="G66" i="31"/>
  <c r="G258" i="31"/>
  <c r="G171" i="31"/>
  <c r="G45" i="31"/>
  <c r="G91" i="31"/>
  <c r="G60" i="31"/>
  <c r="G175" i="31"/>
  <c r="G201" i="31"/>
  <c r="G98" i="31"/>
  <c r="G32" i="31"/>
  <c r="G139" i="31"/>
  <c r="G150" i="31"/>
  <c r="G264" i="31"/>
  <c r="G223" i="31"/>
  <c r="G270" i="31"/>
  <c r="G267" i="31"/>
  <c r="G58" i="31"/>
  <c r="G141" i="31"/>
  <c r="G147" i="31"/>
  <c r="G105" i="31"/>
  <c r="G17" i="31"/>
  <c r="G246" i="31"/>
  <c r="G30" i="31"/>
  <c r="G37" i="31"/>
  <c r="G135" i="31"/>
  <c r="G194" i="31"/>
  <c r="G240" i="31"/>
  <c r="G24" i="31"/>
  <c r="G186" i="31"/>
  <c r="G165" i="31"/>
  <c r="G191" i="31"/>
  <c r="G200" i="31"/>
  <c r="G228" i="31"/>
  <c r="G85" i="31"/>
  <c r="G206" i="31"/>
  <c r="G239" i="31"/>
  <c r="G252" i="31"/>
  <c r="G250" i="31"/>
  <c r="G69" i="31"/>
  <c r="G82" i="31"/>
  <c r="G248" i="31"/>
  <c r="G28" i="31"/>
  <c r="G197" i="31"/>
  <c r="G224" i="31"/>
  <c r="G160" i="31"/>
  <c r="G23" i="31"/>
  <c r="G231" i="31"/>
  <c r="G188" i="31"/>
  <c r="G113" i="31"/>
  <c r="G176" i="31"/>
  <c r="G190" i="30"/>
  <c r="G94" i="30"/>
  <c r="G170" i="30"/>
  <c r="G107" i="30"/>
  <c r="G117" i="30"/>
  <c r="G182" i="30"/>
  <c r="G235" i="30"/>
  <c r="G153" i="30"/>
  <c r="G35" i="30"/>
  <c r="G189" i="30"/>
  <c r="G156" i="30"/>
  <c r="G45" i="30"/>
  <c r="G222" i="30"/>
  <c r="G59" i="30"/>
  <c r="G213" i="30"/>
  <c r="G226" i="30"/>
  <c r="G239" i="30"/>
  <c r="G262" i="30"/>
  <c r="G124" i="30"/>
  <c r="G169" i="30"/>
  <c r="G104" i="30"/>
  <c r="G229" i="30"/>
  <c r="G209" i="30"/>
  <c r="G140" i="30"/>
  <c r="G65" i="30"/>
  <c r="G264" i="30"/>
  <c r="G72" i="30"/>
  <c r="G32" i="30"/>
  <c r="G252" i="30"/>
  <c r="G199" i="30"/>
  <c r="G68" i="30"/>
  <c r="G218" i="30"/>
  <c r="G75" i="30"/>
  <c r="G216" i="30"/>
  <c r="G42" i="30"/>
  <c r="G141" i="30"/>
  <c r="G205" i="30"/>
  <c r="G157" i="30"/>
  <c r="G258" i="30"/>
  <c r="G133" i="30"/>
  <c r="G183" i="30"/>
  <c r="G219" i="30"/>
  <c r="G19" i="30"/>
  <c r="G111" i="30"/>
  <c r="G154" i="30"/>
  <c r="G144" i="30"/>
  <c r="G147" i="30"/>
  <c r="G131" i="30"/>
  <c r="G167" i="30"/>
  <c r="G88" i="30"/>
  <c r="G255" i="30"/>
  <c r="G215" i="30"/>
  <c r="G193" i="30"/>
  <c r="G146" i="30"/>
  <c r="G206" i="30"/>
  <c r="G25" i="30"/>
  <c r="G74" i="30"/>
  <c r="G134" i="30"/>
  <c r="G185" i="28"/>
  <c r="G254" i="28"/>
  <c r="G209" i="28"/>
  <c r="G38" i="28"/>
  <c r="G271" i="28"/>
  <c r="G229" i="28"/>
  <c r="G169" i="28"/>
  <c r="G204" i="28"/>
  <c r="G116" i="28"/>
  <c r="G49" i="28"/>
  <c r="G26" i="28"/>
  <c r="G212" i="28"/>
  <c r="G158" i="28"/>
  <c r="G241" i="28"/>
  <c r="G197" i="28"/>
  <c r="G103" i="28"/>
  <c r="G267" i="28"/>
  <c r="G228" i="28"/>
  <c r="G252" i="28"/>
  <c r="G25" i="28"/>
  <c r="G24" i="28"/>
  <c r="G85" i="28"/>
  <c r="G222" i="28"/>
  <c r="G230" i="28"/>
  <c r="G220" i="28"/>
  <c r="G90" i="27"/>
  <c r="G234" i="27"/>
  <c r="G54" i="27"/>
  <c r="G252" i="27"/>
  <c r="G66" i="27"/>
  <c r="G206" i="27"/>
  <c r="G18" i="27"/>
  <c r="G62" i="27"/>
  <c r="G53" i="27"/>
  <c r="G109" i="27"/>
  <c r="G125" i="27"/>
  <c r="G173" i="27"/>
  <c r="G192" i="27"/>
  <c r="G24" i="27"/>
  <c r="G137" i="27"/>
  <c r="G156" i="27"/>
  <c r="G29" i="27"/>
  <c r="G150" i="27"/>
  <c r="G134" i="27"/>
  <c r="G147" i="27"/>
  <c r="G216" i="27"/>
  <c r="G222" i="27"/>
  <c r="G181" i="27"/>
  <c r="G83" i="27"/>
  <c r="G168" i="27"/>
  <c r="G127" i="27"/>
  <c r="G167" i="27"/>
  <c r="G68" i="27"/>
  <c r="G104" i="27"/>
  <c r="G86" i="27"/>
  <c r="G157" i="27"/>
  <c r="G166" i="27"/>
  <c r="G154" i="27"/>
  <c r="G227" i="27"/>
  <c r="G182" i="27"/>
  <c r="G155" i="27"/>
  <c r="G140" i="27"/>
  <c r="G112" i="27"/>
  <c r="G130" i="27"/>
  <c r="G148" i="27"/>
  <c r="G113" i="27"/>
  <c r="G122" i="27"/>
  <c r="G212" i="27"/>
  <c r="G84" i="27"/>
  <c r="G164" i="27"/>
  <c r="G33" i="27"/>
  <c r="G145" i="27"/>
  <c r="G235" i="27"/>
  <c r="G94" i="27"/>
  <c r="G184" i="27"/>
  <c r="G77" i="27"/>
  <c r="G205" i="27"/>
  <c r="G180" i="27"/>
  <c r="G126" i="27"/>
  <c r="G195" i="27"/>
  <c r="G197" i="27"/>
  <c r="G87" i="27"/>
  <c r="G177" i="27"/>
  <c r="G143" i="27"/>
  <c r="G74" i="27"/>
  <c r="G226" i="27"/>
  <c r="G248" i="27"/>
  <c r="G23" i="27"/>
  <c r="G220" i="27"/>
  <c r="G238" i="27"/>
  <c r="G260" i="27"/>
  <c r="G256" i="27"/>
  <c r="G239" i="27"/>
  <c r="G244" i="27"/>
  <c r="G225" i="27"/>
  <c r="G215" i="27"/>
  <c r="G269" i="27"/>
  <c r="G257" i="27"/>
  <c r="G236" i="27"/>
  <c r="G262" i="27"/>
  <c r="G221" i="27"/>
  <c r="G217" i="27"/>
  <c r="G233" i="27"/>
  <c r="G271" i="27"/>
  <c r="G253" i="27"/>
  <c r="G218" i="27"/>
  <c r="G249" i="29"/>
  <c r="G235" i="29"/>
  <c r="G201" i="29"/>
  <c r="G106" i="29"/>
  <c r="G81" i="29"/>
  <c r="G178" i="29"/>
  <c r="G42" i="29"/>
  <c r="G203" i="29"/>
  <c r="G40" i="29"/>
  <c r="G148" i="29"/>
  <c r="G21" i="29"/>
  <c r="G252" i="29"/>
  <c r="G224" i="29"/>
  <c r="G213" i="29"/>
  <c r="G166" i="29"/>
  <c r="G209" i="29"/>
  <c r="G60" i="29"/>
  <c r="G17" i="29"/>
  <c r="G263" i="29"/>
  <c r="G267" i="29"/>
  <c r="G51" i="29"/>
  <c r="G140" i="29"/>
  <c r="G155" i="29"/>
  <c r="G214" i="29"/>
  <c r="G269" i="29"/>
  <c r="G222" i="29"/>
  <c r="G244" i="29"/>
  <c r="G149" i="29"/>
  <c r="G219" i="29"/>
  <c r="G227" i="29"/>
  <c r="G198" i="29"/>
  <c r="G239" i="29"/>
  <c r="G180" i="29"/>
  <c r="G230" i="29"/>
  <c r="G237" i="29"/>
  <c r="G90" i="29"/>
  <c r="G99" i="29"/>
  <c r="G236" i="29"/>
  <c r="G240" i="29"/>
  <c r="G176" i="29"/>
  <c r="G57" i="29"/>
  <c r="G195" i="29"/>
  <c r="G67" i="29"/>
  <c r="G186" i="29"/>
  <c r="G34" i="29"/>
  <c r="G119" i="29"/>
  <c r="G47" i="29"/>
  <c r="G183" i="29"/>
  <c r="G37" i="29"/>
  <c r="G66" i="29"/>
  <c r="G54" i="29"/>
  <c r="G153" i="29"/>
  <c r="G144" i="29"/>
  <c r="G265" i="29"/>
  <c r="G102" i="29"/>
  <c r="G125" i="29"/>
  <c r="G246" i="29"/>
  <c r="G165" i="29"/>
  <c r="G63" i="29"/>
  <c r="G20" i="29"/>
  <c r="G142" i="29"/>
  <c r="G264" i="29"/>
  <c r="G159" i="29"/>
  <c r="G109" i="29"/>
  <c r="G262" i="29"/>
  <c r="G150" i="29"/>
  <c r="G163" i="29"/>
  <c r="G93" i="29"/>
  <c r="G241" i="29"/>
  <c r="G75" i="29"/>
  <c r="G114" i="29"/>
  <c r="G112" i="29"/>
  <c r="G138" i="29"/>
  <c r="G120" i="29"/>
  <c r="G271" i="29"/>
  <c r="G111" i="29"/>
  <c r="G108" i="29"/>
  <c r="G193" i="29"/>
  <c r="G69" i="29"/>
  <c r="G56" i="29"/>
  <c r="G30" i="29"/>
  <c r="G145" i="29"/>
  <c r="G243" i="29"/>
  <c r="G199" i="29"/>
  <c r="G132" i="29"/>
  <c r="G220" i="29"/>
  <c r="G162" i="29"/>
  <c r="G225" i="29"/>
  <c r="G227" i="28"/>
  <c r="G246" i="28"/>
  <c r="G98" i="28"/>
  <c r="G168" i="28"/>
  <c r="G173" i="28"/>
  <c r="G87" i="28"/>
  <c r="G264" i="28"/>
  <c r="G186" i="28"/>
  <c r="G170" i="28"/>
  <c r="G183" i="28"/>
  <c r="G181" i="28"/>
  <c r="G93" i="28"/>
  <c r="G72" i="28"/>
  <c r="G51" i="28"/>
  <c r="G191" i="28"/>
  <c r="G36" i="28"/>
  <c r="G249" i="28"/>
  <c r="G33" i="28"/>
  <c r="G210" i="28"/>
  <c r="G206" i="28"/>
  <c r="G57" i="28"/>
  <c r="G162" i="28"/>
  <c r="G171" i="28"/>
  <c r="G217" i="28"/>
  <c r="G132" i="28"/>
  <c r="G207" i="28"/>
  <c r="G224" i="28"/>
  <c r="G19" i="28"/>
  <c r="G166" i="28"/>
  <c r="G114" i="28"/>
  <c r="G102" i="28"/>
  <c r="G80" i="28"/>
  <c r="G225" i="28"/>
  <c r="G177" i="28"/>
  <c r="G199" i="28"/>
  <c r="G138" i="28"/>
  <c r="G155" i="28"/>
  <c r="G235" i="28"/>
  <c r="G137" i="28"/>
  <c r="G99" i="28"/>
  <c r="G256" i="28"/>
  <c r="G60" i="28"/>
  <c r="G242" i="28"/>
  <c r="G91" i="28"/>
  <c r="G21" i="28"/>
  <c r="G195" i="28"/>
  <c r="G145" i="28"/>
  <c r="G189" i="28"/>
  <c r="G134" i="28"/>
  <c r="G156" i="28"/>
  <c r="G202" i="28"/>
  <c r="G78" i="28"/>
  <c r="G75" i="28"/>
  <c r="G90" i="28"/>
  <c r="G180" i="28"/>
  <c r="G69" i="28"/>
  <c r="G117" i="28"/>
  <c r="G141" i="28"/>
  <c r="G66" i="28"/>
  <c r="G268" i="28"/>
  <c r="G270" i="28"/>
  <c r="G245" i="28"/>
  <c r="G63" i="28"/>
  <c r="G240" i="28"/>
  <c r="G109" i="28"/>
  <c r="G213" i="28"/>
  <c r="G96" i="28"/>
  <c r="G231" i="28"/>
  <c r="G261" i="28"/>
  <c r="G192" i="28"/>
  <c r="G94" i="28"/>
  <c r="G111" i="28"/>
  <c r="G234" i="28"/>
  <c r="G216" i="28"/>
  <c r="G159" i="28"/>
  <c r="G253" i="28"/>
  <c r="G153" i="28"/>
  <c r="G76" i="28"/>
  <c r="G120" i="28"/>
  <c r="G258" i="28"/>
  <c r="G42" i="28"/>
  <c r="G255" i="28"/>
  <c r="G237" i="28"/>
  <c r="G144" i="28"/>
  <c r="G238" i="28"/>
  <c r="G27" i="28"/>
  <c r="G129" i="28"/>
  <c r="G174" i="28"/>
  <c r="G135" i="28"/>
  <c r="G65" i="28"/>
  <c r="G184" i="28"/>
  <c r="G112" i="28"/>
  <c r="G49" i="26"/>
  <c r="G109" i="26"/>
  <c r="G70" i="26"/>
  <c r="G87" i="26"/>
  <c r="G224" i="26"/>
  <c r="G241" i="26"/>
  <c r="G22" i="26"/>
  <c r="G215" i="26"/>
  <c r="G125" i="26"/>
  <c r="G50" i="26"/>
  <c r="G81" i="26"/>
  <c r="G116" i="26"/>
  <c r="G111" i="26"/>
  <c r="G36" i="26"/>
  <c r="G96" i="26"/>
  <c r="G162" i="26"/>
  <c r="G95" i="26"/>
  <c r="G176" i="26"/>
  <c r="G259" i="26"/>
  <c r="G43" i="26"/>
  <c r="G53" i="26"/>
  <c r="G153" i="26"/>
  <c r="G46" i="26"/>
  <c r="G101" i="26"/>
  <c r="G68" i="26"/>
  <c r="G155" i="26"/>
  <c r="G72" i="26"/>
  <c r="G71" i="26"/>
  <c r="G163" i="26"/>
  <c r="G69" i="26"/>
  <c r="G61" i="26"/>
  <c r="G172" i="26"/>
  <c r="G35" i="26"/>
  <c r="G103" i="26"/>
  <c r="G173" i="26"/>
  <c r="G98" i="26"/>
  <c r="G127" i="26"/>
  <c r="G145" i="26"/>
  <c r="G60" i="26"/>
  <c r="G30" i="26"/>
  <c r="G44" i="26"/>
  <c r="G97" i="26"/>
  <c r="G67" i="26"/>
  <c r="G93" i="26"/>
  <c r="G52" i="26"/>
  <c r="G150" i="26"/>
  <c r="G135" i="26"/>
  <c r="G112" i="26"/>
  <c r="G78" i="26"/>
  <c r="G152" i="26"/>
  <c r="G28" i="26"/>
  <c r="G45" i="26"/>
  <c r="G227" i="26"/>
  <c r="G118" i="26"/>
  <c r="G75" i="26"/>
  <c r="G216" i="26"/>
  <c r="G214" i="26"/>
  <c r="G161" i="26"/>
  <c r="G237" i="26"/>
  <c r="G76" i="26"/>
  <c r="G249" i="26"/>
  <c r="G126" i="26"/>
  <c r="G246" i="26"/>
  <c r="G195" i="26"/>
  <c r="G198" i="26"/>
  <c r="G149" i="26"/>
  <c r="G140" i="26"/>
  <c r="G82" i="26"/>
  <c r="G39" i="26"/>
  <c r="G207" i="26"/>
  <c r="G156" i="26"/>
  <c r="G63" i="26"/>
  <c r="G123" i="26"/>
  <c r="G132" i="26"/>
  <c r="G167" i="26"/>
  <c r="G106" i="26"/>
  <c r="G201" i="26"/>
  <c r="G192" i="26"/>
  <c r="G141" i="26"/>
  <c r="G159" i="26"/>
  <c r="G174" i="26"/>
  <c r="G88" i="26"/>
  <c r="G120" i="26"/>
  <c r="G213" i="26"/>
  <c r="G177" i="26"/>
  <c r="G185" i="26"/>
  <c r="G129" i="26"/>
  <c r="G99" i="26"/>
  <c r="G42" i="26"/>
  <c r="G113" i="26"/>
  <c r="G108" i="26"/>
  <c r="G105" i="26"/>
  <c r="G138" i="26"/>
  <c r="G74" i="26"/>
  <c r="G142" i="26"/>
  <c r="G136" i="26"/>
  <c r="G179" i="26"/>
  <c r="G47" i="26"/>
  <c r="G196" i="26"/>
  <c r="G114" i="26"/>
  <c r="G180" i="26"/>
  <c r="G122" i="26"/>
  <c r="G210" i="26"/>
  <c r="G144" i="26"/>
  <c r="G131" i="26"/>
  <c r="G65" i="26"/>
  <c r="G203" i="26"/>
  <c r="G107" i="26"/>
  <c r="G102" i="26"/>
  <c r="G124" i="26"/>
  <c r="G90" i="26"/>
  <c r="G160" i="26"/>
  <c r="G29" i="26"/>
  <c r="G33" i="26"/>
  <c r="G147" i="26"/>
  <c r="G117" i="26"/>
  <c r="G56" i="26"/>
  <c r="G256" i="26"/>
  <c r="G206" i="26"/>
  <c r="G211" i="26"/>
  <c r="G226" i="26"/>
  <c r="G133" i="26"/>
  <c r="G170" i="26"/>
  <c r="G262" i="26"/>
  <c r="G38" i="26"/>
  <c r="G48" i="26"/>
  <c r="G73" i="26"/>
  <c r="G41" i="26"/>
  <c r="G17" i="26"/>
  <c r="G66" i="26"/>
  <c r="G58" i="26"/>
  <c r="G79" i="26"/>
  <c r="G191" i="26"/>
  <c r="G157" i="26"/>
  <c r="G219" i="26"/>
  <c r="G221" i="26"/>
  <c r="G228" i="26"/>
  <c r="G250" i="26"/>
  <c r="G242" i="26"/>
  <c r="G24" i="26"/>
  <c r="G260" i="26"/>
  <c r="G238" i="26"/>
  <c r="G19" i="26"/>
  <c r="G264" i="26"/>
  <c r="G233" i="26"/>
  <c r="G21" i="26"/>
  <c r="G258" i="26"/>
  <c r="G270" i="26"/>
  <c r="G240" i="26"/>
  <c r="G234" i="26"/>
  <c r="G255" i="26"/>
  <c r="G231" i="26"/>
  <c r="G252" i="26"/>
  <c r="G257" i="26"/>
  <c r="G23" i="26"/>
  <c r="G137" i="25"/>
  <c r="G50" i="25"/>
  <c r="G134" i="25"/>
  <c r="G71" i="25"/>
  <c r="G46" i="25"/>
  <c r="G158" i="25"/>
  <c r="G25" i="25"/>
  <c r="G41" i="25"/>
  <c r="G70" i="25"/>
  <c r="G140" i="25"/>
  <c r="G113" i="25"/>
  <c r="G101" i="4"/>
  <c r="G261" i="4"/>
  <c r="G245" i="4"/>
  <c r="G103" i="4"/>
  <c r="G266" i="4"/>
  <c r="G113" i="4"/>
  <c r="G234" i="4"/>
  <c r="G159" i="4"/>
  <c r="G28" i="4"/>
  <c r="G192" i="4"/>
  <c r="G225" i="4"/>
  <c r="G164" i="4"/>
  <c r="G209" i="4"/>
  <c r="G213" i="4"/>
  <c r="G116" i="4"/>
  <c r="G169" i="4"/>
  <c r="G174" i="4"/>
  <c r="G160" i="4"/>
  <c r="G195" i="4"/>
  <c r="G240" i="4"/>
  <c r="G204" i="4"/>
  <c r="G80" i="4"/>
  <c r="G77" i="4"/>
  <c r="G260" i="4"/>
  <c r="G34" i="4"/>
  <c r="G236" i="4"/>
  <c r="G150" i="4"/>
  <c r="G247" i="4"/>
  <c r="G69" i="4"/>
  <c r="G65" i="4"/>
  <c r="G85" i="4"/>
  <c r="G210" i="4"/>
  <c r="G271" i="4"/>
  <c r="G270" i="4"/>
  <c r="G228" i="4"/>
  <c r="G112" i="4"/>
  <c r="G84" i="4"/>
  <c r="G40" i="4"/>
  <c r="G186" i="4"/>
  <c r="G168" i="4"/>
  <c r="G110" i="4"/>
  <c r="G67" i="4"/>
  <c r="G187" i="4"/>
  <c r="G59" i="4"/>
  <c r="G107" i="4"/>
  <c r="G224" i="4"/>
  <c r="G262" i="4"/>
  <c r="G58" i="4"/>
  <c r="G250" i="4"/>
  <c r="G95" i="4"/>
  <c r="G151" i="4"/>
  <c r="G68" i="4"/>
  <c r="G166" i="4"/>
  <c r="G226" i="4"/>
  <c r="G91" i="4"/>
  <c r="G140" i="4"/>
  <c r="G193" i="4"/>
  <c r="G106" i="4"/>
  <c r="G118" i="4"/>
  <c r="G239" i="4"/>
  <c r="G31" i="4"/>
  <c r="G249" i="4"/>
  <c r="G87" i="4"/>
  <c r="G86" i="4"/>
  <c r="G196" i="4"/>
  <c r="G199" i="4"/>
  <c r="G49" i="4"/>
  <c r="G81" i="4"/>
  <c r="G267" i="4"/>
  <c r="G185" i="4"/>
  <c r="G102" i="4"/>
  <c r="G135" i="4"/>
  <c r="G179" i="4"/>
  <c r="G51" i="4"/>
  <c r="G183" i="4"/>
  <c r="G52" i="4"/>
  <c r="G99" i="4"/>
  <c r="G180" i="4"/>
  <c r="G78" i="4"/>
  <c r="G89" i="4"/>
  <c r="G71" i="4"/>
  <c r="G24" i="4"/>
  <c r="G44" i="4"/>
  <c r="G161" i="4"/>
  <c r="G237" i="4"/>
  <c r="G154" i="4"/>
  <c r="G220" i="4"/>
  <c r="G27" i="4"/>
  <c r="G64" i="4"/>
  <c r="G231" i="4"/>
  <c r="G152" i="4"/>
  <c r="G257" i="4"/>
  <c r="G264" i="4"/>
  <c r="G149" i="4"/>
  <c r="G134" i="4"/>
  <c r="G97" i="4"/>
  <c r="G143" i="4"/>
  <c r="G60" i="4"/>
  <c r="G147" i="4"/>
  <c r="G129" i="4"/>
  <c r="G132" i="4"/>
  <c r="G243" i="4"/>
  <c r="G144" i="4"/>
  <c r="G41" i="4"/>
  <c r="G123" i="4"/>
  <c r="G246" i="4"/>
  <c r="G30" i="4"/>
  <c r="G72" i="4"/>
  <c r="G167" i="25"/>
  <c r="G121" i="25"/>
  <c r="G226" i="25"/>
  <c r="G179" i="25"/>
  <c r="G55" i="25"/>
  <c r="G225" i="25"/>
  <c r="G96" i="25"/>
  <c r="G205" i="25"/>
  <c r="G163" i="25"/>
  <c r="G127" i="25"/>
  <c r="G196" i="25"/>
  <c r="G230" i="25"/>
  <c r="G191" i="25"/>
  <c r="G59" i="25"/>
  <c r="G62" i="25"/>
  <c r="G241" i="25"/>
  <c r="G72" i="25"/>
  <c r="G244" i="25"/>
  <c r="G182" i="25"/>
  <c r="G227" i="25"/>
  <c r="G45" i="25"/>
  <c r="G200" i="25"/>
  <c r="G146" i="25"/>
  <c r="G155" i="25"/>
  <c r="G269" i="25"/>
  <c r="G33" i="25"/>
  <c r="G27" i="25"/>
  <c r="G110" i="25"/>
  <c r="G88" i="25"/>
  <c r="G112" i="25"/>
  <c r="G125" i="25"/>
  <c r="G23" i="25"/>
  <c r="G181" i="25"/>
  <c r="G67" i="25"/>
  <c r="G178" i="25"/>
  <c r="G104" i="25"/>
  <c r="G73" i="25"/>
  <c r="G44" i="25"/>
  <c r="G32" i="25"/>
  <c r="G202" i="25"/>
  <c r="G18" i="25"/>
  <c r="G21" i="25"/>
  <c r="G166" i="25"/>
  <c r="G151" i="25"/>
  <c r="G143" i="25"/>
  <c r="G212" i="25"/>
  <c r="G142" i="25"/>
  <c r="G22" i="25"/>
  <c r="G89" i="25"/>
  <c r="G247" i="25"/>
  <c r="G128" i="25"/>
  <c r="G165" i="25"/>
  <c r="G111" i="25"/>
  <c r="G183" i="25"/>
  <c r="G186" i="25"/>
  <c r="G154" i="25"/>
  <c r="G132" i="25"/>
  <c r="G180" i="25"/>
  <c r="G106" i="25"/>
  <c r="G58" i="25"/>
  <c r="G271" i="25"/>
  <c r="G68" i="25"/>
  <c r="G109" i="25"/>
  <c r="G148" i="25"/>
  <c r="G157" i="25"/>
  <c r="G194" i="25"/>
  <c r="G107" i="25"/>
  <c r="G235" i="25"/>
  <c r="G83" i="25"/>
  <c r="G260" i="25"/>
  <c r="G26" i="25"/>
  <c r="G209" i="25"/>
  <c r="G254" i="25"/>
  <c r="G136" i="25"/>
  <c r="G35" i="25"/>
  <c r="G74" i="25"/>
  <c r="G253" i="25"/>
  <c r="G80" i="25"/>
  <c r="G31" i="25"/>
  <c r="G188" i="25"/>
  <c r="G245" i="25"/>
  <c r="G86" i="25"/>
  <c r="G220" i="25"/>
  <c r="G169" i="25"/>
  <c r="G90" i="25"/>
  <c r="G105" i="25"/>
  <c r="G118" i="25"/>
  <c r="G92" i="25"/>
  <c r="G85" i="25"/>
  <c r="G164" i="25"/>
  <c r="G211" i="25"/>
  <c r="G76" i="25"/>
  <c r="G170" i="25"/>
  <c r="G98" i="25"/>
  <c r="G54" i="25"/>
  <c r="G262" i="25"/>
  <c r="G207" i="25"/>
  <c r="G231" i="25"/>
  <c r="G240" i="25"/>
  <c r="G204" i="25"/>
  <c r="G214" i="25"/>
  <c r="G219" i="25"/>
  <c r="G210" i="25"/>
  <c r="G213" i="25"/>
  <c r="G206" i="25"/>
  <c r="G78" i="25"/>
  <c r="G189" i="25"/>
  <c r="G258" i="25"/>
  <c r="G187" i="25"/>
  <c r="G162" i="25"/>
  <c r="G156" i="25"/>
  <c r="G252" i="25"/>
  <c r="G223" i="25"/>
  <c r="G17" i="25"/>
  <c r="G267" i="25"/>
  <c r="G268" i="25"/>
  <c r="G120" i="25"/>
  <c r="G249" i="25"/>
  <c r="G243" i="25"/>
  <c r="G97" i="25"/>
  <c r="G237" i="25"/>
  <c r="G201" i="25"/>
  <c r="G101" i="25"/>
  <c r="G36" i="25"/>
  <c r="G116" i="25"/>
  <c r="G29" i="25"/>
  <c r="G145" i="25"/>
  <c r="G172" i="25"/>
  <c r="G153" i="25"/>
  <c r="G51" i="25"/>
  <c r="G123" i="25"/>
  <c r="G222" i="25"/>
  <c r="G216" i="25"/>
  <c r="G197" i="25"/>
  <c r="G246" i="25"/>
  <c r="G133" i="25"/>
  <c r="G61" i="25"/>
  <c r="G94" i="25"/>
  <c r="G229" i="25"/>
  <c r="G255" i="25"/>
  <c r="G102" i="25"/>
  <c r="G79" i="25"/>
  <c r="G95" i="25"/>
  <c r="G263" i="25"/>
  <c r="G115" i="25"/>
  <c r="G40" i="25"/>
  <c r="G122" i="25"/>
  <c r="G221" i="25"/>
  <c r="G160" i="25"/>
  <c r="G171" i="25"/>
  <c r="G129" i="25"/>
  <c r="G30" i="25"/>
  <c r="G150" i="25"/>
  <c r="G232" i="25"/>
  <c r="G144" i="25"/>
  <c r="G103" i="25"/>
  <c r="G270" i="25"/>
  <c r="G264" i="25"/>
  <c r="G66" i="25"/>
  <c r="G228" i="25"/>
  <c r="G141" i="25"/>
  <c r="G135" i="25"/>
  <c r="G195" i="25"/>
  <c r="G177" i="25"/>
  <c r="G147" i="25"/>
  <c r="G84" i="25"/>
  <c r="G234" i="25"/>
  <c r="G82" i="25"/>
  <c r="G117" i="25"/>
  <c r="G99" i="25"/>
  <c r="G261" i="25"/>
  <c r="G259" i="25"/>
  <c r="G190" i="25"/>
  <c r="G250" i="25"/>
  <c r="G91" i="25"/>
  <c r="G138" i="25"/>
  <c r="G203" i="25"/>
  <c r="G236" i="25"/>
  <c r="G168" i="25"/>
  <c r="G108" i="25"/>
  <c r="G43" i="25"/>
  <c r="G174" i="25"/>
  <c r="G60" i="25"/>
  <c r="G159" i="25"/>
  <c r="G173" i="25"/>
  <c r="G77" i="25"/>
  <c r="G218" i="25"/>
  <c r="G238" i="25"/>
  <c r="G198" i="25"/>
  <c r="G37" i="25"/>
  <c r="G192" i="25"/>
  <c r="G149" i="25"/>
  <c r="G39" i="25"/>
  <c r="G56" i="25"/>
  <c r="G130" i="25"/>
  <c r="G251" i="25"/>
  <c r="G65" i="25"/>
  <c r="G49" i="25"/>
  <c r="G211" i="27"/>
  <c r="G149" i="27"/>
  <c r="G230" i="27"/>
  <c r="G59" i="27"/>
  <c r="G247" i="27"/>
  <c r="G242" i="27"/>
  <c r="G49" i="27"/>
  <c r="G203" i="27"/>
  <c r="G198" i="27"/>
  <c r="G99" i="27"/>
  <c r="G81" i="27"/>
  <c r="G121" i="27"/>
  <c r="G30" i="27"/>
  <c r="G34" i="27"/>
  <c r="G67" i="27"/>
  <c r="G131" i="27"/>
  <c r="G85" i="27"/>
  <c r="G176" i="27"/>
  <c r="G76" i="27"/>
  <c r="G251" i="27"/>
  <c r="G158" i="27"/>
  <c r="G243" i="27"/>
  <c r="G171" i="27"/>
  <c r="G153" i="27"/>
  <c r="G266" i="27"/>
  <c r="G117" i="27"/>
  <c r="G144" i="27"/>
  <c r="G261" i="27"/>
  <c r="G72" i="27"/>
  <c r="G229" i="27"/>
  <c r="G175" i="27"/>
  <c r="G50" i="27"/>
  <c r="G202" i="27"/>
  <c r="G103" i="27"/>
  <c r="G41" i="27"/>
  <c r="G108" i="27"/>
  <c r="G189" i="27"/>
  <c r="G58" i="27"/>
  <c r="G139" i="27"/>
  <c r="G185" i="27"/>
  <c r="G194" i="27"/>
  <c r="G224" i="27"/>
  <c r="G95" i="27"/>
  <c r="G193" i="27"/>
  <c r="G232" i="26"/>
  <c r="G20" i="26"/>
  <c r="G25" i="26"/>
  <c r="G181" i="26"/>
  <c r="G235" i="26"/>
  <c r="G204" i="26"/>
  <c r="G267" i="26"/>
  <c r="G186" i="26"/>
  <c r="G244" i="26"/>
  <c r="G205" i="26"/>
  <c r="G268" i="26"/>
  <c r="G188" i="26"/>
  <c r="G243" i="26"/>
  <c r="G222" i="26"/>
  <c r="G208" i="26"/>
  <c r="G261" i="26"/>
  <c r="G217" i="26"/>
  <c r="G202" i="26"/>
  <c r="G194" i="26"/>
  <c r="G245" i="26"/>
  <c r="G187" i="26"/>
  <c r="G190" i="26"/>
  <c r="G253" i="26"/>
  <c r="G225" i="26"/>
  <c r="G239" i="26"/>
  <c r="G199" i="26"/>
  <c r="G166" i="26"/>
  <c r="G218" i="26"/>
  <c r="G271" i="26"/>
  <c r="G168" i="26"/>
  <c r="G189" i="26"/>
  <c r="G178" i="26"/>
  <c r="G184" i="26"/>
  <c r="G183" i="26"/>
  <c r="G27" i="26"/>
  <c r="G165" i="26"/>
  <c r="G171" i="26"/>
  <c r="G220" i="26"/>
</calcChain>
</file>

<file path=xl/sharedStrings.xml><?xml version="1.0" encoding="utf-8"?>
<sst xmlns="http://schemas.openxmlformats.org/spreadsheetml/2006/main" count="351" uniqueCount="48">
  <si>
    <t>Evaluator:</t>
    <phoneticPr fontId="3" type="noConversion"/>
  </si>
  <si>
    <t>Model:</t>
    <phoneticPr fontId="3" type="noConversion"/>
  </si>
  <si>
    <t>MT9700_G215</t>
    <phoneticPr fontId="3" type="noConversion"/>
  </si>
  <si>
    <t>Serial:</t>
    <phoneticPr fontId="3" type="noConversion"/>
  </si>
  <si>
    <t>NA</t>
    <phoneticPr fontId="3" type="noConversion"/>
  </si>
  <si>
    <t>Date:</t>
    <phoneticPr fontId="3" type="noConversion"/>
  </si>
  <si>
    <t>Sensor:</t>
    <phoneticPr fontId="3" type="noConversion"/>
  </si>
  <si>
    <t>CA-410</t>
    <phoneticPr fontId="3" type="noConversion"/>
  </si>
  <si>
    <t>Min Luminance:</t>
    <phoneticPr fontId="3" type="noConversion"/>
  </si>
  <si>
    <t>Nits</t>
    <phoneticPr fontId="7" type="noConversion"/>
  </si>
  <si>
    <t>Max Luminance:</t>
    <phoneticPr fontId="3" type="noConversion"/>
  </si>
  <si>
    <t>Gamma:</t>
    <phoneticPr fontId="3" type="noConversion"/>
  </si>
  <si>
    <t>Start Measure White:</t>
  </si>
  <si>
    <t>誤差</t>
    <phoneticPr fontId="7" type="noConversion"/>
  </si>
  <si>
    <t>%</t>
    <phoneticPr fontId="7" type="noConversion"/>
  </si>
  <si>
    <t>Level</t>
  </si>
  <si>
    <t>x</t>
  </si>
  <si>
    <t>y</t>
  </si>
  <si>
    <t>Y</t>
  </si>
  <si>
    <t>Step</t>
    <phoneticPr fontId="7" type="noConversion"/>
  </si>
  <si>
    <t>Target</t>
    <phoneticPr fontId="3" type="noConversion"/>
  </si>
  <si>
    <t>Measure</t>
    <phoneticPr fontId="3" type="noConversion"/>
  </si>
  <si>
    <t>Gamma Result : 1.85</t>
  </si>
  <si>
    <t>色溫:9137.7950</t>
    <phoneticPr fontId="2" type="noConversion"/>
  </si>
  <si>
    <t>Gamma Result : 2.03</t>
  </si>
  <si>
    <t>色溫:9094.0278</t>
    <phoneticPr fontId="2" type="noConversion"/>
  </si>
  <si>
    <t>Gamma Result : 2.24</t>
  </si>
  <si>
    <t>色溫:9106.8554</t>
    <phoneticPr fontId="2" type="noConversion"/>
  </si>
  <si>
    <t>色溫:9150.7302</t>
    <phoneticPr fontId="2" type="noConversion"/>
  </si>
  <si>
    <t>色溫:6517.5612</t>
    <phoneticPr fontId="2" type="noConversion"/>
  </si>
  <si>
    <t>Gamma Result : 2.22</t>
  </si>
  <si>
    <t>色溫:6514.3316</t>
    <phoneticPr fontId="2" type="noConversion"/>
  </si>
  <si>
    <t>Gamma Result : 2.67</t>
  </si>
  <si>
    <t>色溫:6601.8090</t>
    <phoneticPr fontId="2" type="noConversion"/>
  </si>
  <si>
    <t>色溫:5390.2325</t>
    <phoneticPr fontId="2" type="noConversion"/>
  </si>
  <si>
    <t>色溫:5504.4089</t>
    <phoneticPr fontId="2" type="noConversion"/>
  </si>
  <si>
    <t>色溫:5390.3083</t>
    <phoneticPr fontId="2" type="noConversion"/>
  </si>
  <si>
    <t>Gamma Result : 2.59</t>
  </si>
  <si>
    <t>色溫:5384.3596</t>
    <phoneticPr fontId="2" type="noConversion"/>
  </si>
  <si>
    <t>Gamma Result : 2.18</t>
  </si>
  <si>
    <t>X</t>
    <phoneticPr fontId="2" type="noConversion"/>
  </si>
  <si>
    <t>Gamma Result : 2.25</t>
  </si>
  <si>
    <t>色溫:5394.1353</t>
    <phoneticPr fontId="2" type="noConversion"/>
  </si>
  <si>
    <t>Gamma Result : 2.61</t>
  </si>
  <si>
    <t>色溫:5357.2592</t>
    <phoneticPr fontId="2" type="noConversion"/>
  </si>
  <si>
    <t>色溫:6512.5783</t>
    <phoneticPr fontId="2" type="noConversion"/>
  </si>
  <si>
    <t>Gamma Result : 2.02</t>
  </si>
  <si>
    <t>Gamma Result : 2.62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</si>
</sst>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_ "/>
    <numFmt numFmtId="178" formatCode="0.00_ "/>
  </numFmts>
  <fonts count="9" x14ac:knownFonts="1">
    <font>
      <sz val="12"/>
      <color theme="1"/>
      <name val="新細明體"/>
      <family val="2"/>
      <charset val="136"/>
      <scheme val="minor"/>
    </font>
    <font>
      <sz val="12"/>
      <name val="Arial"/>
      <family val="2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8"/>
      <name val="Arial"/>
      <family val="2"/>
    </font>
    <font>
      <sz val="9"/>
      <name val="新細明體"/>
      <family val="3"/>
      <charset val="136"/>
      <scheme val="minor"/>
    </font>
    <font>
      <sz val="16"/>
      <color rgb="FFFF000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0" fillId="0" borderId="0" xfId="0" applyAlignment="1"/>
    <xf numFmtId="0" fontId="5" fillId="0" borderId="0" xfId="0" applyFont="1" applyProtection="1">
      <alignment vertical="center"/>
      <protection hidden="1"/>
    </xf>
    <xf numFmtId="0" fontId="1" fillId="0" borderId="0" xfId="0" applyFo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176" fontId="4" fillId="2" borderId="4" xfId="0" applyNumberFormat="1" applyFont="1" applyFill="1" applyBorder="1" applyAlignment="1" applyProtection="1">
      <alignment horizontal="center" vertical="center"/>
      <protection locked="0"/>
    </xf>
    <xf numFmtId="177" fontId="4" fillId="2" borderId="4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 applyProtection="1">
      <alignment horizontal="center" vertical="center"/>
      <protection hidden="1"/>
    </xf>
    <xf numFmtId="9" fontId="1" fillId="4" borderId="6" xfId="0" applyNumberFormat="1" applyFont="1" applyFill="1" applyBorder="1" applyAlignment="1" applyProtection="1">
      <alignment horizontal="center" vertical="center"/>
      <protection hidden="1"/>
    </xf>
    <xf numFmtId="0" fontId="1" fillId="4" borderId="5" xfId="0" applyFont="1" applyFill="1" applyBorder="1" applyAlignment="1" applyProtection="1">
      <alignment horizontal="center" vertical="center"/>
      <protection hidden="1"/>
    </xf>
    <xf numFmtId="9" fontId="1" fillId="4" borderId="5" xfId="0" applyNumberFormat="1" applyFont="1" applyFill="1" applyBorder="1" applyAlignment="1" applyProtection="1">
      <alignment horizontal="center" vertical="center"/>
      <protection hidden="1"/>
    </xf>
    <xf numFmtId="178" fontId="1" fillId="0" borderId="7" xfId="0" applyNumberFormat="1" applyFont="1" applyBorder="1" applyProtection="1">
      <alignment vertical="center"/>
      <protection hidden="1"/>
    </xf>
    <xf numFmtId="178" fontId="1" fillId="0" borderId="8" xfId="0" applyNumberFormat="1" applyFont="1" applyBorder="1" applyProtection="1">
      <alignment vertical="center"/>
      <protection hidden="1"/>
    </xf>
    <xf numFmtId="178" fontId="1" fillId="0" borderId="4" xfId="0" applyNumberFormat="1" applyFont="1" applyBorder="1" applyProtection="1">
      <alignment vertical="center"/>
      <protection hidden="1"/>
    </xf>
    <xf numFmtId="0" fontId="4" fillId="2" borderId="1" xfId="0" applyFont="1" applyFill="1" applyBorder="1" applyProtection="1">
      <alignment vertical="center"/>
      <protection locked="0"/>
    </xf>
    <xf numFmtId="0" fontId="4" fillId="0" borderId="2" xfId="0" applyFont="1" applyBorder="1" applyProtection="1">
      <alignment vertical="center"/>
      <protection locked="0"/>
    </xf>
    <xf numFmtId="0" fontId="1" fillId="0" borderId="3" xfId="0" applyFont="1" applyBorder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left" vertical="center"/>
      <protection locked="0"/>
    </xf>
    <xf numFmtId="0" fontId="4" fillId="2" borderId="3" xfId="0" applyFont="1" applyFill="1" applyBorder="1" applyAlignment="1" applyProtection="1">
      <alignment horizontal="left" vertical="center"/>
      <protection locked="0"/>
    </xf>
    <xf numFmtId="14" fontId="4" fillId="3" borderId="1" xfId="0" applyNumberFormat="1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3" xfId="0" applyFont="1" applyFill="1" applyBorder="1" applyAlignment="1" applyProtection="1">
      <alignment horizontal="left" vertical="center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left" vertical="center"/>
      <protection locked="0"/>
    </xf>
    <xf numFmtId="0" fontId="6" fillId="2" borderId="3" xfId="0" applyFont="1" applyFill="1" applyBorder="1" applyAlignment="1" applyProtection="1">
      <alignment horizontal="left" vertical="center"/>
      <protection locked="0"/>
    </xf>
  </cellXfs>
  <cellStyles count="1">
    <cellStyle name="一般" xfId="0" builtinId="0"/>
  </cellStyles>
  <dxfs count="28">
    <dxf>
      <font>
        <b/>
        <i val="0"/>
        <color rgb="FF00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Gamma1.8_9300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5209860232262776E-2"/>
          <c:y val="6.7152055647649672E-2"/>
          <c:w val="0.94284542166735952"/>
          <c:h val="0.83584518966591004"/>
        </c:manualLayout>
      </c:layout>
      <c:lineChart>
        <c:grouping val="standard"/>
        <c:varyColors val="0"/>
        <c:ser>
          <c:idx val="0"/>
          <c:order val="0"/>
          <c:tx>
            <c:strRef>
              <c:f>'Gamma 1.8  9300K'!$C$16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1.8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1.8  9300K'!$C$17:$C$272</c:f>
              <c:numCache>
                <c:formatCode>0.00_ </c:formatCode>
                <c:ptCount val="256"/>
                <c:pt idx="0">
                  <c:v>7.3616064792520722E-4</c:v>
                </c:pt>
                <c:pt idx="1">
                  <c:v>1.2264781867469538E-2</c:v>
                </c:pt>
                <c:pt idx="2">
                  <c:v>3.4993902090715755E-2</c:v>
                </c:pt>
                <c:pt idx="3">
                  <c:v>6.7584758255840038E-2</c:v>
                </c:pt>
                <c:pt idx="4">
                  <c:v>0.10932202833479436</c:v>
                </c:pt>
                <c:pt idx="5">
                  <c:v>0.15972283559383144</c:v>
                </c:pt>
                <c:pt idx="6">
                  <c:v>0.21842658783797331</c:v>
                </c:pt>
                <c:pt idx="7">
                  <c:v>0.28514775844328244</c:v>
                </c:pt>
                <c:pt idx="8">
                  <c:v>0.35965134661627807</c:v>
                </c:pt>
                <c:pt idx="9">
                  <c:v>0.44173853672764113</c:v>
                </c:pt>
                <c:pt idx="10">
                  <c:v>0.53123761757863819</c:v>
                </c:pt>
                <c:pt idx="11">
                  <c:v>0.62799788424071101</c:v>
                </c:pt>
                <c:pt idx="12">
                  <c:v>0.73188535403870059</c:v>
                </c:pt>
                <c:pt idx="13">
                  <c:v>0.84277964749175815</c:v>
                </c:pt>
                <c:pt idx="14">
                  <c:v>0.96057165044451875</c:v>
                </c:pt>
                <c:pt idx="15">
                  <c:v>1.0851617189392495</c:v>
                </c:pt>
                <c:pt idx="16">
                  <c:v>1.2164582724773945</c:v>
                </c:pt>
                <c:pt idx="17">
                  <c:v>1.3543766722679091</c:v>
                </c:pt>
                <c:pt idx="18">
                  <c:v>1.4988383131384917</c:v>
                </c:pt>
                <c:pt idx="19">
                  <c:v>1.6497698786586301</c:v>
                </c:pt>
                <c:pt idx="20">
                  <c:v>1.8071027229967127</c:v>
                </c:pt>
                <c:pt idx="21">
                  <c:v>1.9707723526229808</c:v>
                </c:pt>
                <c:pt idx="22">
                  <c:v>2.1407179876970752</c:v>
                </c:pt>
                <c:pt idx="23">
                  <c:v>2.3168821877903811</c:v>
                </c:pt>
                <c:pt idx="24">
                  <c:v>2.4992105300952718</c:v>
                </c:pt>
                <c:pt idx="25">
                  <c:v>2.6876513308623999</c:v>
                </c:pt>
                <c:pt idx="26">
                  <c:v>2.8821554027485075</c:v>
                </c:pt>
                <c:pt idx="27">
                  <c:v>3.0826758422319918</c:v>
                </c:pt>
                <c:pt idx="28">
                  <c:v>3.2891678423869375</c:v>
                </c:pt>
                <c:pt idx="29">
                  <c:v>3.5015885271868852</c:v>
                </c:pt>
                <c:pt idx="30">
                  <c:v>3.7198968042007401</c:v>
                </c:pt>
                <c:pt idx="31">
                  <c:v>3.9440532330904774</c:v>
                </c:pt>
                <c:pt idx="32">
                  <c:v>4.1740199077574687</c:v>
                </c:pt>
                <c:pt idx="33">
                  <c:v>4.4097603503361089</c:v>
                </c:pt>
                <c:pt idx="34">
                  <c:v>4.6512394155189565</c:v>
                </c:pt>
                <c:pt idx="35">
                  <c:v>4.8984232039305091</c:v>
                </c:pt>
                <c:pt idx="36">
                  <c:v>5.1512789834585311</c:v>
                </c:pt>
                <c:pt idx="37">
                  <c:v>5.4097751176100246</c:v>
                </c:pt>
                <c:pt idx="38">
                  <c:v>5.6738810000908453</c:v>
                </c:pt>
                <c:pt idx="39">
                  <c:v>5.9435669949179575</c:v>
                </c:pt>
                <c:pt idx="40">
                  <c:v>6.218804381465973</c:v>
                </c:pt>
                <c:pt idx="41">
                  <c:v>6.4995653039276675</c:v>
                </c:pt>
                <c:pt idx="42">
                  <c:v>6.7858227247345084</c:v>
                </c:pt>
                <c:pt idx="43">
                  <c:v>7.0775503815395817</c:v>
                </c:pt>
                <c:pt idx="44">
                  <c:v>7.3747227474136663</c:v>
                </c:pt>
                <c:pt idx="45">
                  <c:v>7.6773149939465384</c:v>
                </c:pt>
                <c:pt idx="46">
                  <c:v>7.9853029569814771</c:v>
                </c:pt>
                <c:pt idx="47">
                  <c:v>8.2986631047415447</c:v>
                </c:pt>
                <c:pt idx="48">
                  <c:v>8.6173725081333057</c:v>
                </c:pt>
                <c:pt idx="49">
                  <c:v>8.9414088130366949</c:v>
                </c:pt>
                <c:pt idx="50">
                  <c:v>9.2707502144103877</c:v>
                </c:pt>
                <c:pt idx="51">
                  <c:v>9.6053754320594749</c:v>
                </c:pt>
                <c:pt idx="52">
                  <c:v>9.9452636879283354</c:v>
                </c:pt>
                <c:pt idx="53">
                  <c:v>10.290394684794924</c:v>
                </c:pt>
                <c:pt idx="54">
                  <c:v>10.640748586255295</c:v>
                </c:pt>
                <c:pt idx="55">
                  <c:v>10.996305997897537</c:v>
                </c:pt>
                <c:pt idx="56">
                  <c:v>11.357047949574152</c:v>
                </c:pt>
                <c:pt idx="57">
                  <c:v>11.72295587869017</c:v>
                </c:pt>
                <c:pt idx="58">
                  <c:v>12.094011614432048</c:v>
                </c:pt>
                <c:pt idx="59">
                  <c:v>12.470197362868944</c:v>
                </c:pt>
                <c:pt idx="60">
                  <c:v>12.85149569286418</c:v>
                </c:pt>
                <c:pt idx="61">
                  <c:v>13.237889522739952</c:v>
                </c:pt>
                <c:pt idx="62">
                  <c:v>13.629362107643418</c:v>
                </c:pt>
                <c:pt idx="63">
                  <c:v>14.02589702756633</c:v>
                </c:pt>
                <c:pt idx="64">
                  <c:v>14.427478175974805</c:v>
                </c:pt>
                <c:pt idx="65">
                  <c:v>14.8340897490088</c:v>
                </c:pt>
                <c:pt idx="66">
                  <c:v>15.245716235214655</c:v>
                </c:pt>
                <c:pt idx="67">
                  <c:v>15.662342405776544</c:v>
                </c:pt>
                <c:pt idx="68">
                  <c:v>16.083953305215459</c:v>
                </c:pt>
                <c:pt idx="69">
                  <c:v>16.510534242527001</c:v>
                </c:pt>
                <c:pt idx="70">
                  <c:v>16.942070782730944</c:v>
                </c:pt>
                <c:pt idx="71">
                  <c:v>17.378548738807986</c:v>
                </c:pt>
                <c:pt idx="72">
                  <c:v>17.819954164000642</c:v>
                </c:pt>
                <c:pt idx="73">
                  <c:v>18.266273344457083</c:v>
                </c:pt>
                <c:pt idx="74">
                  <c:v>18.717492792198005</c:v>
                </c:pt>
                <c:pt idx="75">
                  <c:v>19.173599238388416</c:v>
                </c:pt>
                <c:pt idx="76">
                  <c:v>19.634579626896773</c:v>
                </c:pt>
                <c:pt idx="77">
                  <c:v>20.100421108126206</c:v>
                </c:pt>
                <c:pt idx="78">
                  <c:v>20.571111033102248</c:v>
                </c:pt>
                <c:pt idx="79">
                  <c:v>21.046636947803886</c:v>
                </c:pt>
                <c:pt idx="80">
                  <c:v>21.526986587724409</c:v>
                </c:pt>
                <c:pt idx="81">
                  <c:v>22.012147872650395</c:v>
                </c:pt>
                <c:pt idx="82">
                  <c:v>22.502108901647308</c:v>
                </c:pt>
                <c:pt idx="83">
                  <c:v>22.996857948241058</c:v>
                </c:pt>
                <c:pt idx="84">
                  <c:v>23.496383455785757</c:v>
                </c:pt>
                <c:pt idx="85">
                  <c:v>24.000674033008139</c:v>
                </c:pt>
                <c:pt idx="86">
                  <c:v>24.509718449720136</c:v>
                </c:pt>
                <c:pt idx="87">
                  <c:v>25.023505632691165</c:v>
                </c:pt>
                <c:pt idx="88">
                  <c:v>25.542024661672539</c:v>
                </c:pt>
                <c:pt idx="89">
                  <c:v>26.065264765566653</c:v>
                </c:pt>
                <c:pt idx="90">
                  <c:v>26.593215318734188</c:v>
                </c:pt>
                <c:pt idx="91">
                  <c:v>27.125865837432755</c:v>
                </c:pt>
                <c:pt idx="92">
                  <c:v>27.663205976381025</c:v>
                </c:pt>
                <c:pt idx="93">
                  <c:v>28.205225525442561</c:v>
                </c:pt>
                <c:pt idx="94">
                  <c:v>28.751914406423886</c:v>
                </c:pt>
                <c:pt idx="95">
                  <c:v>29.303262669981795</c:v>
                </c:pt>
                <c:pt idx="96">
                  <c:v>29.85926049263492</c:v>
                </c:pt>
                <c:pt idx="97">
                  <c:v>30.419898173875115</c:v>
                </c:pt>
                <c:pt idx="98">
                  <c:v>30.985166133374275</c:v>
                </c:pt>
                <c:pt idx="99">
                  <c:v>31.555054908282489</c:v>
                </c:pt>
                <c:pt idx="100">
                  <c:v>32.129555150613584</c:v>
                </c:pt>
                <c:pt idx="101">
                  <c:v>32.708657624714611</c:v>
                </c:pt>
                <c:pt idx="102">
                  <c:v>33.292353204815484</c:v>
                </c:pt>
                <c:pt idx="103">
                  <c:v>33.880632872655639</c:v>
                </c:pt>
                <c:pt idx="104">
                  <c:v>34.473487715184532</c:v>
                </c:pt>
                <c:pt idx="105">
                  <c:v>35.070908922333047</c:v>
                </c:pt>
                <c:pt idx="106">
                  <c:v>35.67288778485279</c:v>
                </c:pt>
                <c:pt idx="107">
                  <c:v>36.279415692220866</c:v>
                </c:pt>
                <c:pt idx="108">
                  <c:v>36.890484130607192</c:v>
                </c:pt>
                <c:pt idx="109">
                  <c:v>37.506084680902397</c:v>
                </c:pt>
                <c:pt idx="110">
                  <c:v>38.126209016803358</c:v>
                </c:pt>
                <c:pt idx="111">
                  <c:v>38.750848902954843</c:v>
                </c:pt>
                <c:pt idx="112">
                  <c:v>39.379996193144521</c:v>
                </c:pt>
                <c:pt idx="113">
                  <c:v>40.01364282854977</c:v>
                </c:pt>
                <c:pt idx="114">
                  <c:v>40.651780836034156</c:v>
                </c:pt>
                <c:pt idx="115">
                  <c:v>41.294402326491785</c:v>
                </c:pt>
                <c:pt idx="116">
                  <c:v>41.941499493237743</c:v>
                </c:pt>
                <c:pt idx="117">
                  <c:v>42.593064610443058</c:v>
                </c:pt>
                <c:pt idx="118">
                  <c:v>43.249090031612546</c:v>
                </c:pt>
                <c:pt idx="119">
                  <c:v>43.909568188103819</c:v>
                </c:pt>
                <c:pt idx="120">
                  <c:v>44.57449158768636</c:v>
                </c:pt>
                <c:pt idx="121">
                  <c:v>45.243852813139021</c:v>
                </c:pt>
                <c:pt idx="122">
                  <c:v>45.917644520884501</c:v>
                </c:pt>
                <c:pt idx="123">
                  <c:v>46.595859439659918</c:v>
                </c:pt>
                <c:pt idx="124">
                  <c:v>47.278490369221835</c:v>
                </c:pt>
                <c:pt idx="125">
                  <c:v>47.965530179084837</c:v>
                </c:pt>
                <c:pt idx="126">
                  <c:v>48.656971807292422</c:v>
                </c:pt>
                <c:pt idx="127">
                  <c:v>49.352808259219003</c:v>
                </c:pt>
                <c:pt idx="128">
                  <c:v>50.053032606402397</c:v>
                </c:pt>
                <c:pt idx="129">
                  <c:v>50.75763798540541</c:v>
                </c:pt>
                <c:pt idx="130">
                  <c:v>51.466617596705426</c:v>
                </c:pt>
                <c:pt idx="131">
                  <c:v>52.179964703611923</c:v>
                </c:pt>
                <c:pt idx="132">
                  <c:v>52.897672631209893</c:v>
                </c:pt>
                <c:pt idx="133">
                  <c:v>53.619734765329348</c:v>
                </c:pt>
                <c:pt idx="134">
                  <c:v>54.346144551539254</c:v>
                </c:pt>
                <c:pt idx="135">
                  <c:v>55.07689549416591</c:v>
                </c:pt>
                <c:pt idx="136">
                  <c:v>55.811981155334266</c:v>
                </c:pt>
                <c:pt idx="137">
                  <c:v>56.551395154032079</c:v>
                </c:pt>
                <c:pt idx="138">
                  <c:v>57.295131165195784</c:v>
                </c:pt>
                <c:pt idx="139">
                  <c:v>58.043182918817671</c:v>
                </c:pt>
                <c:pt idx="140">
                  <c:v>58.795544199073674</c:v>
                </c:pt>
                <c:pt idx="141">
                  <c:v>59.552208843470979</c:v>
                </c:pt>
                <c:pt idx="142">
                  <c:v>60.313170742015103</c:v>
                </c:pt>
                <c:pt idx="143">
                  <c:v>61.078423836395793</c:v>
                </c:pt>
                <c:pt idx="144">
                  <c:v>61.847962119190981</c:v>
                </c:pt>
                <c:pt idx="145">
                  <c:v>62.621779633088678</c:v>
                </c:pt>
                <c:pt idx="146">
                  <c:v>63.399870470125911</c:v>
                </c:pt>
                <c:pt idx="147">
                  <c:v>64.182228770944377</c:v>
                </c:pt>
                <c:pt idx="148">
                  <c:v>64.968848724062383</c:v>
                </c:pt>
                <c:pt idx="149">
                  <c:v>65.759724565162401</c:v>
                </c:pt>
                <c:pt idx="150">
                  <c:v>66.554850576394131</c:v>
                </c:pt>
                <c:pt idx="151">
                  <c:v>67.354221085692288</c:v>
                </c:pt>
                <c:pt idx="152">
                  <c:v>68.157830466108948</c:v>
                </c:pt>
                <c:pt idx="153">
                  <c:v>68.965673135159889</c:v>
                </c:pt>
                <c:pt idx="154">
                  <c:v>69.777743554184681</c:v>
                </c:pt>
                <c:pt idx="155">
                  <c:v>70.594036227720068</c:v>
                </c:pt>
                <c:pt idx="156">
                  <c:v>71.414545702886329</c:v>
                </c:pt>
                <c:pt idx="157">
                  <c:v>72.239266568786107</c:v>
                </c:pt>
                <c:pt idx="158">
                  <c:v>73.068193455915733</c:v>
                </c:pt>
                <c:pt idx="159">
                  <c:v>73.901321035588168</c:v>
                </c:pt>
                <c:pt idx="160">
                  <c:v>74.738644019367953</c:v>
                </c:pt>
                <c:pt idx="161">
                  <c:v>75.58015715851711</c:v>
                </c:pt>
                <c:pt idx="162">
                  <c:v>76.425855243452247</c:v>
                </c:pt>
                <c:pt idx="163">
                  <c:v>77.275733103212474</c:v>
                </c:pt>
                <c:pt idx="164">
                  <c:v>78.129785604937524</c:v>
                </c:pt>
                <c:pt idx="165">
                  <c:v>78.988007653356362</c:v>
                </c:pt>
                <c:pt idx="166">
                  <c:v>79.850394190285428</c:v>
                </c:pt>
                <c:pt idx="167">
                  <c:v>80.716940194136754</c:v>
                </c:pt>
                <c:pt idx="168">
                  <c:v>81.58764067943558</c:v>
                </c:pt>
                <c:pt idx="169">
                  <c:v>82.462490696346876</c:v>
                </c:pt>
                <c:pt idx="170">
                  <c:v>83.341485330211057</c:v>
                </c:pt>
                <c:pt idx="171">
                  <c:v>84.224619701088457</c:v>
                </c:pt>
                <c:pt idx="172">
                  <c:v>85.111888963312268</c:v>
                </c:pt>
                <c:pt idx="173">
                  <c:v>86.003288305049736</c:v>
                </c:pt>
                <c:pt idx="174">
                  <c:v>86.898812947871633</c:v>
                </c:pt>
                <c:pt idx="175">
                  <c:v>87.79845814632958</c:v>
                </c:pt>
                <c:pt idx="176">
                  <c:v>88.702219187540976</c:v>
                </c:pt>
                <c:pt idx="177">
                  <c:v>89.61009139078179</c:v>
                </c:pt>
                <c:pt idx="178">
                  <c:v>90.52207010708635</c:v>
                </c:pt>
                <c:pt idx="179">
                  <c:v>91.438150718854686</c:v>
                </c:pt>
                <c:pt idx="180">
                  <c:v>92.358328639466606</c:v>
                </c:pt>
                <c:pt idx="181">
                  <c:v>93.282599312902846</c:v>
                </c:pt>
                <c:pt idx="182">
                  <c:v>94.210958213372734</c:v>
                </c:pt>
                <c:pt idx="183">
                  <c:v>95.143400844948644</c:v>
                </c:pt>
                <c:pt idx="184">
                  <c:v>96.079922741206616</c:v>
                </c:pt>
                <c:pt idx="185">
                  <c:v>97.02051946487336</c:v>
                </c:pt>
                <c:pt idx="186">
                  <c:v>97.965186607479325</c:v>
                </c:pt>
                <c:pt idx="187">
                  <c:v>98.913919789017768</c:v>
                </c:pt>
                <c:pt idx="188">
                  <c:v>99.866714657609634</c:v>
                </c:pt>
                <c:pt idx="189">
                  <c:v>100.82356688917426</c:v>
                </c:pt>
                <c:pt idx="190">
                  <c:v>101.78447218710535</c:v>
                </c:pt>
                <c:pt idx="191">
                  <c:v>102.74942628195279</c:v>
                </c:pt>
                <c:pt idx="192">
                  <c:v>103.71842493110964</c:v>
                </c:pt>
                <c:pt idx="193">
                  <c:v>104.69146391850411</c:v>
                </c:pt>
                <c:pt idx="194">
                  <c:v>105.66853905429714</c:v>
                </c:pt>
                <c:pt idx="195">
                  <c:v>106.64964617458462</c:v>
                </c:pt>
                <c:pt idx="196">
                  <c:v>107.63478114110444</c:v>
                </c:pt>
                <c:pt idx="197">
                  <c:v>108.62393984094865</c:v>
                </c:pt>
                <c:pt idx="198">
                  <c:v>109.61711818628008</c:v>
                </c:pt>
                <c:pt idx="199">
                  <c:v>110.61431211405345</c:v>
                </c:pt>
                <c:pt idx="200">
                  <c:v>111.61551758574129</c:v>
                </c:pt>
                <c:pt idx="201">
                  <c:v>112.62073058706389</c:v>
                </c:pt>
                <c:pt idx="202">
                  <c:v>113.62994712772384</c:v>
                </c:pt>
                <c:pt idx="203">
                  <c:v>114.64316324114455</c:v>
                </c:pt>
                <c:pt idx="204">
                  <c:v>115.66037498421314</c:v>
                </c:pt>
                <c:pt idx="205">
                  <c:v>116.68157843702711</c:v>
                </c:pt>
                <c:pt idx="206">
                  <c:v>117.70676970264509</c:v>
                </c:pt>
                <c:pt idx="207">
                  <c:v>118.73594490684151</c:v>
                </c:pt>
                <c:pt idx="208">
                  <c:v>119.76910019786507</c:v>
                </c:pt>
                <c:pt idx="209">
                  <c:v>120.80623174620065</c:v>
                </c:pt>
                <c:pt idx="210">
                  <c:v>121.84733574433533</c:v>
                </c:pt>
                <c:pt idx="211">
                  <c:v>122.89240840652768</c:v>
                </c:pt>
                <c:pt idx="212">
                  <c:v>123.9414459685805</c:v>
                </c:pt>
                <c:pt idx="213">
                  <c:v>124.99444468761722</c:v>
                </c:pt>
                <c:pt idx="214">
                  <c:v>126.05140084186149</c:v>
                </c:pt>
                <c:pt idx="215">
                  <c:v>127.11231073042012</c:v>
                </c:pt>
                <c:pt idx="216">
                  <c:v>128.17717067306936</c:v>
                </c:pt>
                <c:pt idx="217">
                  <c:v>129.24597701004393</c:v>
                </c:pt>
                <c:pt idx="218">
                  <c:v>130.31872610182992</c:v>
                </c:pt>
                <c:pt idx="219">
                  <c:v>131.39541432895999</c:v>
                </c:pt>
                <c:pt idx="220">
                  <c:v>132.47603809181192</c:v>
                </c:pt>
                <c:pt idx="221">
                  <c:v>133.56059381041001</c:v>
                </c:pt>
                <c:pt idx="222">
                  <c:v>134.64907792422949</c:v>
                </c:pt>
                <c:pt idx="223">
                  <c:v>135.74148689200354</c:v>
                </c:pt>
                <c:pt idx="224">
                  <c:v>136.8378171915333</c:v>
                </c:pt>
                <c:pt idx="225">
                  <c:v>137.93806531950023</c:v>
                </c:pt>
                <c:pt idx="226">
                  <c:v>139.04222779128165</c:v>
                </c:pt>
                <c:pt idx="227">
                  <c:v>140.15030114076856</c:v>
                </c:pt>
                <c:pt idx="228">
                  <c:v>141.26228192018604</c:v>
                </c:pt>
                <c:pt idx="229">
                  <c:v>142.37816669991631</c:v>
                </c:pt>
                <c:pt idx="230">
                  <c:v>143.49795206832414</c:v>
                </c:pt>
                <c:pt idx="231">
                  <c:v>144.62163463158475</c:v>
                </c:pt>
                <c:pt idx="232">
                  <c:v>145.74921101351413</c:v>
                </c:pt>
                <c:pt idx="233">
                  <c:v>146.88067785540153</c:v>
                </c:pt>
                <c:pt idx="234">
                  <c:v>148.01603181584449</c:v>
                </c:pt>
                <c:pt idx="235">
                  <c:v>149.15526957058609</c:v>
                </c:pt>
                <c:pt idx="236">
                  <c:v>150.29838781235418</c:v>
                </c:pt>
                <c:pt idx="237">
                  <c:v>151.44538325070297</c:v>
                </c:pt>
                <c:pt idx="238">
                  <c:v>152.59625261185693</c:v>
                </c:pt>
                <c:pt idx="239">
                  <c:v>153.75099263855628</c:v>
                </c:pt>
                <c:pt idx="240">
                  <c:v>154.9096000899053</c:v>
                </c:pt>
                <c:pt idx="241">
                  <c:v>156.07207174122178</c:v>
                </c:pt>
                <c:pt idx="242">
                  <c:v>157.23840438388928</c:v>
                </c:pt>
                <c:pt idx="243">
                  <c:v>158.40859482521088</c:v>
                </c:pt>
                <c:pt idx="244">
                  <c:v>159.58263988826491</c:v>
                </c:pt>
                <c:pt idx="245">
                  <c:v>160.7605364117627</c:v>
                </c:pt>
                <c:pt idx="246">
                  <c:v>161.94228124990815</c:v>
                </c:pt>
                <c:pt idx="247">
                  <c:v>163.12787127225891</c:v>
                </c:pt>
                <c:pt idx="248">
                  <c:v>164.3173033635899</c:v>
                </c:pt>
                <c:pt idx="249">
                  <c:v>165.51057442375787</c:v>
                </c:pt>
                <c:pt idx="250">
                  <c:v>166.70768136756834</c:v>
                </c:pt>
                <c:pt idx="251">
                  <c:v>167.90862112464384</c:v>
                </c:pt>
                <c:pt idx="252">
                  <c:v>169.11339063929407</c:v>
                </c:pt>
                <c:pt idx="253">
                  <c:v>170.32198687038743</c:v>
                </c:pt>
                <c:pt idx="254">
                  <c:v>171.53440679122457</c:v>
                </c:pt>
                <c:pt idx="255">
                  <c:v>172.42785000000001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5B-459B-9C61-8F23279FC6DB}"/>
            </c:ext>
          </c:extLst>
        </c:ser>
        <c:ser>
          <c:idx val="1"/>
          <c:order val="1"/>
          <c:tx>
            <c:strRef>
              <c:f>'Gamma 1.8  9300K'!$D$16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1.8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1.8  9300K'!$D$17:$D$272</c:f>
              <c:numCache>
                <c:formatCode>0.00_ </c:formatCode>
                <c:ptCount val="256"/>
                <c:pt idx="0">
                  <c:v>8.1795627547245247E-4</c:v>
                </c:pt>
                <c:pt idx="1">
                  <c:v>1.3627535408299486E-2</c:v>
                </c:pt>
                <c:pt idx="2">
                  <c:v>3.8882113434128618E-2</c:v>
                </c:pt>
                <c:pt idx="3">
                  <c:v>7.5094175839822266E-2</c:v>
                </c:pt>
                <c:pt idx="4">
                  <c:v>0.12146892037199374</c:v>
                </c:pt>
                <c:pt idx="5">
                  <c:v>0.17746981732647937</c:v>
                </c:pt>
                <c:pt idx="6">
                  <c:v>0.24269620870885925</c:v>
                </c:pt>
                <c:pt idx="7">
                  <c:v>0.31683084271475825</c:v>
                </c:pt>
                <c:pt idx="8">
                  <c:v>0.39961260735142007</c:v>
                </c:pt>
                <c:pt idx="9">
                  <c:v>0.49082059636404568</c:v>
                </c:pt>
                <c:pt idx="10">
                  <c:v>0.59026401953182017</c:v>
                </c:pt>
                <c:pt idx="11">
                  <c:v>0.69777542693412331</c:v>
                </c:pt>
                <c:pt idx="12">
                  <c:v>0.81320594893188958</c:v>
                </c:pt>
                <c:pt idx="13">
                  <c:v>0.93642183054639794</c:v>
                </c:pt>
                <c:pt idx="14">
                  <c:v>1.0673018338272431</c:v>
                </c:pt>
                <c:pt idx="15">
                  <c:v>1.2057352432658328</c:v>
                </c:pt>
                <c:pt idx="16">
                  <c:v>1.3516203027526605</c:v>
                </c:pt>
                <c:pt idx="17">
                  <c:v>1.5048629691865658</c:v>
                </c:pt>
                <c:pt idx="18">
                  <c:v>1.6653759034872129</c:v>
                </c:pt>
                <c:pt idx="19">
                  <c:v>1.8330776429540334</c:v>
                </c:pt>
                <c:pt idx="20">
                  <c:v>2.0078919144407918</c:v>
                </c:pt>
                <c:pt idx="21">
                  <c:v>2.1897470584699787</c:v>
                </c:pt>
                <c:pt idx="22">
                  <c:v>2.3785755418856391</c:v>
                </c:pt>
                <c:pt idx="23">
                  <c:v>2.5743135419893122</c:v>
                </c:pt>
                <c:pt idx="24">
                  <c:v>2.7769005889947467</c:v>
                </c:pt>
                <c:pt idx="25">
                  <c:v>2.9862792565137779</c:v>
                </c:pt>
                <c:pt idx="26">
                  <c:v>3.2023948919427863</c:v>
                </c:pt>
                <c:pt idx="27">
                  <c:v>3.4251953802577684</c:v>
                </c:pt>
                <c:pt idx="28">
                  <c:v>3.6546309359854861</c:v>
                </c:pt>
                <c:pt idx="29">
                  <c:v>3.8906539190965392</c:v>
                </c:pt>
                <c:pt idx="30">
                  <c:v>4.1332186713341557</c:v>
                </c:pt>
                <c:pt idx="31">
                  <c:v>4.3822813701005305</c:v>
                </c:pt>
                <c:pt idx="32">
                  <c:v>4.6377998975082981</c:v>
                </c:pt>
                <c:pt idx="33">
                  <c:v>4.899733722595677</c:v>
                </c:pt>
                <c:pt idx="34">
                  <c:v>5.1680437950210631</c:v>
                </c:pt>
                <c:pt idx="35">
                  <c:v>5.4426924488116768</c:v>
                </c:pt>
                <c:pt idx="36">
                  <c:v>5.7236433149539234</c:v>
                </c:pt>
                <c:pt idx="37">
                  <c:v>6.0108612417889162</c:v>
                </c:pt>
                <c:pt idx="38">
                  <c:v>6.3043122223231611</c:v>
                </c:pt>
                <c:pt idx="39">
                  <c:v>6.6039633276866194</c:v>
                </c:pt>
                <c:pt idx="40">
                  <c:v>6.9097826460733032</c:v>
                </c:pt>
                <c:pt idx="41">
                  <c:v>7.2217392265862967</c:v>
                </c:pt>
                <c:pt idx="42">
                  <c:v>7.5398030274827876</c:v>
                </c:pt>
                <c:pt idx="43">
                  <c:v>7.8639448683773132</c:v>
                </c:pt>
                <c:pt idx="44">
                  <c:v>8.1941363860151846</c:v>
                </c:pt>
                <c:pt idx="45">
                  <c:v>8.5303499932739317</c:v>
                </c:pt>
                <c:pt idx="46">
                  <c:v>8.8725588410905303</c:v>
                </c:pt>
                <c:pt idx="47">
                  <c:v>9.22073678304616</c:v>
                </c:pt>
                <c:pt idx="48">
                  <c:v>9.5748583423703391</c:v>
                </c:pt>
                <c:pt idx="49">
                  <c:v>9.9348986811518838</c:v>
                </c:pt>
                <c:pt idx="50">
                  <c:v>10.300833571567097</c:v>
                </c:pt>
                <c:pt idx="51">
                  <c:v>10.672639368954972</c:v>
                </c:pt>
                <c:pt idx="52">
                  <c:v>11.05029298658704</c:v>
                </c:pt>
                <c:pt idx="53">
                  <c:v>11.43377187199436</c:v>
                </c:pt>
                <c:pt idx="54">
                  <c:v>11.823053984728107</c:v>
                </c:pt>
                <c:pt idx="55">
                  <c:v>12.218117775441709</c:v>
                </c:pt>
                <c:pt idx="56">
                  <c:v>12.618942166193502</c:v>
                </c:pt>
                <c:pt idx="57">
                  <c:v>13.025506531877967</c:v>
                </c:pt>
                <c:pt idx="58">
                  <c:v>13.437790682702277</c:v>
                </c:pt>
                <c:pt idx="59">
                  <c:v>13.85577484763216</c:v>
                </c:pt>
                <c:pt idx="60">
                  <c:v>14.279439658737978</c:v>
                </c:pt>
                <c:pt idx="61">
                  <c:v>14.708766136377724</c:v>
                </c:pt>
                <c:pt idx="62">
                  <c:v>15.143735675159354</c:v>
                </c:pt>
                <c:pt idx="63">
                  <c:v>15.584330030629257</c:v>
                </c:pt>
                <c:pt idx="64">
                  <c:v>16.030531306638672</c:v>
                </c:pt>
                <c:pt idx="65">
                  <c:v>16.482321943343113</c:v>
                </c:pt>
                <c:pt idx="66">
                  <c:v>16.939684705794061</c:v>
                </c:pt>
                <c:pt idx="67">
                  <c:v>17.402602673085049</c:v>
                </c:pt>
                <c:pt idx="68">
                  <c:v>17.871059228017177</c:v>
                </c:pt>
                <c:pt idx="69">
                  <c:v>18.345038047252224</c:v>
                </c:pt>
                <c:pt idx="70">
                  <c:v>18.824523091923272</c:v>
                </c:pt>
                <c:pt idx="71">
                  <c:v>19.309498598675539</c:v>
                </c:pt>
                <c:pt idx="72">
                  <c:v>19.799949071111826</c:v>
                </c:pt>
                <c:pt idx="73">
                  <c:v>20.29585927161898</c:v>
                </c:pt>
                <c:pt idx="74">
                  <c:v>20.797214213553339</c:v>
                </c:pt>
                <c:pt idx="75">
                  <c:v>21.303999153764906</c:v>
                </c:pt>
                <c:pt idx="76">
                  <c:v>21.816199585440859</c:v>
                </c:pt>
                <c:pt idx="77">
                  <c:v>22.333801231251339</c:v>
                </c:pt>
                <c:pt idx="78">
                  <c:v>22.856790036780275</c:v>
                </c:pt>
                <c:pt idx="79">
                  <c:v>23.38515216422654</c:v>
                </c:pt>
                <c:pt idx="80">
                  <c:v>23.918873986360452</c:v>
                </c:pt>
                <c:pt idx="81">
                  <c:v>24.45794208072266</c:v>
                </c:pt>
                <c:pt idx="82">
                  <c:v>25.002343224052563</c:v>
                </c:pt>
                <c:pt idx="83">
                  <c:v>25.552064386934507</c:v>
                </c:pt>
                <c:pt idx="84">
                  <c:v>26.107092728650841</c:v>
                </c:pt>
                <c:pt idx="85">
                  <c:v>26.667415592231265</c:v>
                </c:pt>
                <c:pt idx="86">
                  <c:v>27.23302049968904</c:v>
                </c:pt>
                <c:pt idx="87">
                  <c:v>27.803895147434627</c:v>
                </c:pt>
                <c:pt idx="88">
                  <c:v>28.380027401858378</c:v>
                </c:pt>
                <c:pt idx="89">
                  <c:v>28.961405295074059</c:v>
                </c:pt>
                <c:pt idx="90">
                  <c:v>29.548017020815767</c:v>
                </c:pt>
                <c:pt idx="91">
                  <c:v>30.13985093048084</c:v>
                </c:pt>
                <c:pt idx="92">
                  <c:v>30.73689552931225</c:v>
                </c:pt>
                <c:pt idx="93">
                  <c:v>31.339139472713956</c:v>
                </c:pt>
                <c:pt idx="94">
                  <c:v>31.946571562693205</c:v>
                </c:pt>
                <c:pt idx="95">
                  <c:v>32.559180744424218</c:v>
                </c:pt>
                <c:pt idx="96">
                  <c:v>33.17695610292769</c:v>
                </c:pt>
                <c:pt idx="97">
                  <c:v>33.799886859861239</c:v>
                </c:pt>
                <c:pt idx="98">
                  <c:v>34.427962370415862</c:v>
                </c:pt>
                <c:pt idx="99">
                  <c:v>35.061172120313877</c:v>
                </c:pt>
                <c:pt idx="100">
                  <c:v>35.699505722903979</c:v>
                </c:pt>
                <c:pt idx="101">
                  <c:v>36.342952916349567</c:v>
                </c:pt>
                <c:pt idx="102">
                  <c:v>36.991503560906096</c:v>
                </c:pt>
                <c:pt idx="103">
                  <c:v>37.645147636284044</c:v>
                </c:pt>
                <c:pt idx="104">
                  <c:v>38.303875239093927</c:v>
                </c:pt>
                <c:pt idx="105">
                  <c:v>38.967676580370053</c:v>
                </c:pt>
                <c:pt idx="106">
                  <c:v>39.636541983169771</c:v>
                </c:pt>
                <c:pt idx="107">
                  <c:v>40.310461880245406</c:v>
                </c:pt>
                <c:pt idx="108">
                  <c:v>40.989426811785769</c:v>
                </c:pt>
                <c:pt idx="109">
                  <c:v>41.673427423224886</c:v>
                </c:pt>
                <c:pt idx="110">
                  <c:v>42.362454463114844</c:v>
                </c:pt>
                <c:pt idx="111">
                  <c:v>43.056498781060938</c:v>
                </c:pt>
                <c:pt idx="112">
                  <c:v>43.755551325716134</c:v>
                </c:pt>
                <c:pt idx="113">
                  <c:v>44.459603142833075</c:v>
                </c:pt>
                <c:pt idx="114">
                  <c:v>45.168645373371284</c:v>
                </c:pt>
                <c:pt idx="115">
                  <c:v>45.882669251657539</c:v>
                </c:pt>
                <c:pt idx="116">
                  <c:v>46.601666103597488</c:v>
                </c:pt>
                <c:pt idx="117">
                  <c:v>47.325627344936734</c:v>
                </c:pt>
                <c:pt idx="118">
                  <c:v>48.054544479569493</c:v>
                </c:pt>
                <c:pt idx="119">
                  <c:v>48.78840909789313</c:v>
                </c:pt>
                <c:pt idx="120">
                  <c:v>49.52721287520707</c:v>
                </c:pt>
                <c:pt idx="121">
                  <c:v>50.270947570154469</c:v>
                </c:pt>
                <c:pt idx="122">
                  <c:v>51.019605023205003</c:v>
                </c:pt>
                <c:pt idx="123">
                  <c:v>51.773177155177684</c:v>
                </c:pt>
                <c:pt idx="124">
                  <c:v>52.531655965802038</c:v>
                </c:pt>
                <c:pt idx="125">
                  <c:v>53.295033532316488</c:v>
                </c:pt>
                <c:pt idx="126">
                  <c:v>54.063302008102688</c:v>
                </c:pt>
                <c:pt idx="127">
                  <c:v>54.836453621354444</c:v>
                </c:pt>
                <c:pt idx="128">
                  <c:v>55.614480673780442</c:v>
                </c:pt>
                <c:pt idx="129">
                  <c:v>56.397375539339343</c:v>
                </c:pt>
                <c:pt idx="130">
                  <c:v>57.185130663006028</c:v>
                </c:pt>
                <c:pt idx="131">
                  <c:v>57.977738559568806</c:v>
                </c:pt>
                <c:pt idx="132">
                  <c:v>58.775191812455439</c:v>
                </c:pt>
                <c:pt idx="133">
                  <c:v>59.577483072588166</c:v>
                </c:pt>
                <c:pt idx="134">
                  <c:v>60.384605057265837</c:v>
                </c:pt>
                <c:pt idx="135">
                  <c:v>61.196550549073237</c:v>
                </c:pt>
                <c:pt idx="136">
                  <c:v>62.013312394815848</c:v>
                </c:pt>
                <c:pt idx="137">
                  <c:v>62.834883504480089</c:v>
                </c:pt>
                <c:pt idx="138">
                  <c:v>63.661256850217534</c:v>
                </c:pt>
                <c:pt idx="139">
                  <c:v>64.492425465352966</c:v>
                </c:pt>
                <c:pt idx="140">
                  <c:v>65.328382443415194</c:v>
                </c:pt>
                <c:pt idx="141">
                  <c:v>66.169120937189973</c:v>
                </c:pt>
                <c:pt idx="142">
                  <c:v>67.014634157794561</c:v>
                </c:pt>
                <c:pt idx="143">
                  <c:v>67.864915373773101</c:v>
                </c:pt>
                <c:pt idx="144">
                  <c:v>68.719957910212202</c:v>
                </c:pt>
                <c:pt idx="145">
                  <c:v>69.579755147876313</c:v>
                </c:pt>
                <c:pt idx="146">
                  <c:v>70.444300522362127</c:v>
                </c:pt>
                <c:pt idx="147">
                  <c:v>71.313587523271536</c:v>
                </c:pt>
                <c:pt idx="148">
                  <c:v>72.187609693402649</c:v>
                </c:pt>
                <c:pt idx="149">
                  <c:v>73.066360627958218</c:v>
                </c:pt>
                <c:pt idx="150">
                  <c:v>73.949833973771248</c:v>
                </c:pt>
                <c:pt idx="151">
                  <c:v>74.83802342854699</c:v>
                </c:pt>
                <c:pt idx="152">
                  <c:v>75.730922740121045</c:v>
                </c:pt>
                <c:pt idx="153">
                  <c:v>76.62852570573321</c:v>
                </c:pt>
                <c:pt idx="154">
                  <c:v>77.530826171316306</c:v>
                </c:pt>
                <c:pt idx="155">
                  <c:v>78.437818030800074</c:v>
                </c:pt>
                <c:pt idx="156">
                  <c:v>79.349495225429251</c:v>
                </c:pt>
                <c:pt idx="157">
                  <c:v>80.265851743095681</c:v>
                </c:pt>
                <c:pt idx="158">
                  <c:v>81.186881617684151</c:v>
                </c:pt>
                <c:pt idx="159">
                  <c:v>82.112578928431304</c:v>
                </c:pt>
                <c:pt idx="160">
                  <c:v>83.042937799297732</c:v>
                </c:pt>
                <c:pt idx="161">
                  <c:v>83.977952398352343</c:v>
                </c:pt>
                <c:pt idx="162">
                  <c:v>84.917616937169157</c:v>
                </c:pt>
                <c:pt idx="163">
                  <c:v>85.861925670236076</c:v>
                </c:pt>
                <c:pt idx="164">
                  <c:v>86.810872894375024</c:v>
                </c:pt>
                <c:pt idx="165">
                  <c:v>87.764452948173741</c:v>
                </c:pt>
                <c:pt idx="166">
                  <c:v>88.722660211428249</c:v>
                </c:pt>
                <c:pt idx="167">
                  <c:v>89.6854891045964</c:v>
                </c:pt>
                <c:pt idx="168">
                  <c:v>90.652934088261759</c:v>
                </c:pt>
                <c:pt idx="169">
                  <c:v>91.624989662607646</c:v>
                </c:pt>
                <c:pt idx="170">
                  <c:v>92.601650366901168</c:v>
                </c:pt>
                <c:pt idx="171">
                  <c:v>93.58291077898717</c:v>
                </c:pt>
                <c:pt idx="172">
                  <c:v>94.568765514791409</c:v>
                </c:pt>
                <c:pt idx="173">
                  <c:v>95.559209227833037</c:v>
                </c:pt>
                <c:pt idx="174">
                  <c:v>96.554236608746265</c:v>
                </c:pt>
                <c:pt idx="175">
                  <c:v>97.553842384810636</c:v>
                </c:pt>
                <c:pt idx="176">
                  <c:v>98.558021319489981</c:v>
                </c:pt>
                <c:pt idx="177">
                  <c:v>99.566768211979763</c:v>
                </c:pt>
                <c:pt idx="178">
                  <c:v>100.58007789676262</c:v>
                </c:pt>
                <c:pt idx="179">
                  <c:v>101.59794524317188</c:v>
                </c:pt>
                <c:pt idx="180">
                  <c:v>102.6203651549629</c:v>
                </c:pt>
                <c:pt idx="181">
                  <c:v>103.64733256989206</c:v>
                </c:pt>
                <c:pt idx="182">
                  <c:v>104.67884245930304</c:v>
                </c:pt>
                <c:pt idx="183">
                  <c:v>105.71488982772071</c:v>
                </c:pt>
                <c:pt idx="184">
                  <c:v>106.7554697124518</c:v>
                </c:pt>
                <c:pt idx="185">
                  <c:v>107.80057718319263</c:v>
                </c:pt>
                <c:pt idx="186">
                  <c:v>108.8502073416437</c:v>
                </c:pt>
                <c:pt idx="187">
                  <c:v>109.90435532113085</c:v>
                </c:pt>
                <c:pt idx="188">
                  <c:v>110.96301628623293</c:v>
                </c:pt>
                <c:pt idx="189">
                  <c:v>112.02618543241584</c:v>
                </c:pt>
                <c:pt idx="190">
                  <c:v>113.09385798567261</c:v>
                </c:pt>
                <c:pt idx="191">
                  <c:v>114.16602920216977</c:v>
                </c:pt>
                <c:pt idx="192">
                  <c:v>115.2426943678996</c:v>
                </c:pt>
                <c:pt idx="193">
                  <c:v>116.32384879833791</c:v>
                </c:pt>
                <c:pt idx="194">
                  <c:v>117.40948783810794</c:v>
                </c:pt>
                <c:pt idx="195">
                  <c:v>118.49960686064958</c:v>
                </c:pt>
                <c:pt idx="196">
                  <c:v>119.59420126789382</c:v>
                </c:pt>
                <c:pt idx="197">
                  <c:v>120.69326648994294</c:v>
                </c:pt>
                <c:pt idx="198">
                  <c:v>121.79679798475564</c:v>
                </c:pt>
                <c:pt idx="199">
                  <c:v>122.90479123783716</c:v>
                </c:pt>
                <c:pt idx="200">
                  <c:v>124.01724176193477</c:v>
                </c:pt>
                <c:pt idx="201">
                  <c:v>125.13414509673765</c:v>
                </c:pt>
                <c:pt idx="202">
                  <c:v>126.25549680858204</c:v>
                </c:pt>
                <c:pt idx="203">
                  <c:v>127.38129249016062</c:v>
                </c:pt>
                <c:pt idx="204">
                  <c:v>128.51152776023682</c:v>
                </c:pt>
                <c:pt idx="205">
                  <c:v>129.64619826336346</c:v>
                </c:pt>
                <c:pt idx="206">
                  <c:v>130.78529966960565</c:v>
                </c:pt>
                <c:pt idx="207">
                  <c:v>131.92882767426835</c:v>
                </c:pt>
                <c:pt idx="208">
                  <c:v>133.07677799762786</c:v>
                </c:pt>
                <c:pt idx="209">
                  <c:v>134.22914638466739</c:v>
                </c:pt>
                <c:pt idx="210">
                  <c:v>135.38592860481702</c:v>
                </c:pt>
                <c:pt idx="211">
                  <c:v>136.54712045169742</c:v>
                </c:pt>
                <c:pt idx="212">
                  <c:v>137.71271774286723</c:v>
                </c:pt>
                <c:pt idx="213">
                  <c:v>138.88271631957468</c:v>
                </c:pt>
                <c:pt idx="214">
                  <c:v>140.05711204651277</c:v>
                </c:pt>
                <c:pt idx="215">
                  <c:v>141.23590081157792</c:v>
                </c:pt>
                <c:pt idx="216">
                  <c:v>142.41907852563261</c:v>
                </c:pt>
                <c:pt idx="217">
                  <c:v>143.60664112227104</c:v>
                </c:pt>
                <c:pt idx="218">
                  <c:v>144.79858455758881</c:v>
                </c:pt>
                <c:pt idx="219">
                  <c:v>145.99490480995556</c:v>
                </c:pt>
                <c:pt idx="220">
                  <c:v>147.19559787979102</c:v>
                </c:pt>
                <c:pt idx="221">
                  <c:v>148.40065978934445</c:v>
                </c:pt>
                <c:pt idx="222">
                  <c:v>149.61008658247721</c:v>
                </c:pt>
                <c:pt idx="223">
                  <c:v>150.82387432444838</c:v>
                </c:pt>
                <c:pt idx="224">
                  <c:v>152.04201910170366</c:v>
                </c:pt>
                <c:pt idx="225">
                  <c:v>153.2645170216669</c:v>
                </c:pt>
                <c:pt idx="226">
                  <c:v>154.49136421253516</c:v>
                </c:pt>
                <c:pt idx="227">
                  <c:v>155.72255682307619</c:v>
                </c:pt>
                <c:pt idx="228">
                  <c:v>156.95809102242893</c:v>
                </c:pt>
                <c:pt idx="229">
                  <c:v>158.19796299990702</c:v>
                </c:pt>
                <c:pt idx="230">
                  <c:v>159.44216896480461</c:v>
                </c:pt>
                <c:pt idx="231">
                  <c:v>160.69070514620529</c:v>
                </c:pt>
                <c:pt idx="232">
                  <c:v>161.94356779279349</c:v>
                </c:pt>
                <c:pt idx="233">
                  <c:v>163.20075317266836</c:v>
                </c:pt>
                <c:pt idx="234">
                  <c:v>164.46225757316054</c:v>
                </c:pt>
                <c:pt idx="235">
                  <c:v>165.72807730065122</c:v>
                </c:pt>
                <c:pt idx="236">
                  <c:v>166.99820868039353</c:v>
                </c:pt>
                <c:pt idx="237">
                  <c:v>168.27264805633664</c:v>
                </c:pt>
                <c:pt idx="238">
                  <c:v>169.55139179095212</c:v>
                </c:pt>
                <c:pt idx="239">
                  <c:v>170.83443626506255</c:v>
                </c:pt>
                <c:pt idx="240">
                  <c:v>172.12177787767254</c:v>
                </c:pt>
                <c:pt idx="241">
                  <c:v>173.41341304580197</c:v>
                </c:pt>
                <c:pt idx="242">
                  <c:v>174.70933820432143</c:v>
                </c:pt>
                <c:pt idx="243">
                  <c:v>176.00954980578987</c:v>
                </c:pt>
                <c:pt idx="244">
                  <c:v>177.31404432029436</c:v>
                </c:pt>
                <c:pt idx="245">
                  <c:v>178.6228182352919</c:v>
                </c:pt>
                <c:pt idx="246">
                  <c:v>179.93586805545348</c:v>
                </c:pt>
                <c:pt idx="247">
                  <c:v>181.25319030250989</c:v>
                </c:pt>
                <c:pt idx="248">
                  <c:v>182.57478151509989</c:v>
                </c:pt>
                <c:pt idx="249">
                  <c:v>183.90063824861986</c:v>
                </c:pt>
                <c:pt idx="250">
                  <c:v>185.23075707507593</c:v>
                </c:pt>
                <c:pt idx="251">
                  <c:v>186.56513458293762</c:v>
                </c:pt>
                <c:pt idx="252">
                  <c:v>187.90376737699341</c:v>
                </c:pt>
                <c:pt idx="253">
                  <c:v>189.24665207820826</c:v>
                </c:pt>
                <c:pt idx="254">
                  <c:v>190.59378532358286</c:v>
                </c:pt>
                <c:pt idx="255">
                  <c:v>191.5865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5B-459B-9C61-8F23279FC6DB}"/>
            </c:ext>
          </c:extLst>
        </c:ser>
        <c:ser>
          <c:idx val="2"/>
          <c:order val="2"/>
          <c:tx>
            <c:strRef>
              <c:f>'Gamma 1.8  9300K'!$E$16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1.8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1.8  9300K'!$E$17:$E$272</c:f>
              <c:numCache>
                <c:formatCode>0.00_ </c:formatCode>
                <c:ptCount val="256"/>
                <c:pt idx="0">
                  <c:v>8.9975190301969771E-4</c:v>
                </c:pt>
                <c:pt idx="1">
                  <c:v>1.4990288949129434E-2</c:v>
                </c:pt>
                <c:pt idx="2">
                  <c:v>4.2770324777541481E-2</c:v>
                </c:pt>
                <c:pt idx="3">
                  <c:v>8.2603593423804494E-2</c:v>
                </c:pt>
                <c:pt idx="4">
                  <c:v>0.13361581240919312</c:v>
                </c:pt>
                <c:pt idx="5">
                  <c:v>0.19521679905912731</c:v>
                </c:pt>
                <c:pt idx="6">
                  <c:v>0.26696582957974518</c:v>
                </c:pt>
                <c:pt idx="7">
                  <c:v>0.34851392698623407</c:v>
                </c:pt>
                <c:pt idx="8">
                  <c:v>0.43957386808656207</c:v>
                </c:pt>
                <c:pt idx="9">
                  <c:v>0.53990265600045029</c:v>
                </c:pt>
                <c:pt idx="10">
                  <c:v>0.64929042148500216</c:v>
                </c:pt>
                <c:pt idx="11">
                  <c:v>0.76755296962753561</c:v>
                </c:pt>
                <c:pt idx="12">
                  <c:v>0.89452654382507857</c:v>
                </c:pt>
                <c:pt idx="13">
                  <c:v>1.0300640136010377</c:v>
                </c:pt>
                <c:pt idx="14">
                  <c:v>1.1740320172099674</c:v>
                </c:pt>
                <c:pt idx="15">
                  <c:v>1.3263087675924161</c:v>
                </c:pt>
                <c:pt idx="16">
                  <c:v>1.4867823330279266</c:v>
                </c:pt>
                <c:pt idx="17">
                  <c:v>1.6553492661052225</c:v>
                </c:pt>
                <c:pt idx="18">
                  <c:v>1.831913493835934</c:v>
                </c:pt>
                <c:pt idx="19">
                  <c:v>2.0163854072494369</c:v>
                </c:pt>
                <c:pt idx="20">
                  <c:v>2.208681105884871</c:v>
                </c:pt>
                <c:pt idx="21">
                  <c:v>2.4087217643169767</c:v>
                </c:pt>
                <c:pt idx="22">
                  <c:v>2.616433096074203</c:v>
                </c:pt>
                <c:pt idx="23">
                  <c:v>2.8317448961882432</c:v>
                </c:pt>
                <c:pt idx="24">
                  <c:v>3.0545906478942215</c:v>
                </c:pt>
                <c:pt idx="25">
                  <c:v>3.2849071821651559</c:v>
                </c:pt>
                <c:pt idx="26">
                  <c:v>3.5226343811370651</c:v>
                </c:pt>
                <c:pt idx="27">
                  <c:v>3.767714918283545</c:v>
                </c:pt>
                <c:pt idx="28">
                  <c:v>4.0200940295840351</c:v>
                </c:pt>
                <c:pt idx="29">
                  <c:v>4.2797193110061933</c:v>
                </c:pt>
                <c:pt idx="30">
                  <c:v>4.5465405384675712</c:v>
                </c:pt>
                <c:pt idx="31">
                  <c:v>4.8205095071105832</c:v>
                </c:pt>
                <c:pt idx="32">
                  <c:v>5.1015798872591276</c:v>
                </c:pt>
                <c:pt idx="33">
                  <c:v>5.389707094855245</c:v>
                </c:pt>
                <c:pt idx="34">
                  <c:v>5.6848481745231698</c:v>
                </c:pt>
                <c:pt idx="35">
                  <c:v>5.9869616936928445</c:v>
                </c:pt>
                <c:pt idx="36">
                  <c:v>6.2960076464493158</c:v>
                </c:pt>
                <c:pt idx="37">
                  <c:v>6.6119473659678079</c:v>
                </c:pt>
                <c:pt idx="38">
                  <c:v>6.934743444555477</c:v>
                </c:pt>
                <c:pt idx="39">
                  <c:v>7.2643596604552814</c:v>
                </c:pt>
                <c:pt idx="40">
                  <c:v>7.6007609106806333</c:v>
                </c:pt>
                <c:pt idx="41">
                  <c:v>7.943913149244926</c:v>
                </c:pt>
                <c:pt idx="42">
                  <c:v>8.2937833302310668</c:v>
                </c:pt>
                <c:pt idx="43">
                  <c:v>8.6503393552150438</c:v>
                </c:pt>
                <c:pt idx="44">
                  <c:v>9.0135500246167037</c:v>
                </c:pt>
                <c:pt idx="45">
                  <c:v>9.3833849926013251</c:v>
                </c:pt>
                <c:pt idx="46">
                  <c:v>9.7598147251995826</c:v>
                </c:pt>
                <c:pt idx="47">
                  <c:v>10.142810461350775</c:v>
                </c:pt>
                <c:pt idx="48">
                  <c:v>10.532344176607372</c:v>
                </c:pt>
                <c:pt idx="49">
                  <c:v>10.928388549267073</c:v>
                </c:pt>
                <c:pt idx="50">
                  <c:v>11.330916928723806</c:v>
                </c:pt>
                <c:pt idx="51">
                  <c:v>11.739903305850468</c:v>
                </c:pt>
                <c:pt idx="52">
                  <c:v>12.155322285245745</c:v>
                </c:pt>
                <c:pt idx="53">
                  <c:v>12.577149059193795</c:v>
                </c:pt>
                <c:pt idx="54">
                  <c:v>13.005359383200918</c:v>
                </c:pt>
                <c:pt idx="55">
                  <c:v>13.43992955298588</c:v>
                </c:pt>
                <c:pt idx="56">
                  <c:v>13.880836382812852</c:v>
                </c:pt>
                <c:pt idx="57">
                  <c:v>14.328057185065765</c:v>
                </c:pt>
                <c:pt idx="58">
                  <c:v>14.781569750972505</c:v>
                </c:pt>
                <c:pt idx="59">
                  <c:v>15.241352332395376</c:v>
                </c:pt>
                <c:pt idx="60">
                  <c:v>15.707383624611776</c:v>
                </c:pt>
                <c:pt idx="61">
                  <c:v>16.179642750015496</c:v>
                </c:pt>
                <c:pt idx="62">
                  <c:v>16.658109242675287</c:v>
                </c:pt>
                <c:pt idx="63">
                  <c:v>17.142763033692184</c:v>
                </c:pt>
                <c:pt idx="64">
                  <c:v>17.633584437302538</c:v>
                </c:pt>
                <c:pt idx="65">
                  <c:v>18.130554137677425</c:v>
                </c:pt>
                <c:pt idx="66">
                  <c:v>18.633653176373468</c:v>
                </c:pt>
                <c:pt idx="67">
                  <c:v>19.142862940393552</c:v>
                </c:pt>
                <c:pt idx="68">
                  <c:v>19.658165150818895</c:v>
                </c:pt>
                <c:pt idx="69">
                  <c:v>20.179541851977447</c:v>
                </c:pt>
                <c:pt idx="70">
                  <c:v>20.706975401115599</c:v>
                </c:pt>
                <c:pt idx="71">
                  <c:v>21.240448458543092</c:v>
                </c:pt>
                <c:pt idx="72">
                  <c:v>21.77994397822301</c:v>
                </c:pt>
                <c:pt idx="73">
                  <c:v>22.325445198780876</c:v>
                </c:pt>
                <c:pt idx="74">
                  <c:v>22.876935634908673</c:v>
                </c:pt>
                <c:pt idx="75">
                  <c:v>23.434399069141396</c:v>
                </c:pt>
                <c:pt idx="76">
                  <c:v>23.997819543984946</c:v>
                </c:pt>
                <c:pt idx="77">
                  <c:v>24.567181354376473</c:v>
                </c:pt>
                <c:pt idx="78">
                  <c:v>25.142469040458302</c:v>
                </c:pt>
                <c:pt idx="79">
                  <c:v>25.723667380649193</c:v>
                </c:pt>
                <c:pt idx="80">
                  <c:v>26.310761384996496</c:v>
                </c:pt>
                <c:pt idx="81">
                  <c:v>26.903736288794924</c:v>
                </c:pt>
                <c:pt idx="82">
                  <c:v>27.502577546457818</c:v>
                </c:pt>
                <c:pt idx="83">
                  <c:v>28.107270825627957</c:v>
                </c:pt>
                <c:pt idx="84">
                  <c:v>28.717802001515924</c:v>
                </c:pt>
                <c:pt idx="85">
                  <c:v>29.334157151454392</c:v>
                </c:pt>
                <c:pt idx="86">
                  <c:v>29.956322549657944</c:v>
                </c:pt>
                <c:pt idx="87">
                  <c:v>30.584284662178089</c:v>
                </c:pt>
                <c:pt idx="88">
                  <c:v>31.218030142044217</c:v>
                </c:pt>
                <c:pt idx="89">
                  <c:v>31.857545824581464</c:v>
                </c:pt>
                <c:pt idx="90">
                  <c:v>32.502818722897345</c:v>
                </c:pt>
                <c:pt idx="91">
                  <c:v>33.153836023528925</c:v>
                </c:pt>
                <c:pt idx="92">
                  <c:v>33.810585082243477</c:v>
                </c:pt>
                <c:pt idx="93">
                  <c:v>34.473053419985355</c:v>
                </c:pt>
                <c:pt idx="94">
                  <c:v>35.141228718962523</c:v>
                </c:pt>
                <c:pt idx="95">
                  <c:v>35.815098818866637</c:v>
                </c:pt>
                <c:pt idx="96">
                  <c:v>36.494651713220456</c:v>
                </c:pt>
                <c:pt idx="97">
                  <c:v>37.179875545847366</c:v>
                </c:pt>
                <c:pt idx="98">
                  <c:v>37.870758607457446</c:v>
                </c:pt>
                <c:pt idx="99">
                  <c:v>38.567289332345268</c:v>
                </c:pt>
                <c:pt idx="100">
                  <c:v>39.269456295194374</c:v>
                </c:pt>
                <c:pt idx="101">
                  <c:v>39.977248207984523</c:v>
                </c:pt>
                <c:pt idx="102">
                  <c:v>40.690653916996709</c:v>
                </c:pt>
                <c:pt idx="103">
                  <c:v>41.409662399912449</c:v>
                </c:pt>
                <c:pt idx="104">
                  <c:v>42.134262763003321</c:v>
                </c:pt>
                <c:pt idx="105">
                  <c:v>42.86444423840706</c:v>
                </c:pt>
                <c:pt idx="106">
                  <c:v>43.600196181486751</c:v>
                </c:pt>
                <c:pt idx="107">
                  <c:v>44.341508068269945</c:v>
                </c:pt>
                <c:pt idx="108">
                  <c:v>45.088369492964347</c:v>
                </c:pt>
                <c:pt idx="109">
                  <c:v>45.840770165547376</c:v>
                </c:pt>
                <c:pt idx="110">
                  <c:v>46.59869990942633</c:v>
                </c:pt>
                <c:pt idx="111">
                  <c:v>47.362148659167033</c:v>
                </c:pt>
                <c:pt idx="112">
                  <c:v>48.131106458287746</c:v>
                </c:pt>
                <c:pt idx="113">
                  <c:v>48.905563457116379</c:v>
                </c:pt>
                <c:pt idx="114">
                  <c:v>49.685509910708411</c:v>
                </c:pt>
                <c:pt idx="115">
                  <c:v>50.470936176823294</c:v>
                </c:pt>
                <c:pt idx="116">
                  <c:v>51.261832713957233</c:v>
                </c:pt>
                <c:pt idx="117">
                  <c:v>52.05819007943041</c:v>
                </c:pt>
                <c:pt idx="118">
                  <c:v>52.859998927526441</c:v>
                </c:pt>
                <c:pt idx="119">
                  <c:v>53.667250007682441</c:v>
                </c:pt>
                <c:pt idx="120">
                  <c:v>54.47993416272778</c:v>
                </c:pt>
                <c:pt idx="121">
                  <c:v>55.298042327169917</c:v>
                </c:pt>
                <c:pt idx="122">
                  <c:v>56.121565525525504</c:v>
                </c:pt>
                <c:pt idx="123">
                  <c:v>56.950494870695451</c:v>
                </c:pt>
                <c:pt idx="124">
                  <c:v>57.784821562382241</c:v>
                </c:pt>
                <c:pt idx="125">
                  <c:v>58.624536885548139</c:v>
                </c:pt>
                <c:pt idx="126">
                  <c:v>59.469632208912955</c:v>
                </c:pt>
                <c:pt idx="127">
                  <c:v>60.320098983489885</c:v>
                </c:pt>
                <c:pt idx="128">
                  <c:v>61.175928741158486</c:v>
                </c:pt>
                <c:pt idx="129">
                  <c:v>62.037113093273277</c:v>
                </c:pt>
                <c:pt idx="130">
                  <c:v>62.90364372930663</c:v>
                </c:pt>
                <c:pt idx="131">
                  <c:v>63.775512415525689</c:v>
                </c:pt>
                <c:pt idx="132">
                  <c:v>64.652710993700978</c:v>
                </c:pt>
                <c:pt idx="133">
                  <c:v>65.535231379846977</c:v>
                </c:pt>
                <c:pt idx="134">
                  <c:v>66.42306556299242</c:v>
                </c:pt>
                <c:pt idx="135">
                  <c:v>67.316205603980563</c:v>
                </c:pt>
                <c:pt idx="136">
                  <c:v>68.214643634297431</c:v>
                </c:pt>
                <c:pt idx="137">
                  <c:v>69.1183718549281</c:v>
                </c:pt>
                <c:pt idx="138">
                  <c:v>70.027382535239283</c:v>
                </c:pt>
                <c:pt idx="139">
                  <c:v>70.941668011888268</c:v>
                </c:pt>
                <c:pt idx="140">
                  <c:v>71.861220687756713</c:v>
                </c:pt>
                <c:pt idx="141">
                  <c:v>72.786033030908968</c:v>
                </c:pt>
                <c:pt idx="142">
                  <c:v>73.716097573574018</c:v>
                </c:pt>
                <c:pt idx="143">
                  <c:v>74.651406911150417</c:v>
                </c:pt>
                <c:pt idx="144">
                  <c:v>75.591953701233422</c:v>
                </c:pt>
                <c:pt idx="145">
                  <c:v>76.537730662663947</c:v>
                </c:pt>
                <c:pt idx="146">
                  <c:v>77.488730574598335</c:v>
                </c:pt>
                <c:pt idx="147">
                  <c:v>78.444946275598696</c:v>
                </c:pt>
                <c:pt idx="148">
                  <c:v>79.406370662742916</c:v>
                </c:pt>
                <c:pt idx="149">
                  <c:v>80.372996690754036</c:v>
                </c:pt>
                <c:pt idx="150">
                  <c:v>81.344817371148366</c:v>
                </c:pt>
                <c:pt idx="151">
                  <c:v>82.321825771401691</c:v>
                </c:pt>
                <c:pt idx="152">
                  <c:v>83.304015014133142</c:v>
                </c:pt>
                <c:pt idx="153">
                  <c:v>84.291378276306531</c:v>
                </c:pt>
                <c:pt idx="154">
                  <c:v>85.283908788447931</c:v>
                </c:pt>
                <c:pt idx="155">
                  <c:v>86.28159983388008</c:v>
                </c:pt>
                <c:pt idx="156">
                  <c:v>87.284444747972174</c:v>
                </c:pt>
                <c:pt idx="157">
                  <c:v>88.292436917405254</c:v>
                </c:pt>
                <c:pt idx="158">
                  <c:v>89.305569779452568</c:v>
                </c:pt>
                <c:pt idx="159">
                  <c:v>90.32383682127444</c:v>
                </c:pt>
                <c:pt idx="160">
                  <c:v>91.347231579227511</c:v>
                </c:pt>
                <c:pt idx="161">
                  <c:v>92.375747638187576</c:v>
                </c:pt>
                <c:pt idx="162">
                  <c:v>93.409378630886067</c:v>
                </c:pt>
                <c:pt idx="163">
                  <c:v>94.448118237259678</c:v>
                </c:pt>
                <c:pt idx="164">
                  <c:v>95.491960183812523</c:v>
                </c:pt>
                <c:pt idx="165">
                  <c:v>96.540898242991119</c:v>
                </c:pt>
                <c:pt idx="166">
                  <c:v>97.594926232571069</c:v>
                </c:pt>
                <c:pt idx="167">
                  <c:v>98.654038015056045</c:v>
                </c:pt>
                <c:pt idx="168">
                  <c:v>99.718227497087938</c:v>
                </c:pt>
                <c:pt idx="169">
                  <c:v>100.78748862886842</c:v>
                </c:pt>
                <c:pt idx="170">
                  <c:v>101.86181540359128</c:v>
                </c:pt>
                <c:pt idx="171">
                  <c:v>102.94120185688588</c:v>
                </c:pt>
                <c:pt idx="172">
                  <c:v>104.02564206627055</c:v>
                </c:pt>
                <c:pt idx="173">
                  <c:v>105.11513015061634</c:v>
                </c:pt>
                <c:pt idx="174">
                  <c:v>106.2096602696209</c:v>
                </c:pt>
                <c:pt idx="175">
                  <c:v>107.30922662329169</c:v>
                </c:pt>
                <c:pt idx="176">
                  <c:v>108.41382345143899</c:v>
                </c:pt>
                <c:pt idx="177">
                  <c:v>109.52344503317774</c:v>
                </c:pt>
                <c:pt idx="178">
                  <c:v>110.63808568643888</c:v>
                </c:pt>
                <c:pt idx="179">
                  <c:v>111.75773976748907</c:v>
                </c:pt>
                <c:pt idx="180">
                  <c:v>112.88240167045919</c:v>
                </c:pt>
                <c:pt idx="181">
                  <c:v>114.01206582688127</c:v>
                </c:pt>
                <c:pt idx="182">
                  <c:v>115.14672670523335</c:v>
                </c:pt>
                <c:pt idx="183">
                  <c:v>116.28637881049278</c:v>
                </c:pt>
                <c:pt idx="184">
                  <c:v>117.43101668369698</c:v>
                </c:pt>
                <c:pt idx="185">
                  <c:v>118.5806349015119</c:v>
                </c:pt>
                <c:pt idx="186">
                  <c:v>119.73522807580807</c:v>
                </c:pt>
                <c:pt idx="187">
                  <c:v>120.89479085324393</c:v>
                </c:pt>
                <c:pt idx="188">
                  <c:v>122.05931791485622</c:v>
                </c:pt>
                <c:pt idx="189">
                  <c:v>123.22880397565743</c:v>
                </c:pt>
                <c:pt idx="190">
                  <c:v>124.40324378423988</c:v>
                </c:pt>
                <c:pt idx="191">
                  <c:v>125.58263212238674</c:v>
                </c:pt>
                <c:pt idx="192">
                  <c:v>126.76696380468957</c:v>
                </c:pt>
                <c:pt idx="193">
                  <c:v>127.9562336781717</c:v>
                </c:pt>
                <c:pt idx="194">
                  <c:v>129.15043662191874</c:v>
                </c:pt>
                <c:pt idx="195">
                  <c:v>130.34956754671452</c:v>
                </c:pt>
                <c:pt idx="196">
                  <c:v>131.5536213946832</c:v>
                </c:pt>
                <c:pt idx="197">
                  <c:v>132.76259313893723</c:v>
                </c:pt>
                <c:pt idx="198">
                  <c:v>133.97647778323122</c:v>
                </c:pt>
                <c:pt idx="199">
                  <c:v>135.19527036162089</c:v>
                </c:pt>
                <c:pt idx="200">
                  <c:v>136.41896593812825</c:v>
                </c:pt>
                <c:pt idx="201">
                  <c:v>137.64755960641142</c:v>
                </c:pt>
                <c:pt idx="202">
                  <c:v>138.88104648944025</c:v>
                </c:pt>
                <c:pt idx="203">
                  <c:v>140.11942173917669</c:v>
                </c:pt>
                <c:pt idx="204">
                  <c:v>141.36268053626048</c:v>
                </c:pt>
                <c:pt idx="205">
                  <c:v>142.61081808969982</c:v>
                </c:pt>
                <c:pt idx="206">
                  <c:v>143.86382963656621</c:v>
                </c:pt>
                <c:pt idx="207">
                  <c:v>145.12171044169517</c:v>
                </c:pt>
                <c:pt idx="208">
                  <c:v>146.38445579739064</c:v>
                </c:pt>
                <c:pt idx="209">
                  <c:v>147.65206102313414</c:v>
                </c:pt>
                <c:pt idx="210">
                  <c:v>148.92452146529874</c:v>
                </c:pt>
                <c:pt idx="211">
                  <c:v>150.20183249686715</c:v>
                </c:pt>
                <c:pt idx="212">
                  <c:v>151.48398951715396</c:v>
                </c:pt>
                <c:pt idx="213">
                  <c:v>152.77098795153216</c:v>
                </c:pt>
                <c:pt idx="214">
                  <c:v>154.06282325116405</c:v>
                </c:pt>
                <c:pt idx="215">
                  <c:v>155.35949089273572</c:v>
                </c:pt>
                <c:pt idx="216">
                  <c:v>156.66098637819587</c:v>
                </c:pt>
                <c:pt idx="217">
                  <c:v>157.96730523449816</c:v>
                </c:pt>
                <c:pt idx="218">
                  <c:v>159.2784430133477</c:v>
                </c:pt>
                <c:pt idx="219">
                  <c:v>160.59439529095113</c:v>
                </c:pt>
                <c:pt idx="220">
                  <c:v>161.91515766777013</c:v>
                </c:pt>
                <c:pt idx="221">
                  <c:v>163.24072576827888</c:v>
                </c:pt>
                <c:pt idx="222">
                  <c:v>164.57109524072493</c:v>
                </c:pt>
                <c:pt idx="223">
                  <c:v>165.90626175689323</c:v>
                </c:pt>
                <c:pt idx="224">
                  <c:v>167.24622101187401</c:v>
                </c:pt>
                <c:pt idx="225">
                  <c:v>168.59096872383358</c:v>
                </c:pt>
                <c:pt idx="226">
                  <c:v>169.94050063378867</c:v>
                </c:pt>
                <c:pt idx="227">
                  <c:v>171.29481250538382</c:v>
                </c:pt>
                <c:pt idx="228">
                  <c:v>172.65390012467182</c:v>
                </c:pt>
                <c:pt idx="229">
                  <c:v>174.01775929989773</c:v>
                </c:pt>
                <c:pt idx="230">
                  <c:v>175.38638586128508</c:v>
                </c:pt>
                <c:pt idx="231">
                  <c:v>176.75977566082582</c:v>
                </c:pt>
                <c:pt idx="232">
                  <c:v>178.13792457207285</c:v>
                </c:pt>
                <c:pt idx="233">
                  <c:v>179.52082848993518</c:v>
                </c:pt>
                <c:pt idx="234">
                  <c:v>180.9084833304766</c:v>
                </c:pt>
                <c:pt idx="235">
                  <c:v>182.30088503071636</c:v>
                </c:pt>
                <c:pt idx="236">
                  <c:v>183.69802954843288</c:v>
                </c:pt>
                <c:pt idx="237">
                  <c:v>185.0999128619703</c:v>
                </c:pt>
                <c:pt idx="238">
                  <c:v>186.50653097004732</c:v>
                </c:pt>
                <c:pt idx="239">
                  <c:v>187.91787989156882</c:v>
                </c:pt>
                <c:pt idx="240">
                  <c:v>189.33395566543979</c:v>
                </c:pt>
                <c:pt idx="241">
                  <c:v>190.75475435038217</c:v>
                </c:pt>
                <c:pt idx="242">
                  <c:v>192.18027202475358</c:v>
                </c:pt>
                <c:pt idx="243">
                  <c:v>193.61050478636886</c:v>
                </c:pt>
                <c:pt idx="244">
                  <c:v>195.04544875232381</c:v>
                </c:pt>
                <c:pt idx="245">
                  <c:v>196.4851000588211</c:v>
                </c:pt>
                <c:pt idx="246">
                  <c:v>197.92945486099882</c:v>
                </c:pt>
                <c:pt idx="247">
                  <c:v>199.37850933276087</c:v>
                </c:pt>
                <c:pt idx="248">
                  <c:v>200.83225966660987</c:v>
                </c:pt>
                <c:pt idx="249">
                  <c:v>202.29070207348184</c:v>
                </c:pt>
                <c:pt idx="250">
                  <c:v>203.75383278258352</c:v>
                </c:pt>
                <c:pt idx="251">
                  <c:v>205.22164804123139</c:v>
                </c:pt>
                <c:pt idx="252">
                  <c:v>206.69414411469276</c:v>
                </c:pt>
                <c:pt idx="253">
                  <c:v>208.17131728602908</c:v>
                </c:pt>
                <c:pt idx="254">
                  <c:v>209.65316385594116</c:v>
                </c:pt>
                <c:pt idx="255">
                  <c:v>210.74515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5B-459B-9C61-8F23279FC6DB}"/>
            </c:ext>
          </c:extLst>
        </c:ser>
        <c:ser>
          <c:idx val="3"/>
          <c:order val="3"/>
          <c:tx>
            <c:strRef>
              <c:f>'Gamma 1.8  9300K'!$F$16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1.8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1.8  9300K'!$F$17:$F$272</c:f>
              <c:numCache>
                <c:formatCode>General</c:formatCode>
                <c:ptCount val="256"/>
                <c:pt idx="0">
                  <c:v>0.2651</c:v>
                </c:pt>
                <c:pt idx="1">
                  <c:v>0.28029999999999999</c:v>
                </c:pt>
                <c:pt idx="2">
                  <c:v>0.29089999999999999</c:v>
                </c:pt>
                <c:pt idx="3">
                  <c:v>0.30930000000000002</c:v>
                </c:pt>
                <c:pt idx="4">
                  <c:v>0.32369999999999999</c:v>
                </c:pt>
                <c:pt idx="5">
                  <c:v>0.35830000000000001</c:v>
                </c:pt>
                <c:pt idx="6">
                  <c:v>0.38640000000000002</c:v>
                </c:pt>
                <c:pt idx="7">
                  <c:v>0.44540000000000002</c:v>
                </c:pt>
                <c:pt idx="8">
                  <c:v>0.51039999999999996</c:v>
                </c:pt>
                <c:pt idx="9">
                  <c:v>0.57709999999999995</c:v>
                </c:pt>
                <c:pt idx="10">
                  <c:v>0.67149999999999999</c:v>
                </c:pt>
                <c:pt idx="11">
                  <c:v>0.78539999999999999</c:v>
                </c:pt>
                <c:pt idx="12">
                  <c:v>0.88580000000000003</c:v>
                </c:pt>
                <c:pt idx="13">
                  <c:v>0.99809999999999999</c:v>
                </c:pt>
                <c:pt idx="14">
                  <c:v>1.1532</c:v>
                </c:pt>
                <c:pt idx="15">
                  <c:v>1.2396</c:v>
                </c:pt>
                <c:pt idx="16">
                  <c:v>1.3694</c:v>
                </c:pt>
                <c:pt idx="17">
                  <c:v>1.5490999999999999</c:v>
                </c:pt>
                <c:pt idx="18">
                  <c:v>1.6314</c:v>
                </c:pt>
                <c:pt idx="19">
                  <c:v>1.8015000000000001</c:v>
                </c:pt>
                <c:pt idx="20">
                  <c:v>1.9686999999999999</c:v>
                </c:pt>
                <c:pt idx="21">
                  <c:v>2.0735999999999999</c:v>
                </c:pt>
                <c:pt idx="22">
                  <c:v>2.3027000000000002</c:v>
                </c:pt>
                <c:pt idx="23">
                  <c:v>2.4689999999999999</c:v>
                </c:pt>
                <c:pt idx="24">
                  <c:v>2.7233000000000001</c:v>
                </c:pt>
                <c:pt idx="25">
                  <c:v>2.8978999999999999</c:v>
                </c:pt>
                <c:pt idx="26">
                  <c:v>3.0985999999999998</c:v>
                </c:pt>
                <c:pt idx="27">
                  <c:v>3.4176000000000002</c:v>
                </c:pt>
                <c:pt idx="28">
                  <c:v>3.5872000000000002</c:v>
                </c:pt>
                <c:pt idx="29">
                  <c:v>3.7854000000000001</c:v>
                </c:pt>
                <c:pt idx="30">
                  <c:v>4.1262999999999996</c:v>
                </c:pt>
                <c:pt idx="31">
                  <c:v>4.3863000000000003</c:v>
                </c:pt>
                <c:pt idx="32">
                  <c:v>4.5845000000000002</c:v>
                </c:pt>
                <c:pt idx="33">
                  <c:v>4.8437000000000001</c:v>
                </c:pt>
                <c:pt idx="34">
                  <c:v>5.3232999999999997</c:v>
                </c:pt>
                <c:pt idx="35">
                  <c:v>5.5296000000000003</c:v>
                </c:pt>
                <c:pt idx="36">
                  <c:v>5.8148999999999997</c:v>
                </c:pt>
                <c:pt idx="37">
                  <c:v>6.0423</c:v>
                </c:pt>
                <c:pt idx="38">
                  <c:v>6.5206999999999997</c:v>
                </c:pt>
                <c:pt idx="39">
                  <c:v>6.8442999999999996</c:v>
                </c:pt>
                <c:pt idx="40">
                  <c:v>7.1181999999999999</c:v>
                </c:pt>
                <c:pt idx="41">
                  <c:v>7.444</c:v>
                </c:pt>
                <c:pt idx="42">
                  <c:v>7.6924999999999999</c:v>
                </c:pt>
                <c:pt idx="43">
                  <c:v>8.0739000000000001</c:v>
                </c:pt>
                <c:pt idx="44">
                  <c:v>8.4415999999999993</c:v>
                </c:pt>
                <c:pt idx="45">
                  <c:v>8.7318999999999996</c:v>
                </c:pt>
                <c:pt idx="46">
                  <c:v>9.0624000000000002</c:v>
                </c:pt>
                <c:pt idx="47">
                  <c:v>9.3187999999999995</c:v>
                </c:pt>
                <c:pt idx="48">
                  <c:v>9.7796000000000003</c:v>
                </c:pt>
                <c:pt idx="49">
                  <c:v>10.0573</c:v>
                </c:pt>
                <c:pt idx="50">
                  <c:v>10.468299999999999</c:v>
                </c:pt>
                <c:pt idx="51">
                  <c:v>10.740600000000001</c:v>
                </c:pt>
                <c:pt idx="52">
                  <c:v>11.198</c:v>
                </c:pt>
                <c:pt idx="53">
                  <c:v>11.543699999999999</c:v>
                </c:pt>
                <c:pt idx="54">
                  <c:v>11.6517</c:v>
                </c:pt>
                <c:pt idx="55">
                  <c:v>12.0944</c:v>
                </c:pt>
                <c:pt idx="56">
                  <c:v>12.3226</c:v>
                </c:pt>
                <c:pt idx="57">
                  <c:v>12.8239</c:v>
                </c:pt>
                <c:pt idx="58">
                  <c:v>13.2151</c:v>
                </c:pt>
                <c:pt idx="59">
                  <c:v>13.692299999999999</c:v>
                </c:pt>
                <c:pt idx="60">
                  <c:v>14.092000000000001</c:v>
                </c:pt>
                <c:pt idx="61">
                  <c:v>14.518700000000001</c:v>
                </c:pt>
                <c:pt idx="62">
                  <c:v>15.0579</c:v>
                </c:pt>
                <c:pt idx="63">
                  <c:v>15.451499999999999</c:v>
                </c:pt>
                <c:pt idx="64">
                  <c:v>15.8558</c:v>
                </c:pt>
                <c:pt idx="65">
                  <c:v>16.299499999999998</c:v>
                </c:pt>
                <c:pt idx="66">
                  <c:v>16.831</c:v>
                </c:pt>
                <c:pt idx="67">
                  <c:v>17.256799999999998</c:v>
                </c:pt>
                <c:pt idx="68">
                  <c:v>17.397500000000001</c:v>
                </c:pt>
                <c:pt idx="69">
                  <c:v>17.8035</c:v>
                </c:pt>
                <c:pt idx="70">
                  <c:v>18.2409</c:v>
                </c:pt>
                <c:pt idx="71">
                  <c:v>18.867799999999999</c:v>
                </c:pt>
                <c:pt idx="72">
                  <c:v>19.341799999999999</c:v>
                </c:pt>
                <c:pt idx="73">
                  <c:v>19.960100000000001</c:v>
                </c:pt>
                <c:pt idx="74">
                  <c:v>20.216999999999999</c:v>
                </c:pt>
                <c:pt idx="75">
                  <c:v>20.823499999999999</c:v>
                </c:pt>
                <c:pt idx="76">
                  <c:v>21.308199999999999</c:v>
                </c:pt>
                <c:pt idx="77">
                  <c:v>22.0472</c:v>
                </c:pt>
                <c:pt idx="78">
                  <c:v>22.562999999999999</c:v>
                </c:pt>
                <c:pt idx="79">
                  <c:v>23.221299999999999</c:v>
                </c:pt>
                <c:pt idx="80">
                  <c:v>23.5641</c:v>
                </c:pt>
                <c:pt idx="81">
                  <c:v>24.191500000000001</c:v>
                </c:pt>
                <c:pt idx="82">
                  <c:v>24.758600000000001</c:v>
                </c:pt>
                <c:pt idx="83">
                  <c:v>24.959700000000002</c:v>
                </c:pt>
                <c:pt idx="84">
                  <c:v>25.681000000000001</c:v>
                </c:pt>
                <c:pt idx="85">
                  <c:v>26.241700000000002</c:v>
                </c:pt>
                <c:pt idx="86">
                  <c:v>26.744399999999999</c:v>
                </c:pt>
                <c:pt idx="87">
                  <c:v>27.216899999999999</c:v>
                </c:pt>
                <c:pt idx="88">
                  <c:v>27.982700000000001</c:v>
                </c:pt>
                <c:pt idx="89">
                  <c:v>28.535299999999999</c:v>
                </c:pt>
                <c:pt idx="90">
                  <c:v>29.127600000000001</c:v>
                </c:pt>
                <c:pt idx="91">
                  <c:v>29.8993</c:v>
                </c:pt>
                <c:pt idx="92">
                  <c:v>30.4771</c:v>
                </c:pt>
                <c:pt idx="93">
                  <c:v>30.492699999999999</c:v>
                </c:pt>
                <c:pt idx="94">
                  <c:v>31.292899999999999</c:v>
                </c:pt>
                <c:pt idx="95">
                  <c:v>31.925899999999999</c:v>
                </c:pt>
                <c:pt idx="96">
                  <c:v>32.721299999999999</c:v>
                </c:pt>
                <c:pt idx="97">
                  <c:v>33.357999999999997</c:v>
                </c:pt>
                <c:pt idx="98">
                  <c:v>34.032400000000003</c:v>
                </c:pt>
                <c:pt idx="99">
                  <c:v>34.553800000000003</c:v>
                </c:pt>
                <c:pt idx="100">
                  <c:v>35.428800000000003</c:v>
                </c:pt>
                <c:pt idx="101">
                  <c:v>36.1248</c:v>
                </c:pt>
                <c:pt idx="102">
                  <c:v>36.335900000000002</c:v>
                </c:pt>
                <c:pt idx="103">
                  <c:v>36.967500000000001</c:v>
                </c:pt>
                <c:pt idx="104">
                  <c:v>37.686199999999999</c:v>
                </c:pt>
                <c:pt idx="105">
                  <c:v>38.585900000000002</c:v>
                </c:pt>
                <c:pt idx="106">
                  <c:v>39.227899999999998</c:v>
                </c:pt>
                <c:pt idx="107">
                  <c:v>39.872599999999998</c:v>
                </c:pt>
                <c:pt idx="108">
                  <c:v>40.751300000000001</c:v>
                </c:pt>
                <c:pt idx="109">
                  <c:v>41.369300000000003</c:v>
                </c:pt>
                <c:pt idx="110">
                  <c:v>42.3476</c:v>
                </c:pt>
                <c:pt idx="111">
                  <c:v>42.586399999999998</c:v>
                </c:pt>
                <c:pt idx="112">
                  <c:v>43.028100000000002</c:v>
                </c:pt>
                <c:pt idx="113">
                  <c:v>43.996600000000001</c:v>
                </c:pt>
                <c:pt idx="114">
                  <c:v>44.709299999999999</c:v>
                </c:pt>
                <c:pt idx="115">
                  <c:v>45.704000000000001</c:v>
                </c:pt>
                <c:pt idx="116">
                  <c:v>46.4863</c:v>
                </c:pt>
                <c:pt idx="117">
                  <c:v>47.496899999999997</c:v>
                </c:pt>
                <c:pt idx="118">
                  <c:v>48.289200000000001</c:v>
                </c:pt>
                <c:pt idx="119">
                  <c:v>49.0608</c:v>
                </c:pt>
                <c:pt idx="120">
                  <c:v>50.0426</c:v>
                </c:pt>
                <c:pt idx="121">
                  <c:v>50.2958</c:v>
                </c:pt>
                <c:pt idx="122">
                  <c:v>51.004399999999997</c:v>
                </c:pt>
                <c:pt idx="123">
                  <c:v>52.020400000000002</c:v>
                </c:pt>
                <c:pt idx="124">
                  <c:v>52.529200000000003</c:v>
                </c:pt>
                <c:pt idx="125">
                  <c:v>53.597000000000001</c:v>
                </c:pt>
                <c:pt idx="126">
                  <c:v>54.377499999999998</c:v>
                </c:pt>
                <c:pt idx="127">
                  <c:v>55.213799999999999</c:v>
                </c:pt>
                <c:pt idx="128">
                  <c:v>56.296399999999998</c:v>
                </c:pt>
                <c:pt idx="129">
                  <c:v>56.651000000000003</c:v>
                </c:pt>
                <c:pt idx="130">
                  <c:v>57.523000000000003</c:v>
                </c:pt>
                <c:pt idx="131">
                  <c:v>58.7117</c:v>
                </c:pt>
                <c:pt idx="132">
                  <c:v>59.584299999999999</c:v>
                </c:pt>
                <c:pt idx="133">
                  <c:v>60.480600000000003</c:v>
                </c:pt>
                <c:pt idx="134">
                  <c:v>61.313899999999997</c:v>
                </c:pt>
                <c:pt idx="135">
                  <c:v>61.564700000000002</c:v>
                </c:pt>
                <c:pt idx="136">
                  <c:v>62.3994</c:v>
                </c:pt>
                <c:pt idx="137">
                  <c:v>63.536200000000001</c:v>
                </c:pt>
                <c:pt idx="138">
                  <c:v>64.5017</c:v>
                </c:pt>
                <c:pt idx="139">
                  <c:v>65.468500000000006</c:v>
                </c:pt>
                <c:pt idx="140">
                  <c:v>66.377300000000005</c:v>
                </c:pt>
                <c:pt idx="141">
                  <c:v>66.662599999999998</c:v>
                </c:pt>
                <c:pt idx="142">
                  <c:v>67.7453</c:v>
                </c:pt>
                <c:pt idx="143">
                  <c:v>69.002799999999993</c:v>
                </c:pt>
                <c:pt idx="144">
                  <c:v>69.924800000000005</c:v>
                </c:pt>
                <c:pt idx="145">
                  <c:v>70.868099999999998</c:v>
                </c:pt>
                <c:pt idx="146">
                  <c:v>70.853700000000003</c:v>
                </c:pt>
                <c:pt idx="147">
                  <c:v>72.062200000000004</c:v>
                </c:pt>
                <c:pt idx="148">
                  <c:v>72.964600000000004</c:v>
                </c:pt>
                <c:pt idx="149">
                  <c:v>74.040099999999995</c:v>
                </c:pt>
                <c:pt idx="150">
                  <c:v>74.346199999999996</c:v>
                </c:pt>
                <c:pt idx="151">
                  <c:v>75.392099999999999</c:v>
                </c:pt>
                <c:pt idx="152">
                  <c:v>76.423900000000003</c:v>
                </c:pt>
                <c:pt idx="153">
                  <c:v>77.501300000000001</c:v>
                </c:pt>
                <c:pt idx="154">
                  <c:v>78.820499999999996</c:v>
                </c:pt>
                <c:pt idx="155">
                  <c:v>78.846199999999996</c:v>
                </c:pt>
                <c:pt idx="156">
                  <c:v>79.863299999999995</c:v>
                </c:pt>
                <c:pt idx="157">
                  <c:v>81.189599999999999</c:v>
                </c:pt>
                <c:pt idx="158">
                  <c:v>81.884299999999996</c:v>
                </c:pt>
                <c:pt idx="159">
                  <c:v>82.221500000000006</c:v>
                </c:pt>
                <c:pt idx="160">
                  <c:v>83.615200000000002</c:v>
                </c:pt>
                <c:pt idx="161">
                  <c:v>84.318299999999994</c:v>
                </c:pt>
                <c:pt idx="162">
                  <c:v>85.608699999999999</c:v>
                </c:pt>
                <c:pt idx="163">
                  <c:v>86.043999999999997</c:v>
                </c:pt>
                <c:pt idx="164">
                  <c:v>87.182000000000002</c:v>
                </c:pt>
                <c:pt idx="165">
                  <c:v>88.2654</c:v>
                </c:pt>
                <c:pt idx="166">
                  <c:v>89.346800000000002</c:v>
                </c:pt>
                <c:pt idx="167">
                  <c:v>89.709500000000006</c:v>
                </c:pt>
                <c:pt idx="168">
                  <c:v>90.735799999999998</c:v>
                </c:pt>
                <c:pt idx="169">
                  <c:v>91.891599999999997</c:v>
                </c:pt>
                <c:pt idx="170">
                  <c:v>93.061000000000007</c:v>
                </c:pt>
                <c:pt idx="171">
                  <c:v>94.229699999999994</c:v>
                </c:pt>
                <c:pt idx="172">
                  <c:v>94.659700000000001</c:v>
                </c:pt>
                <c:pt idx="173">
                  <c:v>95.72</c:v>
                </c:pt>
                <c:pt idx="174">
                  <c:v>96.792699999999996</c:v>
                </c:pt>
                <c:pt idx="175">
                  <c:v>97.967699999999994</c:v>
                </c:pt>
                <c:pt idx="176">
                  <c:v>98.427400000000006</c:v>
                </c:pt>
                <c:pt idx="177">
                  <c:v>99.561499999999995</c:v>
                </c:pt>
                <c:pt idx="178">
                  <c:v>100.9984</c:v>
                </c:pt>
                <c:pt idx="179">
                  <c:v>102.15779999999999</c:v>
                </c:pt>
                <c:pt idx="180">
                  <c:v>102.1379</c:v>
                </c:pt>
                <c:pt idx="181">
                  <c:v>103.3058</c:v>
                </c:pt>
                <c:pt idx="182">
                  <c:v>104.81950000000001</c:v>
                </c:pt>
                <c:pt idx="183">
                  <c:v>104.92319999999999</c:v>
                </c:pt>
                <c:pt idx="184">
                  <c:v>106.5376</c:v>
                </c:pt>
                <c:pt idx="185">
                  <c:v>107.71939999999999</c:v>
                </c:pt>
                <c:pt idx="186">
                  <c:v>108.9156</c:v>
                </c:pt>
                <c:pt idx="187">
                  <c:v>109.03149999999999</c:v>
                </c:pt>
                <c:pt idx="188">
                  <c:v>110.5727</c:v>
                </c:pt>
                <c:pt idx="189">
                  <c:v>111.752</c:v>
                </c:pt>
                <c:pt idx="190">
                  <c:v>112.9187</c:v>
                </c:pt>
                <c:pt idx="191">
                  <c:v>113.2688</c:v>
                </c:pt>
                <c:pt idx="192">
                  <c:v>114.6165</c:v>
                </c:pt>
                <c:pt idx="193">
                  <c:v>115.8335</c:v>
                </c:pt>
                <c:pt idx="194">
                  <c:v>117.0994</c:v>
                </c:pt>
                <c:pt idx="195">
                  <c:v>117.5521</c:v>
                </c:pt>
                <c:pt idx="196">
                  <c:v>118.8034</c:v>
                </c:pt>
                <c:pt idx="197">
                  <c:v>120.0457</c:v>
                </c:pt>
                <c:pt idx="198">
                  <c:v>121.6772</c:v>
                </c:pt>
                <c:pt idx="199">
                  <c:v>121.6707</c:v>
                </c:pt>
                <c:pt idx="200">
                  <c:v>122.9092</c:v>
                </c:pt>
                <c:pt idx="201">
                  <c:v>124.56059999999999</c:v>
                </c:pt>
                <c:pt idx="202">
                  <c:v>125.3969</c:v>
                </c:pt>
                <c:pt idx="203">
                  <c:v>125.8443</c:v>
                </c:pt>
                <c:pt idx="204">
                  <c:v>127.5605</c:v>
                </c:pt>
                <c:pt idx="205">
                  <c:v>128.80250000000001</c:v>
                </c:pt>
                <c:pt idx="206">
                  <c:v>130.10919999999999</c:v>
                </c:pt>
                <c:pt idx="207">
                  <c:v>130.5119</c:v>
                </c:pt>
                <c:pt idx="208">
                  <c:v>131.87090000000001</c:v>
                </c:pt>
                <c:pt idx="209">
                  <c:v>133.26499999999999</c:v>
                </c:pt>
                <c:pt idx="210">
                  <c:v>134.5746</c:v>
                </c:pt>
                <c:pt idx="211">
                  <c:v>136.3074</c:v>
                </c:pt>
                <c:pt idx="212">
                  <c:v>136.40950000000001</c:v>
                </c:pt>
                <c:pt idx="213">
                  <c:v>138.23140000000001</c:v>
                </c:pt>
                <c:pt idx="214">
                  <c:v>139.54990000000001</c:v>
                </c:pt>
                <c:pt idx="215">
                  <c:v>140.8912</c:v>
                </c:pt>
                <c:pt idx="216">
                  <c:v>140.89019999999999</c:v>
                </c:pt>
                <c:pt idx="217">
                  <c:v>142.63509999999999</c:v>
                </c:pt>
                <c:pt idx="218">
                  <c:v>144.12379999999999</c:v>
                </c:pt>
                <c:pt idx="219">
                  <c:v>145.49109999999999</c:v>
                </c:pt>
                <c:pt idx="220">
                  <c:v>145.8536</c:v>
                </c:pt>
                <c:pt idx="221">
                  <c:v>147.3657</c:v>
                </c:pt>
                <c:pt idx="222">
                  <c:v>148.75569999999999</c:v>
                </c:pt>
                <c:pt idx="223">
                  <c:v>150.54849999999999</c:v>
                </c:pt>
                <c:pt idx="224">
                  <c:v>151.5487</c:v>
                </c:pt>
                <c:pt idx="225">
                  <c:v>152.0429</c:v>
                </c:pt>
                <c:pt idx="226">
                  <c:v>153.8443</c:v>
                </c:pt>
                <c:pt idx="227">
                  <c:v>154.82560000000001</c:v>
                </c:pt>
                <c:pt idx="228">
                  <c:v>156.16229999999999</c:v>
                </c:pt>
                <c:pt idx="229">
                  <c:v>158.06389999999999</c:v>
                </c:pt>
                <c:pt idx="230">
                  <c:v>158.64529999999999</c:v>
                </c:pt>
                <c:pt idx="231">
                  <c:v>160.0684</c:v>
                </c:pt>
                <c:pt idx="232">
                  <c:v>161.50729999999999</c:v>
                </c:pt>
                <c:pt idx="233">
                  <c:v>163.4811</c:v>
                </c:pt>
                <c:pt idx="234">
                  <c:v>164.51849999999999</c:v>
                </c:pt>
                <c:pt idx="235">
                  <c:v>164.95769999999999</c:v>
                </c:pt>
                <c:pt idx="236">
                  <c:v>166.93029999999999</c:v>
                </c:pt>
                <c:pt idx="237">
                  <c:v>167.99109999999999</c:v>
                </c:pt>
                <c:pt idx="238">
                  <c:v>169.86170000000001</c:v>
                </c:pt>
                <c:pt idx="239">
                  <c:v>170.34139999999999</c:v>
                </c:pt>
                <c:pt idx="240">
                  <c:v>171.69820000000001</c:v>
                </c:pt>
                <c:pt idx="241">
                  <c:v>172.7047</c:v>
                </c:pt>
                <c:pt idx="242">
                  <c:v>174.62119999999999</c:v>
                </c:pt>
                <c:pt idx="243">
                  <c:v>176.0966</c:v>
                </c:pt>
                <c:pt idx="244">
                  <c:v>177.59790000000001</c:v>
                </c:pt>
                <c:pt idx="245">
                  <c:v>178.06270000000001</c:v>
                </c:pt>
                <c:pt idx="246">
                  <c:v>179.5129</c:v>
                </c:pt>
                <c:pt idx="247">
                  <c:v>181.4889</c:v>
                </c:pt>
                <c:pt idx="248">
                  <c:v>183.0188</c:v>
                </c:pt>
                <c:pt idx="249">
                  <c:v>184.5514</c:v>
                </c:pt>
                <c:pt idx="250">
                  <c:v>184.98349999999999</c:v>
                </c:pt>
                <c:pt idx="251">
                  <c:v>186.9264</c:v>
                </c:pt>
                <c:pt idx="252">
                  <c:v>188.9264</c:v>
                </c:pt>
                <c:pt idx="253">
                  <c:v>190.0693</c:v>
                </c:pt>
                <c:pt idx="254">
                  <c:v>191.59299999999999</c:v>
                </c:pt>
                <c:pt idx="255">
                  <c:v>191.5865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5B-459B-9C61-8F23279FC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0850416"/>
        <c:axId val="1642205936"/>
      </c:lineChart>
      <c:catAx>
        <c:axId val="163085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2205936"/>
        <c:crosses val="autoZero"/>
        <c:auto val="1"/>
        <c:lblAlgn val="ctr"/>
        <c:lblOffset val="100"/>
        <c:noMultiLvlLbl val="0"/>
      </c:catAx>
      <c:valAx>
        <c:axId val="164220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085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Gamma2.0_9300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'Gamma 2.0  9300K'!$C$16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2.0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2.0  9300K'!$C$17:$C$272</c:f>
              <c:numCache>
                <c:formatCode>0.00_ </c:formatCode>
                <c:ptCount val="256"/>
                <c:pt idx="0">
                  <c:v>1.9172467408235297E-4</c:v>
                </c:pt>
                <c:pt idx="1">
                  <c:v>4.2792767211411757E-3</c:v>
                </c:pt>
                <c:pt idx="2">
                  <c:v>1.3685699356435294E-2</c:v>
                </c:pt>
                <c:pt idx="3">
                  <c:v>2.8410992579964708E-2</c:v>
                </c:pt>
                <c:pt idx="4">
                  <c:v>4.8455156391729419E-2</c:v>
                </c:pt>
                <c:pt idx="5">
                  <c:v>7.3818190791729424E-2</c:v>
                </c:pt>
                <c:pt idx="6">
                  <c:v>0.10450009577996473</c:v>
                </c:pt>
                <c:pt idx="7">
                  <c:v>0.1405008713564353</c:v>
                </c:pt>
                <c:pt idx="8">
                  <c:v>0.18182051752114117</c:v>
                </c:pt>
                <c:pt idx="9">
                  <c:v>0.22845903427408235</c:v>
                </c:pt>
                <c:pt idx="10">
                  <c:v>0.28041642161525887</c:v>
                </c:pt>
                <c:pt idx="11">
                  <c:v>0.33769267954467064</c:v>
                </c:pt>
                <c:pt idx="12">
                  <c:v>0.40028780806231773</c:v>
                </c:pt>
                <c:pt idx="13">
                  <c:v>0.46820180716820003</c:v>
                </c:pt>
                <c:pt idx="14">
                  <c:v>0.54143467686231772</c:v>
                </c:pt>
                <c:pt idx="15">
                  <c:v>0.61998641714467062</c:v>
                </c:pt>
                <c:pt idx="16">
                  <c:v>0.70385702801525896</c:v>
                </c:pt>
                <c:pt idx="17">
                  <c:v>0.79304650947408251</c:v>
                </c:pt>
                <c:pt idx="18">
                  <c:v>0.88755486152114127</c:v>
                </c:pt>
                <c:pt idx="19">
                  <c:v>0.98738208415643536</c:v>
                </c:pt>
                <c:pt idx="20">
                  <c:v>1.0925281773799649</c:v>
                </c:pt>
                <c:pt idx="21">
                  <c:v>1.2029931411917294</c:v>
                </c:pt>
                <c:pt idx="22">
                  <c:v>1.3187769755917296</c:v>
                </c:pt>
                <c:pt idx="23">
                  <c:v>1.4398796805799647</c:v>
                </c:pt>
                <c:pt idx="24">
                  <c:v>1.5663012561564353</c:v>
                </c:pt>
                <c:pt idx="25">
                  <c:v>1.6980417023211414</c:v>
                </c:pt>
                <c:pt idx="26">
                  <c:v>1.8351010190740824</c:v>
                </c:pt>
                <c:pt idx="27">
                  <c:v>1.9774792064152589</c:v>
                </c:pt>
                <c:pt idx="28">
                  <c:v>2.1251762643446703</c:v>
                </c:pt>
                <c:pt idx="29">
                  <c:v>2.2781921928623179</c:v>
                </c:pt>
                <c:pt idx="30">
                  <c:v>2.4365269919682002</c:v>
                </c:pt>
                <c:pt idx="31">
                  <c:v>2.6001806616623178</c:v>
                </c:pt>
                <c:pt idx="32">
                  <c:v>2.769153201944671</c:v>
                </c:pt>
                <c:pt idx="33">
                  <c:v>2.9434446128152594</c:v>
                </c:pt>
                <c:pt idx="34">
                  <c:v>3.1230548942740826</c:v>
                </c:pt>
                <c:pt idx="35">
                  <c:v>3.3079840463211423</c:v>
                </c:pt>
                <c:pt idx="36">
                  <c:v>3.4982320689564355</c:v>
                </c:pt>
                <c:pt idx="37">
                  <c:v>3.6937989621799661</c:v>
                </c:pt>
                <c:pt idx="38">
                  <c:v>3.8946847259917301</c:v>
                </c:pt>
                <c:pt idx="39">
                  <c:v>4.1008893603917294</c:v>
                </c:pt>
                <c:pt idx="40">
                  <c:v>4.3124128653799652</c:v>
                </c:pt>
                <c:pt idx="41">
                  <c:v>4.5292552409564362</c:v>
                </c:pt>
                <c:pt idx="42">
                  <c:v>4.7514164871211415</c:v>
                </c:pt>
                <c:pt idx="43">
                  <c:v>4.9788966038740838</c:v>
                </c:pt>
                <c:pt idx="44">
                  <c:v>5.2116955912152596</c:v>
                </c:pt>
                <c:pt idx="45">
                  <c:v>5.4498134491446724</c:v>
                </c:pt>
                <c:pt idx="46">
                  <c:v>5.6932501776623177</c:v>
                </c:pt>
                <c:pt idx="47">
                  <c:v>5.9420057767682017</c:v>
                </c:pt>
                <c:pt idx="48">
                  <c:v>6.1960802464623175</c:v>
                </c:pt>
                <c:pt idx="49">
                  <c:v>6.4554735867446729</c:v>
                </c:pt>
                <c:pt idx="50">
                  <c:v>6.720185797615259</c:v>
                </c:pt>
                <c:pt idx="51">
                  <c:v>6.9902168790740848</c:v>
                </c:pt>
                <c:pt idx="52">
                  <c:v>7.2655668311211397</c:v>
                </c:pt>
                <c:pt idx="53">
                  <c:v>7.5462356537564359</c:v>
                </c:pt>
                <c:pt idx="54">
                  <c:v>7.8322233469799647</c:v>
                </c:pt>
                <c:pt idx="55">
                  <c:v>8.1235299107917296</c:v>
                </c:pt>
                <c:pt idx="56">
                  <c:v>8.4201553451917306</c:v>
                </c:pt>
                <c:pt idx="57">
                  <c:v>8.722099650179965</c:v>
                </c:pt>
                <c:pt idx="58">
                  <c:v>9.0293628257564365</c:v>
                </c:pt>
                <c:pt idx="59">
                  <c:v>9.3419448719211413</c:v>
                </c:pt>
                <c:pt idx="60">
                  <c:v>9.6598457886740832</c:v>
                </c:pt>
                <c:pt idx="61">
                  <c:v>9.983065576015262</c:v>
                </c:pt>
                <c:pt idx="62">
                  <c:v>10.311604233944671</c:v>
                </c:pt>
                <c:pt idx="63">
                  <c:v>10.64546176246232</c:v>
                </c:pt>
                <c:pt idx="64">
                  <c:v>10.984638161568201</c:v>
                </c:pt>
                <c:pt idx="65">
                  <c:v>11.329133431262322</c:v>
                </c:pt>
                <c:pt idx="66">
                  <c:v>11.678947571544672</c:v>
                </c:pt>
                <c:pt idx="67">
                  <c:v>12.03408058241526</c:v>
                </c:pt>
                <c:pt idx="68">
                  <c:v>12.394532463874082</c:v>
                </c:pt>
                <c:pt idx="69">
                  <c:v>12.760303215921146</c:v>
                </c:pt>
                <c:pt idx="70">
                  <c:v>13.131392838556438</c:v>
                </c:pt>
                <c:pt idx="71">
                  <c:v>13.507801331779966</c:v>
                </c:pt>
                <c:pt idx="72">
                  <c:v>13.88952869559173</c:v>
                </c:pt>
                <c:pt idx="73">
                  <c:v>14.276574929991732</c:v>
                </c:pt>
                <c:pt idx="74">
                  <c:v>14.668940034979967</c:v>
                </c:pt>
                <c:pt idx="75">
                  <c:v>15.066624010556435</c:v>
                </c:pt>
                <c:pt idx="76">
                  <c:v>15.46962685672114</c:v>
                </c:pt>
                <c:pt idx="77">
                  <c:v>15.877948573474086</c:v>
                </c:pt>
                <c:pt idx="78">
                  <c:v>16.291589160815263</c:v>
                </c:pt>
                <c:pt idx="79">
                  <c:v>16.710548618744674</c:v>
                </c:pt>
                <c:pt idx="80">
                  <c:v>17.134826947262319</c:v>
                </c:pt>
                <c:pt idx="81">
                  <c:v>17.564424146368207</c:v>
                </c:pt>
                <c:pt idx="82">
                  <c:v>17.999340216062322</c:v>
                </c:pt>
                <c:pt idx="83">
                  <c:v>18.43957515634467</c:v>
                </c:pt>
                <c:pt idx="84">
                  <c:v>18.885128967215259</c:v>
                </c:pt>
                <c:pt idx="85">
                  <c:v>19.336001648674088</c:v>
                </c:pt>
                <c:pt idx="86">
                  <c:v>19.792193200721144</c:v>
                </c:pt>
                <c:pt idx="87">
                  <c:v>20.253703623356436</c:v>
                </c:pt>
                <c:pt idx="88">
                  <c:v>20.720532916579966</c:v>
                </c:pt>
                <c:pt idx="89">
                  <c:v>21.192681080391736</c:v>
                </c:pt>
                <c:pt idx="90">
                  <c:v>21.670148114791733</c:v>
                </c:pt>
                <c:pt idx="91">
                  <c:v>22.152934019779966</c:v>
                </c:pt>
                <c:pt idx="92">
                  <c:v>22.641038795356433</c:v>
                </c:pt>
                <c:pt idx="93">
                  <c:v>23.134462441521148</c:v>
                </c:pt>
                <c:pt idx="94">
                  <c:v>23.633204958274089</c:v>
                </c:pt>
                <c:pt idx="95">
                  <c:v>24.137266345615263</c:v>
                </c:pt>
                <c:pt idx="96">
                  <c:v>24.646646603544674</c:v>
                </c:pt>
                <c:pt idx="97">
                  <c:v>25.161345732062326</c:v>
                </c:pt>
                <c:pt idx="98">
                  <c:v>25.681363731168204</c:v>
                </c:pt>
                <c:pt idx="99">
                  <c:v>26.20670060086232</c:v>
                </c:pt>
                <c:pt idx="100">
                  <c:v>26.737356341144668</c:v>
                </c:pt>
                <c:pt idx="101">
                  <c:v>27.273330952015268</c:v>
                </c:pt>
                <c:pt idx="102">
                  <c:v>27.814624433474087</c:v>
                </c:pt>
                <c:pt idx="103">
                  <c:v>28.361236785521143</c:v>
                </c:pt>
                <c:pt idx="104">
                  <c:v>28.91316800815644</c:v>
                </c:pt>
                <c:pt idx="105">
                  <c:v>29.47041810137997</c:v>
                </c:pt>
                <c:pt idx="106">
                  <c:v>30.032987065191733</c:v>
                </c:pt>
                <c:pt idx="107">
                  <c:v>30.60087489959173</c:v>
                </c:pt>
                <c:pt idx="108">
                  <c:v>31.174081604579964</c:v>
                </c:pt>
                <c:pt idx="109">
                  <c:v>31.752607180156446</c:v>
                </c:pt>
                <c:pt idx="110">
                  <c:v>32.33645162632115</c:v>
                </c:pt>
                <c:pt idx="111">
                  <c:v>32.925614943074088</c:v>
                </c:pt>
                <c:pt idx="112">
                  <c:v>33.520097130415259</c:v>
                </c:pt>
                <c:pt idx="113">
                  <c:v>34.119898188344678</c:v>
                </c:pt>
                <c:pt idx="114">
                  <c:v>34.725018116862323</c:v>
                </c:pt>
                <c:pt idx="115">
                  <c:v>35.335456915968209</c:v>
                </c:pt>
                <c:pt idx="116">
                  <c:v>35.951214585662314</c:v>
                </c:pt>
                <c:pt idx="117">
                  <c:v>36.57229112594468</c:v>
                </c:pt>
                <c:pt idx="118">
                  <c:v>37.198686536815266</c:v>
                </c:pt>
                <c:pt idx="119">
                  <c:v>37.830400818274086</c:v>
                </c:pt>
                <c:pt idx="120">
                  <c:v>38.467433970321146</c:v>
                </c:pt>
                <c:pt idx="121">
                  <c:v>39.109785992956446</c:v>
                </c:pt>
                <c:pt idx="122">
                  <c:v>39.757456886179966</c:v>
                </c:pt>
                <c:pt idx="123">
                  <c:v>40.410446649991727</c:v>
                </c:pt>
                <c:pt idx="124">
                  <c:v>41.068755284391735</c:v>
                </c:pt>
                <c:pt idx="125">
                  <c:v>41.732382789379969</c:v>
                </c:pt>
                <c:pt idx="126">
                  <c:v>42.401329164956444</c:v>
                </c:pt>
                <c:pt idx="127">
                  <c:v>43.075594411121145</c:v>
                </c:pt>
                <c:pt idx="128">
                  <c:v>43.755178527874087</c:v>
                </c:pt>
                <c:pt idx="129">
                  <c:v>44.440081515215255</c:v>
                </c:pt>
                <c:pt idx="130">
                  <c:v>45.130303373144663</c:v>
                </c:pt>
                <c:pt idx="131">
                  <c:v>45.825844101662319</c:v>
                </c:pt>
                <c:pt idx="132">
                  <c:v>46.526703700768195</c:v>
                </c:pt>
                <c:pt idx="133">
                  <c:v>47.232882170462311</c:v>
                </c:pt>
                <c:pt idx="134">
                  <c:v>47.944379510744653</c:v>
                </c:pt>
                <c:pt idx="135">
                  <c:v>48.661195721615258</c:v>
                </c:pt>
                <c:pt idx="136">
                  <c:v>49.383330803074088</c:v>
                </c:pt>
                <c:pt idx="137">
                  <c:v>50.110784755121145</c:v>
                </c:pt>
                <c:pt idx="138">
                  <c:v>50.843557577756428</c:v>
                </c:pt>
                <c:pt idx="139">
                  <c:v>51.581649270979959</c:v>
                </c:pt>
                <c:pt idx="140">
                  <c:v>52.325059834791723</c:v>
                </c:pt>
                <c:pt idx="141">
                  <c:v>53.073789269191721</c:v>
                </c:pt>
                <c:pt idx="142">
                  <c:v>53.827837574179945</c:v>
                </c:pt>
                <c:pt idx="143">
                  <c:v>54.587204749756445</c:v>
                </c:pt>
                <c:pt idx="144">
                  <c:v>55.351890795921143</c:v>
                </c:pt>
                <c:pt idx="145">
                  <c:v>56.121895712674075</c:v>
                </c:pt>
                <c:pt idx="146">
                  <c:v>56.897219500015261</c:v>
                </c:pt>
                <c:pt idx="147">
                  <c:v>57.677862157944666</c:v>
                </c:pt>
                <c:pt idx="148">
                  <c:v>58.463823686462312</c:v>
                </c:pt>
                <c:pt idx="149">
                  <c:v>59.255104085568192</c:v>
                </c:pt>
                <c:pt idx="150">
                  <c:v>60.051703355262298</c:v>
                </c:pt>
                <c:pt idx="151">
                  <c:v>60.853621495544679</c:v>
                </c:pt>
                <c:pt idx="152">
                  <c:v>61.660858506415252</c:v>
                </c:pt>
                <c:pt idx="153">
                  <c:v>62.47341438787408</c:v>
                </c:pt>
                <c:pt idx="154">
                  <c:v>63.291289139921133</c:v>
                </c:pt>
                <c:pt idx="155">
                  <c:v>64.114482762556435</c:v>
                </c:pt>
                <c:pt idx="156">
                  <c:v>64.942995255779948</c:v>
                </c:pt>
                <c:pt idx="157">
                  <c:v>65.776826619591716</c:v>
                </c:pt>
                <c:pt idx="158">
                  <c:v>66.615976853991725</c:v>
                </c:pt>
                <c:pt idx="159">
                  <c:v>67.460445958979975</c:v>
                </c:pt>
                <c:pt idx="160">
                  <c:v>68.310233934556436</c:v>
                </c:pt>
                <c:pt idx="161">
                  <c:v>69.165340780721138</c:v>
                </c:pt>
                <c:pt idx="162">
                  <c:v>70.025766497474066</c:v>
                </c:pt>
                <c:pt idx="163">
                  <c:v>70.891511084815249</c:v>
                </c:pt>
                <c:pt idx="164">
                  <c:v>71.762574542744659</c:v>
                </c:pt>
                <c:pt idx="165">
                  <c:v>72.638956871262309</c:v>
                </c:pt>
                <c:pt idx="166">
                  <c:v>73.520658070368185</c:v>
                </c:pt>
                <c:pt idx="167">
                  <c:v>74.40767814006233</c:v>
                </c:pt>
                <c:pt idx="168">
                  <c:v>75.300017080344674</c:v>
                </c:pt>
                <c:pt idx="169">
                  <c:v>76.197674891215257</c:v>
                </c:pt>
                <c:pt idx="170">
                  <c:v>77.100651572674082</c:v>
                </c:pt>
                <c:pt idx="171">
                  <c:v>78.008947124721132</c:v>
                </c:pt>
                <c:pt idx="172">
                  <c:v>78.922561547356423</c:v>
                </c:pt>
                <c:pt idx="173">
                  <c:v>79.841494840579955</c:v>
                </c:pt>
                <c:pt idx="174">
                  <c:v>80.765747004391713</c:v>
                </c:pt>
                <c:pt idx="175">
                  <c:v>81.69531803879174</c:v>
                </c:pt>
                <c:pt idx="176">
                  <c:v>82.630207943779965</c:v>
                </c:pt>
                <c:pt idx="177">
                  <c:v>83.57041671935643</c:v>
                </c:pt>
                <c:pt idx="178">
                  <c:v>84.515944365521136</c:v>
                </c:pt>
                <c:pt idx="179">
                  <c:v>85.466790882274083</c:v>
                </c:pt>
                <c:pt idx="180">
                  <c:v>86.422956269615241</c:v>
                </c:pt>
                <c:pt idx="181">
                  <c:v>87.384440527544655</c:v>
                </c:pt>
                <c:pt idx="182">
                  <c:v>88.351243656062294</c:v>
                </c:pt>
                <c:pt idx="183">
                  <c:v>89.323365655168217</c:v>
                </c:pt>
                <c:pt idx="184">
                  <c:v>90.300806524862324</c:v>
                </c:pt>
                <c:pt idx="185">
                  <c:v>91.283566265144671</c:v>
                </c:pt>
                <c:pt idx="186">
                  <c:v>92.271644876015259</c:v>
                </c:pt>
                <c:pt idx="187">
                  <c:v>93.265042357474073</c:v>
                </c:pt>
                <c:pt idx="188">
                  <c:v>94.263758709521127</c:v>
                </c:pt>
                <c:pt idx="189">
                  <c:v>95.267793932156422</c:v>
                </c:pt>
                <c:pt idx="190">
                  <c:v>96.277148025379958</c:v>
                </c:pt>
                <c:pt idx="191">
                  <c:v>97.29182098919172</c:v>
                </c:pt>
                <c:pt idx="192">
                  <c:v>98.311812823591723</c:v>
                </c:pt>
                <c:pt idx="193">
                  <c:v>99.337123528579966</c:v>
                </c:pt>
                <c:pt idx="194">
                  <c:v>100.36775310415644</c:v>
                </c:pt>
                <c:pt idx="195">
                  <c:v>101.40370155032113</c:v>
                </c:pt>
                <c:pt idx="196">
                  <c:v>102.44496886707407</c:v>
                </c:pt>
                <c:pt idx="197">
                  <c:v>103.49155505441524</c:v>
                </c:pt>
                <c:pt idx="198">
                  <c:v>104.54346011234466</c:v>
                </c:pt>
                <c:pt idx="199">
                  <c:v>105.60068404086233</c:v>
                </c:pt>
                <c:pt idx="200">
                  <c:v>106.66322683996822</c:v>
                </c:pt>
                <c:pt idx="201">
                  <c:v>107.73108850966231</c:v>
                </c:pt>
                <c:pt idx="202">
                  <c:v>108.80426904994466</c:v>
                </c:pt>
                <c:pt idx="203">
                  <c:v>109.88276846081526</c:v>
                </c:pt>
                <c:pt idx="204">
                  <c:v>110.96658674227407</c:v>
                </c:pt>
                <c:pt idx="205">
                  <c:v>112.05572389432112</c:v>
                </c:pt>
                <c:pt idx="206">
                  <c:v>113.1501799169564</c:v>
                </c:pt>
                <c:pt idx="207">
                  <c:v>114.24995481017997</c:v>
                </c:pt>
                <c:pt idx="208">
                  <c:v>115.35504857399172</c:v>
                </c:pt>
                <c:pt idx="209">
                  <c:v>116.46546120839173</c:v>
                </c:pt>
                <c:pt idx="210">
                  <c:v>117.58119271337996</c:v>
                </c:pt>
                <c:pt idx="211">
                  <c:v>118.70224308895644</c:v>
                </c:pt>
                <c:pt idx="212">
                  <c:v>119.82861233512115</c:v>
                </c:pt>
                <c:pt idx="213">
                  <c:v>120.96030045187408</c:v>
                </c:pt>
                <c:pt idx="214">
                  <c:v>122.09730743921523</c:v>
                </c:pt>
                <c:pt idx="215">
                  <c:v>123.23963329714465</c:v>
                </c:pt>
                <c:pt idx="216">
                  <c:v>124.38727802566231</c:v>
                </c:pt>
                <c:pt idx="217">
                  <c:v>125.54024162476819</c:v>
                </c:pt>
                <c:pt idx="218">
                  <c:v>126.6985240944623</c:v>
                </c:pt>
                <c:pt idx="219">
                  <c:v>127.86212543474466</c:v>
                </c:pt>
                <c:pt idx="220">
                  <c:v>129.03104564561525</c:v>
                </c:pt>
                <c:pt idx="221">
                  <c:v>130.20528472707406</c:v>
                </c:pt>
                <c:pt idx="222">
                  <c:v>131.38484267912114</c:v>
                </c:pt>
                <c:pt idx="223">
                  <c:v>132.56971950175645</c:v>
                </c:pt>
                <c:pt idx="224">
                  <c:v>133.75991519497995</c:v>
                </c:pt>
                <c:pt idx="225">
                  <c:v>134.95542975879175</c:v>
                </c:pt>
                <c:pt idx="226">
                  <c:v>136.15626319319173</c:v>
                </c:pt>
                <c:pt idx="227">
                  <c:v>137.36241549817996</c:v>
                </c:pt>
                <c:pt idx="228">
                  <c:v>138.57388667375642</c:v>
                </c:pt>
                <c:pt idx="229">
                  <c:v>139.79067671992112</c:v>
                </c:pt>
                <c:pt idx="230">
                  <c:v>141.01278563667407</c:v>
                </c:pt>
                <c:pt idx="231">
                  <c:v>142.24021342401525</c:v>
                </c:pt>
                <c:pt idx="232">
                  <c:v>143.47296008194468</c:v>
                </c:pt>
                <c:pt idx="233">
                  <c:v>144.71102561046231</c:v>
                </c:pt>
                <c:pt idx="234">
                  <c:v>145.95441000956819</c:v>
                </c:pt>
                <c:pt idx="235">
                  <c:v>147.20311327926231</c:v>
                </c:pt>
                <c:pt idx="236">
                  <c:v>148.45713541954467</c:v>
                </c:pt>
                <c:pt idx="237">
                  <c:v>149.71647643041527</c:v>
                </c:pt>
                <c:pt idx="238">
                  <c:v>150.98113631187405</c:v>
                </c:pt>
                <c:pt idx="239">
                  <c:v>152.25111506392116</c:v>
                </c:pt>
                <c:pt idx="240">
                  <c:v>153.52641268655645</c:v>
                </c:pt>
                <c:pt idx="241">
                  <c:v>154.80702917977996</c:v>
                </c:pt>
                <c:pt idx="242">
                  <c:v>156.09296454359173</c:v>
                </c:pt>
                <c:pt idx="243">
                  <c:v>157.38421877799172</c:v>
                </c:pt>
                <c:pt idx="244">
                  <c:v>158.68079188297997</c:v>
                </c:pt>
                <c:pt idx="245">
                  <c:v>159.98268385855641</c:v>
                </c:pt>
                <c:pt idx="246">
                  <c:v>161.28989470472112</c:v>
                </c:pt>
                <c:pt idx="247">
                  <c:v>162.6024244214741</c:v>
                </c:pt>
                <c:pt idx="248">
                  <c:v>163.92027300881526</c:v>
                </c:pt>
                <c:pt idx="249">
                  <c:v>165.24344046674466</c:v>
                </c:pt>
                <c:pt idx="250">
                  <c:v>166.57192679526233</c:v>
                </c:pt>
                <c:pt idx="251">
                  <c:v>167.90573199436818</c:v>
                </c:pt>
                <c:pt idx="252">
                  <c:v>169.2448560640623</c:v>
                </c:pt>
                <c:pt idx="253">
                  <c:v>170.58929900434464</c:v>
                </c:pt>
                <c:pt idx="254">
                  <c:v>171.93906081521524</c:v>
                </c:pt>
                <c:pt idx="255">
                  <c:v>172.92977999999999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3-4F90-8477-EA93B41F5DA0}"/>
            </c:ext>
          </c:extLst>
        </c:ser>
        <c:ser>
          <c:idx val="1"/>
          <c:order val="1"/>
          <c:tx>
            <c:strRef>
              <c:f>'Gamma 2.0  9300K'!$D$16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2.0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2.0  9300K'!$D$17:$D$272</c:f>
              <c:numCache>
                <c:formatCode>0.00_ </c:formatCode>
                <c:ptCount val="256"/>
                <c:pt idx="0">
                  <c:v>2.1302741564705886E-4</c:v>
                </c:pt>
                <c:pt idx="1">
                  <c:v>4.7547519123790844E-3</c:v>
                </c:pt>
                <c:pt idx="2">
                  <c:v>1.5206332618261438E-2</c:v>
                </c:pt>
                <c:pt idx="3">
                  <c:v>3.156776953329412E-2</c:v>
                </c:pt>
                <c:pt idx="4">
                  <c:v>5.3839062657477135E-2</c:v>
                </c:pt>
                <c:pt idx="5">
                  <c:v>8.2020211990810471E-2</c:v>
                </c:pt>
                <c:pt idx="6">
                  <c:v>0.11611121753329415</c:v>
                </c:pt>
                <c:pt idx="7">
                  <c:v>0.15611207928492812</c:v>
                </c:pt>
                <c:pt idx="8">
                  <c:v>0.20202279724571243</c:v>
                </c:pt>
                <c:pt idx="9">
                  <c:v>0.25384337141564706</c:v>
                </c:pt>
                <c:pt idx="10">
                  <c:v>0.3115738017947321</c:v>
                </c:pt>
                <c:pt idx="11">
                  <c:v>0.37521408838296738</c:v>
                </c:pt>
                <c:pt idx="12">
                  <c:v>0.44476423118035302</c:v>
                </c:pt>
                <c:pt idx="13">
                  <c:v>0.5202242301868889</c:v>
                </c:pt>
                <c:pt idx="14">
                  <c:v>0.6015940854025752</c:v>
                </c:pt>
                <c:pt idx="15">
                  <c:v>0.68887379682741179</c:v>
                </c:pt>
                <c:pt idx="16">
                  <c:v>0.78206336446139879</c:v>
                </c:pt>
                <c:pt idx="17">
                  <c:v>0.88116278830453609</c:v>
                </c:pt>
                <c:pt idx="18">
                  <c:v>0.98617206835682369</c:v>
                </c:pt>
                <c:pt idx="19">
                  <c:v>1.0970912046182615</c:v>
                </c:pt>
                <c:pt idx="20">
                  <c:v>1.2139201970888498</c:v>
                </c:pt>
                <c:pt idx="21">
                  <c:v>1.3366590457685883</c:v>
                </c:pt>
                <c:pt idx="22">
                  <c:v>1.4653077506574772</c:v>
                </c:pt>
                <c:pt idx="23">
                  <c:v>1.5998663117555163</c:v>
                </c:pt>
                <c:pt idx="24">
                  <c:v>1.740334729062706</c:v>
                </c:pt>
                <c:pt idx="25">
                  <c:v>1.886713002579046</c:v>
                </c:pt>
                <c:pt idx="26">
                  <c:v>2.0390011323045361</c:v>
                </c:pt>
                <c:pt idx="27">
                  <c:v>2.1971991182391766</c:v>
                </c:pt>
                <c:pt idx="28">
                  <c:v>2.3613069603829673</c:v>
                </c:pt>
                <c:pt idx="29">
                  <c:v>2.5313246587359086</c:v>
                </c:pt>
                <c:pt idx="30">
                  <c:v>2.7072522132980001</c:v>
                </c:pt>
                <c:pt idx="31">
                  <c:v>2.8890896240692419</c:v>
                </c:pt>
                <c:pt idx="32">
                  <c:v>3.0768368910496342</c:v>
                </c:pt>
                <c:pt idx="33">
                  <c:v>3.2704940142391772</c:v>
                </c:pt>
                <c:pt idx="34">
                  <c:v>3.4700609936378695</c:v>
                </c:pt>
                <c:pt idx="35">
                  <c:v>3.6755378292457137</c:v>
                </c:pt>
                <c:pt idx="36">
                  <c:v>3.8869245210627059</c:v>
                </c:pt>
                <c:pt idx="37">
                  <c:v>4.104221069088851</c:v>
                </c:pt>
                <c:pt idx="38">
                  <c:v>4.3274274733241445</c:v>
                </c:pt>
                <c:pt idx="39">
                  <c:v>4.5565437337685886</c:v>
                </c:pt>
                <c:pt idx="40">
                  <c:v>4.7915698504221833</c:v>
                </c:pt>
                <c:pt idx="41">
                  <c:v>5.0325058232849287</c:v>
                </c:pt>
                <c:pt idx="42">
                  <c:v>5.2793516523568238</c:v>
                </c:pt>
                <c:pt idx="43">
                  <c:v>5.5321073376378704</c:v>
                </c:pt>
                <c:pt idx="44">
                  <c:v>5.7907728791280659</c:v>
                </c:pt>
                <c:pt idx="45">
                  <c:v>6.0553482768274138</c:v>
                </c:pt>
                <c:pt idx="46">
                  <c:v>6.3258335307359088</c:v>
                </c:pt>
                <c:pt idx="47">
                  <c:v>6.6022286408535571</c:v>
                </c:pt>
                <c:pt idx="48">
                  <c:v>6.8845336071803525</c:v>
                </c:pt>
                <c:pt idx="49">
                  <c:v>7.1727484297163029</c:v>
                </c:pt>
                <c:pt idx="50">
                  <c:v>7.4668731084613986</c:v>
                </c:pt>
                <c:pt idx="51">
                  <c:v>7.7669076434156494</c:v>
                </c:pt>
                <c:pt idx="52">
                  <c:v>8.0728520345790447</c:v>
                </c:pt>
                <c:pt idx="53">
                  <c:v>8.3847062819515958</c:v>
                </c:pt>
                <c:pt idx="54">
                  <c:v>8.7024703855332941</c:v>
                </c:pt>
                <c:pt idx="55">
                  <c:v>9.0261443453241448</c:v>
                </c:pt>
                <c:pt idx="56">
                  <c:v>9.3557281613241443</c:v>
                </c:pt>
                <c:pt idx="57">
                  <c:v>9.6912218335332945</c:v>
                </c:pt>
                <c:pt idx="58">
                  <c:v>10.032625361951595</c:v>
                </c:pt>
                <c:pt idx="59">
                  <c:v>10.379938746579047</c:v>
                </c:pt>
                <c:pt idx="60">
                  <c:v>10.733161987415647</c:v>
                </c:pt>
                <c:pt idx="61">
                  <c:v>11.092295084461401</c:v>
                </c:pt>
                <c:pt idx="62">
                  <c:v>11.457338037716301</c:v>
                </c:pt>
                <c:pt idx="63">
                  <c:v>11.828290847180355</c:v>
                </c:pt>
                <c:pt idx="64">
                  <c:v>12.205153512853556</c:v>
                </c:pt>
                <c:pt idx="65">
                  <c:v>12.587926034735913</c:v>
                </c:pt>
                <c:pt idx="66">
                  <c:v>12.976608412827414</c:v>
                </c:pt>
                <c:pt idx="67">
                  <c:v>13.371200647128067</c:v>
                </c:pt>
                <c:pt idx="68">
                  <c:v>13.77170273763787</c:v>
                </c:pt>
                <c:pt idx="69">
                  <c:v>14.17811468435683</c:v>
                </c:pt>
                <c:pt idx="70">
                  <c:v>14.590436487284931</c:v>
                </c:pt>
                <c:pt idx="71">
                  <c:v>15.008668146422185</c:v>
                </c:pt>
                <c:pt idx="72">
                  <c:v>15.432809661768589</c:v>
                </c:pt>
                <c:pt idx="73">
                  <c:v>15.862861033324148</c:v>
                </c:pt>
                <c:pt idx="74">
                  <c:v>16.298822261088851</c:v>
                </c:pt>
                <c:pt idx="75">
                  <c:v>16.740693345062706</c:v>
                </c:pt>
                <c:pt idx="76">
                  <c:v>17.188474285245711</c:v>
                </c:pt>
                <c:pt idx="77">
                  <c:v>17.642165081637874</c:v>
                </c:pt>
                <c:pt idx="78">
                  <c:v>18.10176573423918</c:v>
                </c:pt>
                <c:pt idx="79">
                  <c:v>18.567276243049637</c:v>
                </c:pt>
                <c:pt idx="80">
                  <c:v>19.038696608069245</c:v>
                </c:pt>
                <c:pt idx="81">
                  <c:v>19.516026829298006</c:v>
                </c:pt>
                <c:pt idx="82">
                  <c:v>19.999266906735912</c:v>
                </c:pt>
                <c:pt idx="83">
                  <c:v>20.488416840382968</c:v>
                </c:pt>
                <c:pt idx="84">
                  <c:v>20.983476630239178</c:v>
                </c:pt>
                <c:pt idx="85">
                  <c:v>21.484446276304542</c:v>
                </c:pt>
                <c:pt idx="86">
                  <c:v>21.99132577857905</c:v>
                </c:pt>
                <c:pt idx="87">
                  <c:v>22.504115137062708</c:v>
                </c:pt>
                <c:pt idx="88">
                  <c:v>23.022814351755517</c:v>
                </c:pt>
                <c:pt idx="89">
                  <c:v>23.547423422657484</c:v>
                </c:pt>
                <c:pt idx="90">
                  <c:v>24.077942349768591</c:v>
                </c:pt>
                <c:pt idx="91">
                  <c:v>24.614371133088852</c:v>
                </c:pt>
                <c:pt idx="92">
                  <c:v>25.15670977261826</c:v>
                </c:pt>
                <c:pt idx="93">
                  <c:v>25.70495826835683</c:v>
                </c:pt>
                <c:pt idx="94">
                  <c:v>26.259116620304543</c:v>
                </c:pt>
                <c:pt idx="95">
                  <c:v>26.819184828461403</c:v>
                </c:pt>
                <c:pt idx="96">
                  <c:v>27.385162892827417</c:v>
                </c:pt>
                <c:pt idx="97">
                  <c:v>27.957050813402585</c:v>
                </c:pt>
                <c:pt idx="98">
                  <c:v>28.534848590186893</c:v>
                </c:pt>
                <c:pt idx="99">
                  <c:v>29.118556223180356</c:v>
                </c:pt>
                <c:pt idx="100">
                  <c:v>29.708173712382965</c:v>
                </c:pt>
                <c:pt idx="101">
                  <c:v>30.303701057794743</c:v>
                </c:pt>
                <c:pt idx="102">
                  <c:v>30.905138259415651</c:v>
                </c:pt>
                <c:pt idx="103">
                  <c:v>31.512485317245716</c:v>
                </c:pt>
                <c:pt idx="104">
                  <c:v>32.125742231284931</c:v>
                </c:pt>
                <c:pt idx="105">
                  <c:v>32.744909001533301</c:v>
                </c:pt>
                <c:pt idx="106">
                  <c:v>33.369985627990815</c:v>
                </c:pt>
                <c:pt idx="107">
                  <c:v>34.000972110657479</c:v>
                </c:pt>
                <c:pt idx="108">
                  <c:v>34.637868449533293</c:v>
                </c:pt>
                <c:pt idx="109">
                  <c:v>35.280674644618273</c:v>
                </c:pt>
                <c:pt idx="110">
                  <c:v>35.929390695912389</c:v>
                </c:pt>
                <c:pt idx="111">
                  <c:v>36.584016603415655</c:v>
                </c:pt>
                <c:pt idx="112">
                  <c:v>37.244552367128065</c:v>
                </c:pt>
                <c:pt idx="113">
                  <c:v>37.91099798704964</c:v>
                </c:pt>
                <c:pt idx="114">
                  <c:v>38.583353463180359</c:v>
                </c:pt>
                <c:pt idx="115">
                  <c:v>39.261618795520228</c:v>
                </c:pt>
                <c:pt idx="116">
                  <c:v>39.94579398406924</c:v>
                </c:pt>
                <c:pt idx="117">
                  <c:v>40.635879028827425</c:v>
                </c:pt>
                <c:pt idx="118">
                  <c:v>41.331873929794739</c:v>
                </c:pt>
                <c:pt idx="119">
                  <c:v>42.03377868697121</c:v>
                </c:pt>
                <c:pt idx="120">
                  <c:v>42.741593300356826</c:v>
                </c:pt>
                <c:pt idx="121">
                  <c:v>43.455317769951606</c:v>
                </c:pt>
                <c:pt idx="122">
                  <c:v>44.174952095755522</c:v>
                </c:pt>
                <c:pt idx="123">
                  <c:v>44.900496277768589</c:v>
                </c:pt>
                <c:pt idx="124">
                  <c:v>45.631950315990814</c:v>
                </c:pt>
                <c:pt idx="125">
                  <c:v>46.369314210422189</c:v>
                </c:pt>
                <c:pt idx="126">
                  <c:v>47.112587961062715</c:v>
                </c:pt>
                <c:pt idx="127">
                  <c:v>47.861771567912385</c:v>
                </c:pt>
                <c:pt idx="128">
                  <c:v>48.616865030971205</c:v>
                </c:pt>
                <c:pt idx="129">
                  <c:v>49.377868350239176</c:v>
                </c:pt>
                <c:pt idx="130">
                  <c:v>50.14478152571629</c:v>
                </c:pt>
                <c:pt idx="131">
                  <c:v>50.917604557402576</c:v>
                </c:pt>
                <c:pt idx="132">
                  <c:v>51.696337445297992</c:v>
                </c:pt>
                <c:pt idx="133">
                  <c:v>52.480980189402565</c:v>
                </c:pt>
                <c:pt idx="134">
                  <c:v>53.271532789716282</c:v>
                </c:pt>
                <c:pt idx="135">
                  <c:v>54.067995246239178</c:v>
                </c:pt>
                <c:pt idx="136">
                  <c:v>54.870367558971211</c:v>
                </c:pt>
                <c:pt idx="137">
                  <c:v>55.678649727912379</c:v>
                </c:pt>
                <c:pt idx="138">
                  <c:v>56.492841753062699</c:v>
                </c:pt>
                <c:pt idx="139">
                  <c:v>57.312943634422176</c:v>
                </c:pt>
                <c:pt idx="140">
                  <c:v>58.138955371990804</c:v>
                </c:pt>
                <c:pt idx="141">
                  <c:v>58.970876965768575</c:v>
                </c:pt>
                <c:pt idx="142">
                  <c:v>59.808708415755497</c:v>
                </c:pt>
                <c:pt idx="143">
                  <c:v>60.652449721951605</c:v>
                </c:pt>
                <c:pt idx="144">
                  <c:v>61.502100884356828</c:v>
                </c:pt>
                <c:pt idx="145">
                  <c:v>62.357661902971195</c:v>
                </c:pt>
                <c:pt idx="146">
                  <c:v>63.219132777794734</c:v>
                </c:pt>
                <c:pt idx="147">
                  <c:v>64.086513508827409</c:v>
                </c:pt>
                <c:pt idx="148">
                  <c:v>64.959804096069234</c:v>
                </c:pt>
                <c:pt idx="149">
                  <c:v>65.839004539520218</c:v>
                </c:pt>
                <c:pt idx="150">
                  <c:v>66.724114839180331</c:v>
                </c:pt>
                <c:pt idx="151">
                  <c:v>67.615134995049644</c:v>
                </c:pt>
                <c:pt idx="152">
                  <c:v>68.512065007128058</c:v>
                </c:pt>
                <c:pt idx="153">
                  <c:v>69.414904875415644</c:v>
                </c:pt>
                <c:pt idx="154">
                  <c:v>70.323654599912373</c:v>
                </c:pt>
                <c:pt idx="155">
                  <c:v>71.238314180618261</c:v>
                </c:pt>
                <c:pt idx="156">
                  <c:v>72.158883617533277</c:v>
                </c:pt>
                <c:pt idx="157">
                  <c:v>73.085362910657466</c:v>
                </c:pt>
                <c:pt idx="158">
                  <c:v>74.017752059990798</c:v>
                </c:pt>
                <c:pt idx="159">
                  <c:v>74.956051065533302</c:v>
                </c:pt>
                <c:pt idx="160">
                  <c:v>75.900259927284921</c:v>
                </c:pt>
                <c:pt idx="161">
                  <c:v>76.850378645245712</c:v>
                </c:pt>
                <c:pt idx="162">
                  <c:v>77.806407219415632</c:v>
                </c:pt>
                <c:pt idx="163">
                  <c:v>78.768345649794725</c:v>
                </c:pt>
                <c:pt idx="164">
                  <c:v>79.736193936382961</c:v>
                </c:pt>
                <c:pt idx="165">
                  <c:v>80.70995207918034</c:v>
                </c:pt>
                <c:pt idx="166">
                  <c:v>81.689620078186877</c:v>
                </c:pt>
                <c:pt idx="167">
                  <c:v>82.675197933402586</c:v>
                </c:pt>
                <c:pt idx="168">
                  <c:v>83.66668564482741</c:v>
                </c:pt>
                <c:pt idx="169">
                  <c:v>84.664083212461392</c:v>
                </c:pt>
                <c:pt idx="170">
                  <c:v>85.667390636304532</c:v>
                </c:pt>
                <c:pt idx="171">
                  <c:v>86.676607916356815</c:v>
                </c:pt>
                <c:pt idx="172">
                  <c:v>87.691735052618256</c:v>
                </c:pt>
                <c:pt idx="173">
                  <c:v>88.71277204508884</c:v>
                </c:pt>
                <c:pt idx="174">
                  <c:v>89.739718893768568</c:v>
                </c:pt>
                <c:pt idx="175">
                  <c:v>90.772575598657482</c:v>
                </c:pt>
                <c:pt idx="176">
                  <c:v>91.811342159755512</c:v>
                </c:pt>
                <c:pt idx="177">
                  <c:v>92.856018577062699</c:v>
                </c:pt>
                <c:pt idx="178">
                  <c:v>93.906604850579043</c:v>
                </c:pt>
                <c:pt idx="179">
                  <c:v>94.963100980304532</c:v>
                </c:pt>
                <c:pt idx="180">
                  <c:v>96.025506966239163</c:v>
                </c:pt>
                <c:pt idx="181">
                  <c:v>97.093822808382953</c:v>
                </c:pt>
                <c:pt idx="182">
                  <c:v>98.168048506735886</c:v>
                </c:pt>
                <c:pt idx="183">
                  <c:v>99.248184061298019</c:v>
                </c:pt>
                <c:pt idx="184">
                  <c:v>100.33422947206925</c:v>
                </c:pt>
                <c:pt idx="185">
                  <c:v>101.42618473904963</c:v>
                </c:pt>
                <c:pt idx="186">
                  <c:v>102.52404986223918</c:v>
                </c:pt>
                <c:pt idx="187">
                  <c:v>103.62782484163786</c:v>
                </c:pt>
                <c:pt idx="188">
                  <c:v>104.7375096772457</c:v>
                </c:pt>
                <c:pt idx="189">
                  <c:v>105.85310436906269</c:v>
                </c:pt>
                <c:pt idx="190">
                  <c:v>106.97460891708884</c:v>
                </c:pt>
                <c:pt idx="191">
                  <c:v>108.10202332132414</c:v>
                </c:pt>
                <c:pt idx="192">
                  <c:v>109.23534758176858</c:v>
                </c:pt>
                <c:pt idx="193">
                  <c:v>110.37458169842219</c:v>
                </c:pt>
                <c:pt idx="194">
                  <c:v>111.51972567128493</c:v>
                </c:pt>
                <c:pt idx="195">
                  <c:v>112.67077950035682</c:v>
                </c:pt>
                <c:pt idx="196">
                  <c:v>113.82774318563786</c:v>
                </c:pt>
                <c:pt idx="197">
                  <c:v>114.99061672712806</c:v>
                </c:pt>
                <c:pt idx="198">
                  <c:v>116.1594001248274</c:v>
                </c:pt>
                <c:pt idx="199">
                  <c:v>117.33409337873593</c:v>
                </c:pt>
                <c:pt idx="200">
                  <c:v>118.51469648885357</c:v>
                </c:pt>
                <c:pt idx="201">
                  <c:v>119.70120945518035</c:v>
                </c:pt>
                <c:pt idx="202">
                  <c:v>120.89363227771629</c:v>
                </c:pt>
                <c:pt idx="203">
                  <c:v>122.0919649564614</c:v>
                </c:pt>
                <c:pt idx="204">
                  <c:v>123.29620749141564</c:v>
                </c:pt>
                <c:pt idx="205">
                  <c:v>124.50635988257902</c:v>
                </c:pt>
                <c:pt idx="206">
                  <c:v>125.72242212995157</c:v>
                </c:pt>
                <c:pt idx="207">
                  <c:v>126.9443942335333</c:v>
                </c:pt>
                <c:pt idx="208">
                  <c:v>128.17227619332414</c:v>
                </c:pt>
                <c:pt idx="209">
                  <c:v>129.40606800932414</c:v>
                </c:pt>
                <c:pt idx="210">
                  <c:v>130.6457696815333</c:v>
                </c:pt>
                <c:pt idx="211">
                  <c:v>131.89138120995159</c:v>
                </c:pt>
                <c:pt idx="212">
                  <c:v>133.14290259457906</c:v>
                </c:pt>
                <c:pt idx="213">
                  <c:v>134.40033383541564</c:v>
                </c:pt>
                <c:pt idx="214">
                  <c:v>135.66367493246136</c:v>
                </c:pt>
                <c:pt idx="215">
                  <c:v>136.93292588571629</c:v>
                </c:pt>
                <c:pt idx="216">
                  <c:v>138.20808669518036</c:v>
                </c:pt>
                <c:pt idx="217">
                  <c:v>139.48915736085354</c:v>
                </c:pt>
                <c:pt idx="218">
                  <c:v>140.7761378827359</c:v>
                </c:pt>
                <c:pt idx="219">
                  <c:v>142.06902826082739</c:v>
                </c:pt>
                <c:pt idx="220">
                  <c:v>143.36782849512807</c:v>
                </c:pt>
                <c:pt idx="221">
                  <c:v>144.67253858563785</c:v>
                </c:pt>
                <c:pt idx="222">
                  <c:v>145.98315853235681</c:v>
                </c:pt>
                <c:pt idx="223">
                  <c:v>147.29968833528494</c:v>
                </c:pt>
                <c:pt idx="224">
                  <c:v>148.62212799442219</c:v>
                </c:pt>
                <c:pt idx="225">
                  <c:v>149.9504775097686</c:v>
                </c:pt>
                <c:pt idx="226">
                  <c:v>151.28473688132414</c:v>
                </c:pt>
                <c:pt idx="227">
                  <c:v>152.62490610908884</c:v>
                </c:pt>
                <c:pt idx="228">
                  <c:v>153.97098519306269</c:v>
                </c:pt>
                <c:pt idx="229">
                  <c:v>155.32297413324568</c:v>
                </c:pt>
                <c:pt idx="230">
                  <c:v>156.68087292963784</c:v>
                </c:pt>
                <c:pt idx="231">
                  <c:v>158.04468158223918</c:v>
                </c:pt>
                <c:pt idx="232">
                  <c:v>159.41440009104963</c:v>
                </c:pt>
                <c:pt idx="233">
                  <c:v>160.79002845606925</c:v>
                </c:pt>
                <c:pt idx="234">
                  <c:v>162.17156667729799</c:v>
                </c:pt>
                <c:pt idx="235">
                  <c:v>163.5590147547359</c:v>
                </c:pt>
                <c:pt idx="236">
                  <c:v>164.95237268838295</c:v>
                </c:pt>
                <c:pt idx="237">
                  <c:v>166.35164047823918</c:v>
                </c:pt>
                <c:pt idx="238">
                  <c:v>167.75681812430452</c:v>
                </c:pt>
                <c:pt idx="239">
                  <c:v>169.16790562657906</c:v>
                </c:pt>
                <c:pt idx="240">
                  <c:v>170.58490298506271</c:v>
                </c:pt>
                <c:pt idx="241">
                  <c:v>172.00781019975551</c:v>
                </c:pt>
                <c:pt idx="242">
                  <c:v>173.43662727065748</c:v>
                </c:pt>
                <c:pt idx="243">
                  <c:v>174.87135419776857</c:v>
                </c:pt>
                <c:pt idx="244">
                  <c:v>176.31199098108885</c:v>
                </c:pt>
                <c:pt idx="245">
                  <c:v>177.75853762061823</c:v>
                </c:pt>
                <c:pt idx="246">
                  <c:v>179.2109941163568</c:v>
                </c:pt>
                <c:pt idx="247">
                  <c:v>180.66936046830455</c:v>
                </c:pt>
                <c:pt idx="248">
                  <c:v>182.13363667646141</c:v>
                </c:pt>
                <c:pt idx="249">
                  <c:v>183.60382274082741</c:v>
                </c:pt>
                <c:pt idx="250">
                  <c:v>185.07991866140259</c:v>
                </c:pt>
                <c:pt idx="251">
                  <c:v>186.56192443818688</c:v>
                </c:pt>
                <c:pt idx="252">
                  <c:v>188.04984007118034</c:v>
                </c:pt>
                <c:pt idx="253">
                  <c:v>189.54366556038295</c:v>
                </c:pt>
                <c:pt idx="254">
                  <c:v>191.04340090579473</c:v>
                </c:pt>
                <c:pt idx="255">
                  <c:v>192.14420000000001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3-4F90-8477-EA93B41F5DA0}"/>
            </c:ext>
          </c:extLst>
        </c:ser>
        <c:ser>
          <c:idx val="2"/>
          <c:order val="2"/>
          <c:tx>
            <c:strRef>
              <c:f>'Gamma 2.0  9300K'!$E$16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2.0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2.0  9300K'!$E$17:$E$272</c:f>
              <c:numCache>
                <c:formatCode>0.00_ </c:formatCode>
                <c:ptCount val="256"/>
                <c:pt idx="0">
                  <c:v>2.3433015721176475E-4</c:v>
                </c:pt>
                <c:pt idx="1">
                  <c:v>5.2302271036169931E-3</c:v>
                </c:pt>
                <c:pt idx="2">
                  <c:v>1.6726965880087583E-2</c:v>
                </c:pt>
                <c:pt idx="3">
                  <c:v>3.4724546486623528E-2</c:v>
                </c:pt>
                <c:pt idx="4">
                  <c:v>5.9222968923224852E-2</c:v>
                </c:pt>
                <c:pt idx="5">
                  <c:v>9.0222233189891518E-2</c:v>
                </c:pt>
                <c:pt idx="6">
                  <c:v>0.12772233928662358</c:v>
                </c:pt>
                <c:pt idx="7">
                  <c:v>0.17172328721342095</c:v>
                </c:pt>
                <c:pt idx="8">
                  <c:v>0.22222507697028368</c:v>
                </c:pt>
                <c:pt idx="9">
                  <c:v>0.27922770855721174</c:v>
                </c:pt>
                <c:pt idx="10">
                  <c:v>0.34273118197420532</c:v>
                </c:pt>
                <c:pt idx="11">
                  <c:v>0.41273549722126412</c:v>
                </c:pt>
                <c:pt idx="12">
                  <c:v>0.48924065429838831</c:v>
                </c:pt>
                <c:pt idx="13">
                  <c:v>0.57224665320557777</c:v>
                </c:pt>
                <c:pt idx="14">
                  <c:v>0.66175349394283267</c:v>
                </c:pt>
                <c:pt idx="15">
                  <c:v>0.75776117651015296</c:v>
                </c:pt>
                <c:pt idx="16">
                  <c:v>0.86026970090753863</c:v>
                </c:pt>
                <c:pt idx="17">
                  <c:v>0.96927906713498968</c:v>
                </c:pt>
                <c:pt idx="18">
                  <c:v>1.0847892751925061</c:v>
                </c:pt>
                <c:pt idx="19">
                  <c:v>1.2068003250800876</c:v>
                </c:pt>
                <c:pt idx="20">
                  <c:v>1.3353122167977347</c:v>
                </c:pt>
                <c:pt idx="21">
                  <c:v>1.4703249503454472</c:v>
                </c:pt>
                <c:pt idx="22">
                  <c:v>1.6118385257232248</c:v>
                </c:pt>
                <c:pt idx="23">
                  <c:v>1.7598529429310679</c:v>
                </c:pt>
                <c:pt idx="24">
                  <c:v>1.9143682019689767</c:v>
                </c:pt>
                <c:pt idx="25">
                  <c:v>2.0753843028369507</c:v>
                </c:pt>
                <c:pt idx="26">
                  <c:v>2.2429012455349895</c:v>
                </c:pt>
                <c:pt idx="27">
                  <c:v>2.4169190300630943</c:v>
                </c:pt>
                <c:pt idx="28">
                  <c:v>2.5974376564212642</c:v>
                </c:pt>
                <c:pt idx="29">
                  <c:v>2.7844571246094993</c:v>
                </c:pt>
                <c:pt idx="30">
                  <c:v>2.9779774346278001</c:v>
                </c:pt>
                <c:pt idx="31">
                  <c:v>3.177998586476166</c:v>
                </c:pt>
                <c:pt idx="32">
                  <c:v>3.3845205801545974</c:v>
                </c:pt>
                <c:pt idx="33">
                  <c:v>3.597543415663095</c:v>
                </c:pt>
                <c:pt idx="34">
                  <c:v>3.8170670930016564</c:v>
                </c:pt>
                <c:pt idx="35">
                  <c:v>4.0430916121702847</c:v>
                </c:pt>
                <c:pt idx="36">
                  <c:v>4.2756169731689768</c:v>
                </c:pt>
                <c:pt idx="37">
                  <c:v>4.5146431759977359</c:v>
                </c:pt>
                <c:pt idx="38">
                  <c:v>4.7601702206565593</c:v>
                </c:pt>
                <c:pt idx="39">
                  <c:v>5.0121981071454478</c:v>
                </c:pt>
                <c:pt idx="40">
                  <c:v>5.2707268354644015</c:v>
                </c:pt>
                <c:pt idx="41">
                  <c:v>5.5357564056134212</c:v>
                </c:pt>
                <c:pt idx="42">
                  <c:v>5.8072868175925061</c:v>
                </c:pt>
                <c:pt idx="43">
                  <c:v>6.085318071401657</c:v>
                </c:pt>
                <c:pt idx="44">
                  <c:v>6.3698501670408723</c:v>
                </c:pt>
                <c:pt idx="45">
                  <c:v>6.6608831045101553</c:v>
                </c:pt>
                <c:pt idx="46">
                  <c:v>6.9584168838095</c:v>
                </c:pt>
                <c:pt idx="47">
                  <c:v>7.2624515049389124</c:v>
                </c:pt>
                <c:pt idx="48">
                  <c:v>7.5729869678983874</c:v>
                </c:pt>
                <c:pt idx="49">
                  <c:v>7.8900232726879329</c:v>
                </c:pt>
                <c:pt idx="50">
                  <c:v>8.2135604193075391</c:v>
                </c:pt>
                <c:pt idx="51">
                  <c:v>8.543598407757214</c:v>
                </c:pt>
                <c:pt idx="52">
                  <c:v>8.8801372380369497</c:v>
                </c:pt>
                <c:pt idx="53">
                  <c:v>9.2231769101467549</c:v>
                </c:pt>
                <c:pt idx="54">
                  <c:v>9.5727174240866226</c:v>
                </c:pt>
                <c:pt idx="55">
                  <c:v>9.92875877985656</c:v>
                </c:pt>
                <c:pt idx="56">
                  <c:v>10.291300977456558</c:v>
                </c:pt>
                <c:pt idx="57">
                  <c:v>10.660344016886624</c:v>
                </c:pt>
                <c:pt idx="58">
                  <c:v>11.035887898146754</c:v>
                </c:pt>
                <c:pt idx="59">
                  <c:v>11.417932621236952</c:v>
                </c:pt>
                <c:pt idx="60">
                  <c:v>11.806478186157211</c:v>
                </c:pt>
                <c:pt idx="61">
                  <c:v>12.201524592907541</c:v>
                </c:pt>
                <c:pt idx="62">
                  <c:v>12.603071841487932</c:v>
                </c:pt>
                <c:pt idx="63">
                  <c:v>13.01111993189839</c:v>
                </c:pt>
                <c:pt idx="64">
                  <c:v>13.425668864138911</c:v>
                </c:pt>
                <c:pt idx="65">
                  <c:v>13.846718638209504</c:v>
                </c:pt>
                <c:pt idx="66">
                  <c:v>14.274269254110155</c:v>
                </c:pt>
                <c:pt idx="67">
                  <c:v>14.708320711840873</c:v>
                </c:pt>
                <c:pt idx="68">
                  <c:v>15.148873011401658</c:v>
                </c:pt>
                <c:pt idx="69">
                  <c:v>15.595926152792513</c:v>
                </c:pt>
                <c:pt idx="70">
                  <c:v>16.049480136013425</c:v>
                </c:pt>
                <c:pt idx="71">
                  <c:v>16.509534961064404</c:v>
                </c:pt>
                <c:pt idx="72">
                  <c:v>16.97609062794545</c:v>
                </c:pt>
                <c:pt idx="73">
                  <c:v>17.449147136656563</c:v>
                </c:pt>
                <c:pt idx="74">
                  <c:v>17.928704487197738</c:v>
                </c:pt>
                <c:pt idx="75">
                  <c:v>18.414762679568977</c:v>
                </c:pt>
                <c:pt idx="76">
                  <c:v>18.907321713770283</c:v>
                </c:pt>
                <c:pt idx="77">
                  <c:v>19.406381589801661</c:v>
                </c:pt>
                <c:pt idx="78">
                  <c:v>19.911942307663097</c:v>
                </c:pt>
                <c:pt idx="79">
                  <c:v>20.4240038673546</c:v>
                </c:pt>
                <c:pt idx="80">
                  <c:v>20.94256626887617</c:v>
                </c:pt>
                <c:pt idx="81">
                  <c:v>21.467629512227806</c:v>
                </c:pt>
                <c:pt idx="82">
                  <c:v>21.999193597409501</c:v>
                </c:pt>
                <c:pt idx="83">
                  <c:v>22.537258524421265</c:v>
                </c:pt>
                <c:pt idx="84">
                  <c:v>23.081824293263097</c:v>
                </c:pt>
                <c:pt idx="85">
                  <c:v>23.632890903934996</c:v>
                </c:pt>
                <c:pt idx="86">
                  <c:v>24.190458356436956</c:v>
                </c:pt>
                <c:pt idx="87">
                  <c:v>24.75452665076898</c:v>
                </c:pt>
                <c:pt idx="88">
                  <c:v>25.325095786931069</c:v>
                </c:pt>
                <c:pt idx="89">
                  <c:v>25.902165764923232</c:v>
                </c:pt>
                <c:pt idx="90">
                  <c:v>26.48573658474545</c:v>
                </c:pt>
                <c:pt idx="91">
                  <c:v>27.075808246397738</c:v>
                </c:pt>
                <c:pt idx="92">
                  <c:v>27.672380749880087</c:v>
                </c:pt>
                <c:pt idx="93">
                  <c:v>28.275454095192512</c:v>
                </c:pt>
                <c:pt idx="94">
                  <c:v>28.885028282334996</c:v>
                </c:pt>
                <c:pt idx="95">
                  <c:v>29.501103311307542</c:v>
                </c:pt>
                <c:pt idx="96">
                  <c:v>30.123679182110159</c:v>
                </c:pt>
                <c:pt idx="97">
                  <c:v>30.752755894742844</c:v>
                </c:pt>
                <c:pt idx="98">
                  <c:v>31.388333449205582</c:v>
                </c:pt>
                <c:pt idx="99">
                  <c:v>32.030411845498392</c:v>
                </c:pt>
                <c:pt idx="100">
                  <c:v>32.678991083621263</c:v>
                </c:pt>
                <c:pt idx="101">
                  <c:v>33.334071163574215</c:v>
                </c:pt>
                <c:pt idx="102">
                  <c:v>33.995652085357214</c:v>
                </c:pt>
                <c:pt idx="103">
                  <c:v>34.663733848970288</c:v>
                </c:pt>
                <c:pt idx="104">
                  <c:v>35.338316454413423</c:v>
                </c:pt>
                <c:pt idx="105">
                  <c:v>36.019399901686633</c:v>
                </c:pt>
                <c:pt idx="106">
                  <c:v>36.706984190789896</c:v>
                </c:pt>
                <c:pt idx="107">
                  <c:v>37.401069321723227</c:v>
                </c:pt>
                <c:pt idx="108">
                  <c:v>38.101655294486619</c:v>
                </c:pt>
                <c:pt idx="109">
                  <c:v>38.8087421090801</c:v>
                </c:pt>
                <c:pt idx="110">
                  <c:v>39.522329765503628</c:v>
                </c:pt>
                <c:pt idx="111">
                  <c:v>40.242418263757223</c:v>
                </c:pt>
                <c:pt idx="112">
                  <c:v>40.969007603840872</c:v>
                </c:pt>
                <c:pt idx="113">
                  <c:v>41.702097785754603</c:v>
                </c:pt>
                <c:pt idx="114">
                  <c:v>42.441688809498395</c:v>
                </c:pt>
                <c:pt idx="115">
                  <c:v>43.187780675072247</c:v>
                </c:pt>
                <c:pt idx="116">
                  <c:v>43.940373382476167</c:v>
                </c:pt>
                <c:pt idx="117">
                  <c:v>44.69946693171017</c:v>
                </c:pt>
                <c:pt idx="118">
                  <c:v>45.465061322774211</c:v>
                </c:pt>
                <c:pt idx="119">
                  <c:v>46.237156555668335</c:v>
                </c:pt>
                <c:pt idx="120">
                  <c:v>47.015752630392505</c:v>
                </c:pt>
                <c:pt idx="121">
                  <c:v>47.800849546946765</c:v>
                </c:pt>
                <c:pt idx="122">
                  <c:v>48.592447305331078</c:v>
                </c:pt>
                <c:pt idx="123">
                  <c:v>49.390545905545451</c:v>
                </c:pt>
                <c:pt idx="124">
                  <c:v>50.195145347589893</c:v>
                </c:pt>
                <c:pt idx="125">
                  <c:v>51.006245631464409</c:v>
                </c:pt>
                <c:pt idx="126">
                  <c:v>51.823846757168987</c:v>
                </c:pt>
                <c:pt idx="127">
                  <c:v>52.647948724703625</c:v>
                </c:pt>
                <c:pt idx="128">
                  <c:v>53.478551534068323</c:v>
                </c:pt>
                <c:pt idx="129">
                  <c:v>54.315655185263097</c:v>
                </c:pt>
                <c:pt idx="130">
                  <c:v>55.159259678287917</c:v>
                </c:pt>
                <c:pt idx="131">
                  <c:v>56.009365013142833</c:v>
                </c:pt>
                <c:pt idx="132">
                  <c:v>56.865971189827789</c:v>
                </c:pt>
                <c:pt idx="133">
                  <c:v>57.72907820834282</c:v>
                </c:pt>
                <c:pt idx="134">
                  <c:v>58.598686068687911</c:v>
                </c:pt>
                <c:pt idx="135">
                  <c:v>59.474794770863099</c:v>
                </c:pt>
                <c:pt idx="136">
                  <c:v>60.357404314868333</c:v>
                </c:pt>
                <c:pt idx="137">
                  <c:v>61.246514700703614</c:v>
                </c:pt>
                <c:pt idx="138">
                  <c:v>62.142125928368969</c:v>
                </c:pt>
                <c:pt idx="139">
                  <c:v>63.044237997864393</c:v>
                </c:pt>
                <c:pt idx="140">
                  <c:v>63.952850909189884</c:v>
                </c:pt>
                <c:pt idx="141">
                  <c:v>64.867964662345429</c:v>
                </c:pt>
                <c:pt idx="142">
                  <c:v>65.789579257331042</c:v>
                </c:pt>
                <c:pt idx="143">
                  <c:v>66.717694694146772</c:v>
                </c:pt>
                <c:pt idx="144">
                  <c:v>67.652310972792506</c:v>
                </c:pt>
                <c:pt idx="145">
                  <c:v>68.593428093268315</c:v>
                </c:pt>
                <c:pt idx="146">
                  <c:v>69.541046055574213</c:v>
                </c:pt>
                <c:pt idx="147">
                  <c:v>70.495164859710144</c:v>
                </c:pt>
                <c:pt idx="148">
                  <c:v>71.455784505676164</c:v>
                </c:pt>
                <c:pt idx="149">
                  <c:v>72.422904993472244</c:v>
                </c:pt>
                <c:pt idx="150">
                  <c:v>73.396526323098357</c:v>
                </c:pt>
                <c:pt idx="151">
                  <c:v>74.376648494554615</c:v>
                </c:pt>
                <c:pt idx="152">
                  <c:v>75.363271507840864</c:v>
                </c:pt>
                <c:pt idx="153">
                  <c:v>76.356395362957215</c:v>
                </c:pt>
                <c:pt idx="154">
                  <c:v>77.356020059903614</c:v>
                </c:pt>
                <c:pt idx="155">
                  <c:v>78.362145598680087</c:v>
                </c:pt>
                <c:pt idx="156">
                  <c:v>79.374771979286606</c:v>
                </c:pt>
                <c:pt idx="157">
                  <c:v>80.393899201723215</c:v>
                </c:pt>
                <c:pt idx="158">
                  <c:v>81.419527265989871</c:v>
                </c:pt>
                <c:pt idx="159">
                  <c:v>82.451656172086629</c:v>
                </c:pt>
                <c:pt idx="160">
                  <c:v>83.490285920013406</c:v>
                </c:pt>
                <c:pt idx="161">
                  <c:v>84.535416509770286</c:v>
                </c:pt>
                <c:pt idx="162">
                  <c:v>85.587047941357199</c:v>
                </c:pt>
                <c:pt idx="163">
                  <c:v>86.6451802147742</c:v>
                </c:pt>
                <c:pt idx="164">
                  <c:v>87.709813330021262</c:v>
                </c:pt>
                <c:pt idx="165">
                  <c:v>88.780947287098371</c:v>
                </c:pt>
                <c:pt idx="166">
                  <c:v>89.858582086005569</c:v>
                </c:pt>
                <c:pt idx="167">
                  <c:v>90.942717726742842</c:v>
                </c:pt>
                <c:pt idx="168">
                  <c:v>92.033354209310147</c:v>
                </c:pt>
                <c:pt idx="169">
                  <c:v>93.130491533707527</c:v>
                </c:pt>
                <c:pt idx="170">
                  <c:v>94.234129699934982</c:v>
                </c:pt>
                <c:pt idx="171">
                  <c:v>95.344268707992498</c:v>
                </c:pt>
                <c:pt idx="172">
                  <c:v>96.460908557880089</c:v>
                </c:pt>
                <c:pt idx="173">
                  <c:v>97.584049249597726</c:v>
                </c:pt>
                <c:pt idx="174">
                  <c:v>98.713690783145424</c:v>
                </c:pt>
                <c:pt idx="175">
                  <c:v>99.849833158523225</c:v>
                </c:pt>
                <c:pt idx="176">
                  <c:v>100.99247637573106</c:v>
                </c:pt>
                <c:pt idx="177">
                  <c:v>102.14162043476897</c:v>
                </c:pt>
                <c:pt idx="178">
                  <c:v>103.29726533563695</c:v>
                </c:pt>
                <c:pt idx="179">
                  <c:v>104.45941107833498</c:v>
                </c:pt>
                <c:pt idx="180">
                  <c:v>105.62805766286309</c:v>
                </c:pt>
                <c:pt idx="181">
                  <c:v>106.80320508922125</c:v>
                </c:pt>
                <c:pt idx="182">
                  <c:v>107.98485335740948</c:v>
                </c:pt>
                <c:pt idx="183">
                  <c:v>109.17300246742782</c:v>
                </c:pt>
                <c:pt idx="184">
                  <c:v>110.36765241927618</c:v>
                </c:pt>
                <c:pt idx="185">
                  <c:v>111.56880321295459</c:v>
                </c:pt>
                <c:pt idx="186">
                  <c:v>112.7764548484631</c:v>
                </c:pt>
                <c:pt idx="187">
                  <c:v>113.99060732580165</c:v>
                </c:pt>
                <c:pt idx="188">
                  <c:v>115.21126064497027</c:v>
                </c:pt>
                <c:pt idx="189">
                  <c:v>116.43841480596896</c:v>
                </c:pt>
                <c:pt idx="190">
                  <c:v>117.67206980879773</c:v>
                </c:pt>
                <c:pt idx="191">
                  <c:v>118.91222565345656</c:v>
                </c:pt>
                <c:pt idx="192">
                  <c:v>120.15888233994544</c:v>
                </c:pt>
                <c:pt idx="193">
                  <c:v>121.41203986826442</c:v>
                </c:pt>
                <c:pt idx="194">
                  <c:v>122.67169823841343</c:v>
                </c:pt>
                <c:pt idx="195">
                  <c:v>123.9378574503925</c:v>
                </c:pt>
                <c:pt idx="196">
                  <c:v>125.21051750420165</c:v>
                </c:pt>
                <c:pt idx="197">
                  <c:v>126.48967839984087</c:v>
                </c:pt>
                <c:pt idx="198">
                  <c:v>127.77534013731014</c:v>
                </c:pt>
                <c:pt idx="199">
                  <c:v>129.06750271660951</c:v>
                </c:pt>
                <c:pt idx="200">
                  <c:v>130.36616613773893</c:v>
                </c:pt>
                <c:pt idx="201">
                  <c:v>131.67133040069839</c:v>
                </c:pt>
                <c:pt idx="202">
                  <c:v>132.98299550548793</c:v>
                </c:pt>
                <c:pt idx="203">
                  <c:v>134.30116145210752</c:v>
                </c:pt>
                <c:pt idx="204">
                  <c:v>135.62582824055721</c:v>
                </c:pt>
                <c:pt idx="205">
                  <c:v>136.95699587083692</c:v>
                </c:pt>
                <c:pt idx="206">
                  <c:v>138.29466434294673</c:v>
                </c:pt>
                <c:pt idx="207">
                  <c:v>139.63883365688662</c:v>
                </c:pt>
                <c:pt idx="208">
                  <c:v>140.98950381265655</c:v>
                </c:pt>
                <c:pt idx="209">
                  <c:v>142.34667481025656</c:v>
                </c:pt>
                <c:pt idx="210">
                  <c:v>143.71034664968661</c:v>
                </c:pt>
                <c:pt idx="211">
                  <c:v>145.08051933094674</c:v>
                </c:pt>
                <c:pt idx="212">
                  <c:v>146.45719285403698</c:v>
                </c:pt>
                <c:pt idx="213">
                  <c:v>147.8403672189572</c:v>
                </c:pt>
                <c:pt idx="214">
                  <c:v>149.2300424257075</c:v>
                </c:pt>
                <c:pt idx="215">
                  <c:v>150.62621847428792</c:v>
                </c:pt>
                <c:pt idx="216">
                  <c:v>152.0288953646984</c:v>
                </c:pt>
                <c:pt idx="217">
                  <c:v>153.43807309693889</c:v>
                </c:pt>
                <c:pt idx="218">
                  <c:v>154.85375167100949</c:v>
                </c:pt>
                <c:pt idx="219">
                  <c:v>156.27593108691013</c:v>
                </c:pt>
                <c:pt idx="220">
                  <c:v>157.70461134464088</c:v>
                </c:pt>
                <c:pt idx="221">
                  <c:v>159.13979244420165</c:v>
                </c:pt>
                <c:pt idx="222">
                  <c:v>160.58147438559249</c:v>
                </c:pt>
                <c:pt idx="223">
                  <c:v>162.02965716881343</c:v>
                </c:pt>
                <c:pt idx="224">
                  <c:v>163.48434079386442</c:v>
                </c:pt>
                <c:pt idx="225">
                  <c:v>164.94552526074546</c:v>
                </c:pt>
                <c:pt idx="226">
                  <c:v>166.41321056945654</c:v>
                </c:pt>
                <c:pt idx="227">
                  <c:v>167.88739671999772</c:v>
                </c:pt>
                <c:pt idx="228">
                  <c:v>169.36808371236896</c:v>
                </c:pt>
                <c:pt idx="229">
                  <c:v>170.85527154657024</c:v>
                </c:pt>
                <c:pt idx="230">
                  <c:v>172.34896022260162</c:v>
                </c:pt>
                <c:pt idx="231">
                  <c:v>173.8491497404631</c:v>
                </c:pt>
                <c:pt idx="232">
                  <c:v>175.35584010015458</c:v>
                </c:pt>
                <c:pt idx="233">
                  <c:v>176.86903130167619</c:v>
                </c:pt>
                <c:pt idx="234">
                  <c:v>178.38872334502778</c:v>
                </c:pt>
                <c:pt idx="235">
                  <c:v>179.91491623020949</c:v>
                </c:pt>
                <c:pt idx="236">
                  <c:v>181.44760995722123</c:v>
                </c:pt>
                <c:pt idx="237">
                  <c:v>182.98680452606308</c:v>
                </c:pt>
                <c:pt idx="238">
                  <c:v>184.53249993673498</c:v>
                </c:pt>
                <c:pt idx="239">
                  <c:v>186.08469618923695</c:v>
                </c:pt>
                <c:pt idx="240">
                  <c:v>187.64339328356897</c:v>
                </c:pt>
                <c:pt idx="241">
                  <c:v>189.20859121973106</c:v>
                </c:pt>
                <c:pt idx="242">
                  <c:v>190.78028999772323</c:v>
                </c:pt>
                <c:pt idx="243">
                  <c:v>192.35848961754542</c:v>
                </c:pt>
                <c:pt idx="244">
                  <c:v>193.94319007919773</c:v>
                </c:pt>
                <c:pt idx="245">
                  <c:v>195.53439138268004</c:v>
                </c:pt>
                <c:pt idx="246">
                  <c:v>197.13209352799248</c:v>
                </c:pt>
                <c:pt idx="247">
                  <c:v>198.736296515135</c:v>
                </c:pt>
                <c:pt idx="248">
                  <c:v>200.34700034410756</c:v>
                </c:pt>
                <c:pt idx="249">
                  <c:v>201.96420501491016</c:v>
                </c:pt>
                <c:pt idx="250">
                  <c:v>203.58791052754285</c:v>
                </c:pt>
                <c:pt idx="251">
                  <c:v>205.21811688200557</c:v>
                </c:pt>
                <c:pt idx="252">
                  <c:v>206.85482407829838</c:v>
                </c:pt>
                <c:pt idx="253">
                  <c:v>208.49803211642126</c:v>
                </c:pt>
                <c:pt idx="254">
                  <c:v>210.14774099637421</c:v>
                </c:pt>
                <c:pt idx="255">
                  <c:v>211.35862000000003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3-4F90-8477-EA93B41F5DA0}"/>
            </c:ext>
          </c:extLst>
        </c:ser>
        <c:ser>
          <c:idx val="3"/>
          <c:order val="3"/>
          <c:tx>
            <c:strRef>
              <c:f>'Gamma 2.0  9300K'!$F$16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2.0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2.0  9300K'!$F$17:$F$272</c:f>
              <c:numCache>
                <c:formatCode>General</c:formatCode>
                <c:ptCount val="256"/>
                <c:pt idx="0">
                  <c:v>0.26850000000000002</c:v>
                </c:pt>
                <c:pt idx="1">
                  <c:v>0.27060000000000001</c:v>
                </c:pt>
                <c:pt idx="2">
                  <c:v>0.27079999999999999</c:v>
                </c:pt>
                <c:pt idx="3">
                  <c:v>0.2838</c:v>
                </c:pt>
                <c:pt idx="4">
                  <c:v>0.29360000000000003</c:v>
                </c:pt>
                <c:pt idx="5">
                  <c:v>0.3155</c:v>
                </c:pt>
                <c:pt idx="6">
                  <c:v>0.33350000000000002</c:v>
                </c:pt>
                <c:pt idx="7">
                  <c:v>0.35980000000000001</c:v>
                </c:pt>
                <c:pt idx="8">
                  <c:v>0.3931</c:v>
                </c:pt>
                <c:pt idx="9">
                  <c:v>0.4627</c:v>
                </c:pt>
                <c:pt idx="10">
                  <c:v>0.51329999999999998</c:v>
                </c:pt>
                <c:pt idx="11">
                  <c:v>0.57909999999999995</c:v>
                </c:pt>
                <c:pt idx="12">
                  <c:v>0.6331</c:v>
                </c:pt>
                <c:pt idx="13">
                  <c:v>0.70009999999999994</c:v>
                </c:pt>
                <c:pt idx="14">
                  <c:v>0.79849999999999999</c:v>
                </c:pt>
                <c:pt idx="15">
                  <c:v>0.87380000000000002</c:v>
                </c:pt>
                <c:pt idx="16">
                  <c:v>0.98229999999999995</c:v>
                </c:pt>
                <c:pt idx="17">
                  <c:v>1.0672999999999999</c:v>
                </c:pt>
                <c:pt idx="18">
                  <c:v>1.2222</c:v>
                </c:pt>
                <c:pt idx="19">
                  <c:v>1.3236000000000001</c:v>
                </c:pt>
                <c:pt idx="20">
                  <c:v>1.4192</c:v>
                </c:pt>
                <c:pt idx="21">
                  <c:v>1.5261</c:v>
                </c:pt>
                <c:pt idx="22">
                  <c:v>1.6164000000000001</c:v>
                </c:pt>
                <c:pt idx="23">
                  <c:v>1.7201</c:v>
                </c:pt>
                <c:pt idx="24">
                  <c:v>1.8110999999999999</c:v>
                </c:pt>
                <c:pt idx="25">
                  <c:v>2.0274999999999999</c:v>
                </c:pt>
                <c:pt idx="26">
                  <c:v>2.1675</c:v>
                </c:pt>
                <c:pt idx="27">
                  <c:v>2.2784</c:v>
                </c:pt>
                <c:pt idx="28">
                  <c:v>2.4430000000000001</c:v>
                </c:pt>
                <c:pt idx="29">
                  <c:v>2.6438000000000001</c:v>
                </c:pt>
                <c:pt idx="30">
                  <c:v>2.7774999999999999</c:v>
                </c:pt>
                <c:pt idx="31">
                  <c:v>3.0775999999999999</c:v>
                </c:pt>
                <c:pt idx="32">
                  <c:v>3.2686000000000002</c:v>
                </c:pt>
                <c:pt idx="33">
                  <c:v>3.4375</c:v>
                </c:pt>
                <c:pt idx="34">
                  <c:v>3.6467999999999998</c:v>
                </c:pt>
                <c:pt idx="35">
                  <c:v>3.8136000000000001</c:v>
                </c:pt>
                <c:pt idx="36">
                  <c:v>4.0471000000000004</c:v>
                </c:pt>
                <c:pt idx="37">
                  <c:v>4.2125000000000004</c:v>
                </c:pt>
                <c:pt idx="38">
                  <c:v>4.4599000000000002</c:v>
                </c:pt>
                <c:pt idx="39">
                  <c:v>4.6608999999999998</c:v>
                </c:pt>
                <c:pt idx="40">
                  <c:v>4.9377000000000004</c:v>
                </c:pt>
                <c:pt idx="41">
                  <c:v>5.1405000000000003</c:v>
                </c:pt>
                <c:pt idx="42">
                  <c:v>5.4284999999999997</c:v>
                </c:pt>
                <c:pt idx="43">
                  <c:v>5.6509999999999998</c:v>
                </c:pt>
                <c:pt idx="44">
                  <c:v>5.9486999999999997</c:v>
                </c:pt>
                <c:pt idx="45">
                  <c:v>6.1554000000000002</c:v>
                </c:pt>
                <c:pt idx="46">
                  <c:v>6.3821000000000003</c:v>
                </c:pt>
                <c:pt idx="47">
                  <c:v>6.7202999999999999</c:v>
                </c:pt>
                <c:pt idx="48">
                  <c:v>6.9802999999999997</c:v>
                </c:pt>
                <c:pt idx="49">
                  <c:v>7.2767999999999997</c:v>
                </c:pt>
                <c:pt idx="50">
                  <c:v>7.5434000000000001</c:v>
                </c:pt>
                <c:pt idx="51">
                  <c:v>7.9283999999999999</c:v>
                </c:pt>
                <c:pt idx="52">
                  <c:v>8.1959</c:v>
                </c:pt>
                <c:pt idx="53">
                  <c:v>8.5762999999999998</c:v>
                </c:pt>
                <c:pt idx="54">
                  <c:v>8.8064</c:v>
                </c:pt>
                <c:pt idx="55">
                  <c:v>9.1669</c:v>
                </c:pt>
                <c:pt idx="56">
                  <c:v>9.5000999999999998</c:v>
                </c:pt>
                <c:pt idx="57">
                  <c:v>9.8529</c:v>
                </c:pt>
                <c:pt idx="58">
                  <c:v>10.2164</c:v>
                </c:pt>
                <c:pt idx="59">
                  <c:v>10.610900000000001</c:v>
                </c:pt>
                <c:pt idx="60">
                  <c:v>10.9467</c:v>
                </c:pt>
                <c:pt idx="61">
                  <c:v>11.167299999999999</c:v>
                </c:pt>
                <c:pt idx="62">
                  <c:v>11.6153</c:v>
                </c:pt>
                <c:pt idx="63">
                  <c:v>11.7089</c:v>
                </c:pt>
                <c:pt idx="64">
                  <c:v>12.164899999999999</c:v>
                </c:pt>
                <c:pt idx="65">
                  <c:v>12.477600000000001</c:v>
                </c:pt>
                <c:pt idx="66">
                  <c:v>12.8833</c:v>
                </c:pt>
                <c:pt idx="67">
                  <c:v>13.3771</c:v>
                </c:pt>
                <c:pt idx="68">
                  <c:v>13.7881</c:v>
                </c:pt>
                <c:pt idx="69">
                  <c:v>14.1998</c:v>
                </c:pt>
                <c:pt idx="70">
                  <c:v>14.563700000000001</c:v>
                </c:pt>
                <c:pt idx="71">
                  <c:v>15.1037</c:v>
                </c:pt>
                <c:pt idx="72">
                  <c:v>15.547599999999999</c:v>
                </c:pt>
                <c:pt idx="73">
                  <c:v>16.094999999999999</c:v>
                </c:pt>
                <c:pt idx="74">
                  <c:v>16.466000000000001</c:v>
                </c:pt>
                <c:pt idx="75">
                  <c:v>16.9787</c:v>
                </c:pt>
                <c:pt idx="76">
                  <c:v>17.442299999999999</c:v>
                </c:pt>
                <c:pt idx="77">
                  <c:v>17.488800000000001</c:v>
                </c:pt>
                <c:pt idx="78">
                  <c:v>18.067799999999998</c:v>
                </c:pt>
                <c:pt idx="79">
                  <c:v>18.4941</c:v>
                </c:pt>
                <c:pt idx="80">
                  <c:v>19.0425</c:v>
                </c:pt>
                <c:pt idx="81">
                  <c:v>19.554500000000001</c:v>
                </c:pt>
                <c:pt idx="82">
                  <c:v>20.0229</c:v>
                </c:pt>
                <c:pt idx="83">
                  <c:v>20.6524</c:v>
                </c:pt>
                <c:pt idx="84">
                  <c:v>21.120999999999999</c:v>
                </c:pt>
                <c:pt idx="85">
                  <c:v>21.787299999999998</c:v>
                </c:pt>
                <c:pt idx="86">
                  <c:v>22.2956</c:v>
                </c:pt>
                <c:pt idx="87">
                  <c:v>22.910299999999999</c:v>
                </c:pt>
                <c:pt idx="88">
                  <c:v>22.918099999999999</c:v>
                </c:pt>
                <c:pt idx="89">
                  <c:v>23.421700000000001</c:v>
                </c:pt>
                <c:pt idx="90">
                  <c:v>24.118099999999998</c:v>
                </c:pt>
                <c:pt idx="91">
                  <c:v>24.643999999999998</c:v>
                </c:pt>
                <c:pt idx="92">
                  <c:v>25.360600000000002</c:v>
                </c:pt>
                <c:pt idx="93">
                  <c:v>25.875399999999999</c:v>
                </c:pt>
                <c:pt idx="94">
                  <c:v>26.4269</c:v>
                </c:pt>
                <c:pt idx="95">
                  <c:v>26.998899999999999</c:v>
                </c:pt>
                <c:pt idx="96">
                  <c:v>27.749500000000001</c:v>
                </c:pt>
                <c:pt idx="97">
                  <c:v>28.3186</c:v>
                </c:pt>
                <c:pt idx="98">
                  <c:v>28.5382</c:v>
                </c:pt>
                <c:pt idx="99">
                  <c:v>29.1328</c:v>
                </c:pt>
                <c:pt idx="100">
                  <c:v>29.7089</c:v>
                </c:pt>
                <c:pt idx="101">
                  <c:v>30.4742</c:v>
                </c:pt>
                <c:pt idx="102">
                  <c:v>31.070900000000002</c:v>
                </c:pt>
                <c:pt idx="103">
                  <c:v>31.6587</c:v>
                </c:pt>
                <c:pt idx="104">
                  <c:v>32.415999999999997</c:v>
                </c:pt>
                <c:pt idx="105">
                  <c:v>33.063200000000002</c:v>
                </c:pt>
                <c:pt idx="106">
                  <c:v>33.649099999999997</c:v>
                </c:pt>
                <c:pt idx="107">
                  <c:v>34.278700000000001</c:v>
                </c:pt>
                <c:pt idx="108">
                  <c:v>35.179699999999997</c:v>
                </c:pt>
                <c:pt idx="109">
                  <c:v>35.375599999999999</c:v>
                </c:pt>
                <c:pt idx="110">
                  <c:v>36.036999999999999</c:v>
                </c:pt>
                <c:pt idx="111">
                  <c:v>36.684699999999999</c:v>
                </c:pt>
                <c:pt idx="112">
                  <c:v>37.346400000000003</c:v>
                </c:pt>
                <c:pt idx="113">
                  <c:v>38.245100000000001</c:v>
                </c:pt>
                <c:pt idx="114">
                  <c:v>38.9131</c:v>
                </c:pt>
                <c:pt idx="115">
                  <c:v>39.8367</c:v>
                </c:pt>
                <c:pt idx="116">
                  <c:v>40.517699999999998</c:v>
                </c:pt>
                <c:pt idx="117">
                  <c:v>41.384900000000002</c:v>
                </c:pt>
                <c:pt idx="118">
                  <c:v>42.0261</c:v>
                </c:pt>
                <c:pt idx="119">
                  <c:v>42.7121</c:v>
                </c:pt>
                <c:pt idx="120">
                  <c:v>43.654800000000002</c:v>
                </c:pt>
                <c:pt idx="121">
                  <c:v>44.384599999999999</c:v>
                </c:pt>
                <c:pt idx="122">
                  <c:v>45.386800000000001</c:v>
                </c:pt>
                <c:pt idx="123">
                  <c:v>45.903199999999998</c:v>
                </c:pt>
                <c:pt idx="124">
                  <c:v>46.930799999999998</c:v>
                </c:pt>
                <c:pt idx="125">
                  <c:v>47.630899999999997</c:v>
                </c:pt>
                <c:pt idx="126">
                  <c:v>48.686399999999999</c:v>
                </c:pt>
                <c:pt idx="127">
                  <c:v>49.435899999999997</c:v>
                </c:pt>
                <c:pt idx="128">
                  <c:v>50.473399999999998</c:v>
                </c:pt>
                <c:pt idx="129">
                  <c:v>51.195900000000002</c:v>
                </c:pt>
                <c:pt idx="130">
                  <c:v>51.9422</c:v>
                </c:pt>
                <c:pt idx="131">
                  <c:v>52.948599999999999</c:v>
                </c:pt>
                <c:pt idx="132">
                  <c:v>53.790399999999998</c:v>
                </c:pt>
                <c:pt idx="133">
                  <c:v>54.804499999999997</c:v>
                </c:pt>
                <c:pt idx="134">
                  <c:v>54.806399999999996</c:v>
                </c:pt>
                <c:pt idx="135">
                  <c:v>55.634999999999998</c:v>
                </c:pt>
                <c:pt idx="136">
                  <c:v>56.801499999999997</c:v>
                </c:pt>
                <c:pt idx="137">
                  <c:v>57.631799999999998</c:v>
                </c:pt>
                <c:pt idx="138">
                  <c:v>58.87</c:v>
                </c:pt>
                <c:pt idx="139">
                  <c:v>59.436999999999998</c:v>
                </c:pt>
                <c:pt idx="140">
                  <c:v>60.578200000000002</c:v>
                </c:pt>
                <c:pt idx="141">
                  <c:v>60.844000000000001</c:v>
                </c:pt>
                <c:pt idx="142">
                  <c:v>61.738599999999998</c:v>
                </c:pt>
                <c:pt idx="143">
                  <c:v>62.691800000000001</c:v>
                </c:pt>
                <c:pt idx="144">
                  <c:v>63.559600000000003</c:v>
                </c:pt>
                <c:pt idx="145">
                  <c:v>64.771900000000002</c:v>
                </c:pt>
                <c:pt idx="146">
                  <c:v>65.033100000000005</c:v>
                </c:pt>
                <c:pt idx="147">
                  <c:v>65.719099999999997</c:v>
                </c:pt>
                <c:pt idx="148">
                  <c:v>66.620999999999995</c:v>
                </c:pt>
                <c:pt idx="149">
                  <c:v>67.795599999999993</c:v>
                </c:pt>
                <c:pt idx="150">
                  <c:v>68.703400000000002</c:v>
                </c:pt>
                <c:pt idx="151">
                  <c:v>69.712199999999996</c:v>
                </c:pt>
                <c:pt idx="152">
                  <c:v>70.0655</c:v>
                </c:pt>
                <c:pt idx="153">
                  <c:v>70.999200000000002</c:v>
                </c:pt>
                <c:pt idx="154">
                  <c:v>72.203999999999994</c:v>
                </c:pt>
                <c:pt idx="155">
                  <c:v>73.186999999999998</c:v>
                </c:pt>
                <c:pt idx="156">
                  <c:v>74.233500000000006</c:v>
                </c:pt>
                <c:pt idx="157">
                  <c:v>74.611099999999993</c:v>
                </c:pt>
                <c:pt idx="158">
                  <c:v>75.331699999999998</c:v>
                </c:pt>
                <c:pt idx="159">
                  <c:v>76.715800000000002</c:v>
                </c:pt>
                <c:pt idx="160">
                  <c:v>77.6982</c:v>
                </c:pt>
                <c:pt idx="161">
                  <c:v>77.988699999999994</c:v>
                </c:pt>
                <c:pt idx="162">
                  <c:v>78.931700000000006</c:v>
                </c:pt>
                <c:pt idx="163">
                  <c:v>79.888800000000003</c:v>
                </c:pt>
                <c:pt idx="164">
                  <c:v>81.127499999999998</c:v>
                </c:pt>
                <c:pt idx="165">
                  <c:v>81.996499999999997</c:v>
                </c:pt>
                <c:pt idx="166">
                  <c:v>82.416499999999999</c:v>
                </c:pt>
                <c:pt idx="167">
                  <c:v>83.809100000000001</c:v>
                </c:pt>
                <c:pt idx="168">
                  <c:v>84.885400000000004</c:v>
                </c:pt>
                <c:pt idx="169">
                  <c:v>86.015900000000002</c:v>
                </c:pt>
                <c:pt idx="170">
                  <c:v>87.007199999999997</c:v>
                </c:pt>
                <c:pt idx="171">
                  <c:v>87.284099999999995</c:v>
                </c:pt>
                <c:pt idx="172">
                  <c:v>88.303799999999995</c:v>
                </c:pt>
                <c:pt idx="173">
                  <c:v>89.364400000000003</c:v>
                </c:pt>
                <c:pt idx="174">
                  <c:v>90.938599999999994</c:v>
                </c:pt>
                <c:pt idx="175">
                  <c:v>91.998400000000004</c:v>
                </c:pt>
                <c:pt idx="176">
                  <c:v>92.0398</c:v>
                </c:pt>
                <c:pt idx="177">
                  <c:v>93.632199999999997</c:v>
                </c:pt>
                <c:pt idx="178">
                  <c:v>94.829099999999997</c:v>
                </c:pt>
                <c:pt idx="179">
                  <c:v>95.950800000000001</c:v>
                </c:pt>
                <c:pt idx="180">
                  <c:v>96.285799999999995</c:v>
                </c:pt>
                <c:pt idx="181">
                  <c:v>97.346800000000002</c:v>
                </c:pt>
                <c:pt idx="182">
                  <c:v>98.498199999999997</c:v>
                </c:pt>
                <c:pt idx="183">
                  <c:v>99.659700000000001</c:v>
                </c:pt>
                <c:pt idx="184">
                  <c:v>101.1472</c:v>
                </c:pt>
                <c:pt idx="185">
                  <c:v>101.23390000000001</c:v>
                </c:pt>
                <c:pt idx="186">
                  <c:v>102.30500000000001</c:v>
                </c:pt>
                <c:pt idx="187">
                  <c:v>103.9015</c:v>
                </c:pt>
                <c:pt idx="188">
                  <c:v>104.61499999999999</c:v>
                </c:pt>
                <c:pt idx="189">
                  <c:v>104.99809999999999</c:v>
                </c:pt>
                <c:pt idx="190">
                  <c:v>106.62269999999999</c:v>
                </c:pt>
                <c:pt idx="191">
                  <c:v>107.33369999999999</c:v>
                </c:pt>
                <c:pt idx="192">
                  <c:v>109.0291</c:v>
                </c:pt>
                <c:pt idx="193">
                  <c:v>109.488</c:v>
                </c:pt>
                <c:pt idx="194">
                  <c:v>110.3663</c:v>
                </c:pt>
                <c:pt idx="195">
                  <c:v>112.01739999999999</c:v>
                </c:pt>
                <c:pt idx="196">
                  <c:v>113.2092</c:v>
                </c:pt>
                <c:pt idx="197">
                  <c:v>114.7829</c:v>
                </c:pt>
                <c:pt idx="198">
                  <c:v>114.80289999999999</c:v>
                </c:pt>
                <c:pt idx="199">
                  <c:v>116.0994</c:v>
                </c:pt>
                <c:pt idx="200">
                  <c:v>117.8036</c:v>
                </c:pt>
                <c:pt idx="201">
                  <c:v>119.0448</c:v>
                </c:pt>
                <c:pt idx="202">
                  <c:v>120.1549</c:v>
                </c:pt>
                <c:pt idx="203">
                  <c:v>120.614</c:v>
                </c:pt>
                <c:pt idx="204">
                  <c:v>121.4939</c:v>
                </c:pt>
                <c:pt idx="205">
                  <c:v>123.0677</c:v>
                </c:pt>
                <c:pt idx="206">
                  <c:v>124.2872</c:v>
                </c:pt>
                <c:pt idx="207">
                  <c:v>125.97929999999999</c:v>
                </c:pt>
                <c:pt idx="208">
                  <c:v>126.0582</c:v>
                </c:pt>
                <c:pt idx="209">
                  <c:v>127.3373</c:v>
                </c:pt>
                <c:pt idx="210">
                  <c:v>128.9889</c:v>
                </c:pt>
                <c:pt idx="211">
                  <c:v>130.30410000000001</c:v>
                </c:pt>
                <c:pt idx="212">
                  <c:v>132.0874</c:v>
                </c:pt>
                <c:pt idx="213">
                  <c:v>133.0462</c:v>
                </c:pt>
                <c:pt idx="214">
                  <c:v>133.41380000000001</c:v>
                </c:pt>
                <c:pt idx="215">
                  <c:v>135.22399999999999</c:v>
                </c:pt>
                <c:pt idx="216">
                  <c:v>136.536</c:v>
                </c:pt>
                <c:pt idx="217">
                  <c:v>137.89789999999999</c:v>
                </c:pt>
                <c:pt idx="218">
                  <c:v>139.22810000000001</c:v>
                </c:pt>
                <c:pt idx="219">
                  <c:v>141.0189</c:v>
                </c:pt>
                <c:pt idx="220">
                  <c:v>142.37110000000001</c:v>
                </c:pt>
                <c:pt idx="221">
                  <c:v>142.76929999999999</c:v>
                </c:pt>
                <c:pt idx="222">
                  <c:v>144.24709999999999</c:v>
                </c:pt>
                <c:pt idx="223">
                  <c:v>145.60669999999999</c:v>
                </c:pt>
                <c:pt idx="224">
                  <c:v>147.35480000000001</c:v>
                </c:pt>
                <c:pt idx="225">
                  <c:v>148.7526</c:v>
                </c:pt>
                <c:pt idx="226">
                  <c:v>150.15389999999999</c:v>
                </c:pt>
                <c:pt idx="227">
                  <c:v>151.65469999999999</c:v>
                </c:pt>
                <c:pt idx="228">
                  <c:v>152.06030000000001</c:v>
                </c:pt>
                <c:pt idx="229">
                  <c:v>153.44059999999999</c:v>
                </c:pt>
                <c:pt idx="230">
                  <c:v>155.3192</c:v>
                </c:pt>
                <c:pt idx="231">
                  <c:v>156.7123</c:v>
                </c:pt>
                <c:pt idx="232">
                  <c:v>158.1729</c:v>
                </c:pt>
                <c:pt idx="233">
                  <c:v>159.67349999999999</c:v>
                </c:pt>
                <c:pt idx="234">
                  <c:v>161.59049999999999</c:v>
                </c:pt>
                <c:pt idx="235">
                  <c:v>163.04499999999999</c:v>
                </c:pt>
                <c:pt idx="236">
                  <c:v>163.5823</c:v>
                </c:pt>
                <c:pt idx="237">
                  <c:v>165.0352</c:v>
                </c:pt>
                <c:pt idx="238">
                  <c:v>166.4803</c:v>
                </c:pt>
                <c:pt idx="239">
                  <c:v>168.46260000000001</c:v>
                </c:pt>
                <c:pt idx="240">
                  <c:v>169.91470000000001</c:v>
                </c:pt>
                <c:pt idx="241">
                  <c:v>171.369</c:v>
                </c:pt>
                <c:pt idx="242">
                  <c:v>172.77279999999999</c:v>
                </c:pt>
                <c:pt idx="243">
                  <c:v>174.71700000000001</c:v>
                </c:pt>
                <c:pt idx="244">
                  <c:v>175.11670000000001</c:v>
                </c:pt>
                <c:pt idx="245">
                  <c:v>176.5849</c:v>
                </c:pt>
                <c:pt idx="246">
                  <c:v>178.15360000000001</c:v>
                </c:pt>
                <c:pt idx="247">
                  <c:v>179.5692</c:v>
                </c:pt>
                <c:pt idx="248">
                  <c:v>181.4794</c:v>
                </c:pt>
                <c:pt idx="249">
                  <c:v>183.01519999999999</c:v>
                </c:pt>
                <c:pt idx="250">
                  <c:v>185.06469999999999</c:v>
                </c:pt>
                <c:pt idx="251">
                  <c:v>186.09270000000001</c:v>
                </c:pt>
                <c:pt idx="252">
                  <c:v>188.0968</c:v>
                </c:pt>
                <c:pt idx="253">
                  <c:v>189.69569999999999</c:v>
                </c:pt>
                <c:pt idx="254">
                  <c:v>191.70740000000001</c:v>
                </c:pt>
                <c:pt idx="255">
                  <c:v>192.14420000000001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F3-4F90-8477-EA93B41F5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2158304"/>
        <c:axId val="1632163584"/>
      </c:lineChart>
      <c:catAx>
        <c:axId val="163215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2163584"/>
        <c:crosses val="autoZero"/>
        <c:auto val="1"/>
        <c:lblAlgn val="ctr"/>
        <c:lblOffset val="100"/>
        <c:noMultiLvlLbl val="0"/>
      </c:catAx>
      <c:valAx>
        <c:axId val="163216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215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Gamma2.2_9300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'Gamma 2.2  9300K'!$C$16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2.2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 9300K'!$C$17:$C$272</c:f>
              <c:numCache>
                <c:formatCode>0.00_ </c:formatCode>
                <c:ptCount val="256"/>
                <c:pt idx="0">
                  <c:v>4.6487927761644633E-5</c:v>
                </c:pt>
                <c:pt idx="1">
                  <c:v>1.4673202533171056E-3</c:v>
                </c:pt>
                <c:pt idx="2">
                  <c:v>5.2935078273816036E-3</c:v>
                </c:pt>
                <c:pt idx="3">
                  <c:v>1.1841183279268131E-2</c:v>
                </c:pt>
                <c:pt idx="4">
                  <c:v>2.1321181771999695E-2</c:v>
                </c:pt>
                <c:pt idx="5">
                  <c:v>3.3896195429253186E-2</c:v>
                </c:pt>
                <c:pt idx="6">
                  <c:v>4.9700281279818348E-2</c:v>
                </c:pt>
                <c:pt idx="7">
                  <c:v>6.8848239269362566E-2</c:v>
                </c:pt>
                <c:pt idx="8">
                  <c:v>9.1440922116735657E-2</c:v>
                </c:pt>
                <c:pt idx="9">
                  <c:v>0.11756856078312691</c:v>
                </c:pt>
                <c:pt idx="10">
                  <c:v>0.14731299679877544</c:v>
                </c:pt>
                <c:pt idx="11">
                  <c:v>0.18074925917060453</c:v>
                </c:pt>
                <c:pt idx="12">
                  <c:v>0.21794672281432148</c:v>
                </c:pt>
                <c:pt idx="13">
                  <c:v>0.258969986455104</c:v>
                </c:pt>
                <c:pt idx="14">
                  <c:v>0.30387955499871444</c:v>
                </c:pt>
                <c:pt idx="15">
                  <c:v>0.35273238120001371</c:v>
                </c:pt>
                <c:pt idx="16">
                  <c:v>0.40558230334825546</c:v>
                </c:pt>
                <c:pt idx="17">
                  <c:v>0.46248040434946375</c:v>
                </c:pt>
                <c:pt idx="18">
                  <c:v>0.52347531022627591</c:v>
                </c:pt>
                <c:pt idx="19">
                  <c:v>0.58861344112978187</c:v>
                </c:pt>
                <c:pt idx="20">
                  <c:v>0.65793922457259379</c:v>
                </c:pt>
                <c:pt idx="21">
                  <c:v>0.7314952782112053</c:v>
                </c:pt>
                <c:pt idx="22">
                  <c:v>0.80932256779635303</c:v>
                </c:pt>
                <c:pt idx="23">
                  <c:v>0.89146054466040592</c:v>
                </c:pt>
                <c:pt idx="24">
                  <c:v>0.97794726618232442</c:v>
                </c:pt>
                <c:pt idx="25">
                  <c:v>1.0688195019706335</c:v>
                </c:pt>
                <c:pt idx="26">
                  <c:v>1.1641128279700006</c:v>
                </c:pt>
                <c:pt idx="27">
                  <c:v>1.2638617102833813</c:v>
                </c:pt>
                <c:pt idx="28">
                  <c:v>1.3680995801783198</c:v>
                </c:pt>
                <c:pt idx="29">
                  <c:v>1.4768589014906222</c:v>
                </c:pt>
                <c:pt idx="30">
                  <c:v>1.5901712314349898</c:v>
                </c:pt>
                <c:pt idx="31">
                  <c:v>1.7080672756685513</c:v>
                </c:pt>
                <c:pt idx="32">
                  <c:v>1.830576938320565</c:v>
                </c:pt>
                <c:pt idx="33">
                  <c:v>1.9577293675932228</c:v>
                </c:pt>
                <c:pt idx="34">
                  <c:v>2.0895529974494984</c:v>
                </c:pt>
                <c:pt idx="35">
                  <c:v>2.2260755858302472</c:v>
                </c:pt>
                <c:pt idx="36">
                  <c:v>2.3673242497815159</c:v>
                </c:pt>
                <c:pt idx="37">
                  <c:v>2.5133254978215938</c:v>
                </c:pt>
                <c:pt idx="38">
                  <c:v>2.664105259834237</c:v>
                </c:pt>
                <c:pt idx="39">
                  <c:v>2.8196889147378412</c:v>
                </c:pt>
                <c:pt idx="40">
                  <c:v>2.9801013161494145</c:v>
                </c:pt>
                <c:pt idx="41">
                  <c:v>3.1453668162355584</c:v>
                </c:pt>
                <c:pt idx="42">
                  <c:v>3.3155092879201007</c:v>
                </c:pt>
                <c:pt idx="43">
                  <c:v>3.4905521455983073</c:v>
                </c:pt>
                <c:pt idx="44">
                  <c:v>3.6705183644908388</c:v>
                </c:pt>
                <c:pt idx="45">
                  <c:v>3.8554304987558945</c:v>
                </c:pt>
                <c:pt idx="46">
                  <c:v>4.0453106984652933</c:v>
                </c:pt>
                <c:pt idx="47">
                  <c:v>4.2401807255390604</c:v>
                </c:pt>
                <c:pt idx="48">
                  <c:v>4.4400619687234171</c:v>
                </c:pt>
                <c:pt idx="49">
                  <c:v>4.6449754576884636</c:v>
                </c:pt>
                <c:pt idx="50">
                  <c:v>4.8549418763143599</c:v>
                </c:pt>
                <c:pt idx="51">
                  <c:v>5.0699815752280912</c:v>
                </c:pt>
                <c:pt idx="52">
                  <c:v>5.2901145836470915</c:v>
                </c:pt>
                <c:pt idx="53">
                  <c:v>5.515360620580732</c:v>
                </c:pt>
                <c:pt idx="54">
                  <c:v>5.7457391054360061</c:v>
                </c:pt>
                <c:pt idx="55">
                  <c:v>5.9812691680696464</c:v>
                </c:pt>
                <c:pt idx="56">
                  <c:v>6.2219696583251594</c:v>
                </c:pt>
                <c:pt idx="57">
                  <c:v>6.4678591550899647</c:v>
                </c:pt>
                <c:pt idx="58">
                  <c:v>6.718955974904814</c:v>
                </c:pt>
                <c:pt idx="59">
                  <c:v>6.9752781801550645</c:v>
                </c:pt>
                <c:pt idx="60">
                  <c:v>7.2368435868708003</c:v>
                </c:pt>
                <c:pt idx="61">
                  <c:v>7.5036697721608476</c:v>
                </c:pt>
                <c:pt idx="62">
                  <c:v>7.7757740813035303</c:v>
                </c:pt>
                <c:pt idx="63">
                  <c:v>8.0531736345153426</c:v>
                </c:pt>
                <c:pt idx="64">
                  <c:v>8.335885333417167</c:v>
                </c:pt>
                <c:pt idx="65">
                  <c:v>8.6239258672159114</c:v>
                </c:pt>
                <c:pt idx="66">
                  <c:v>8.917311718618528</c:v>
                </c:pt>
                <c:pt idx="67">
                  <c:v>9.216059169493704</c:v>
                </c:pt>
                <c:pt idx="68">
                  <c:v>9.5201843062957039</c:v>
                </c:pt>
                <c:pt idx="69">
                  <c:v>9.8297030252637505</c:v>
                </c:pt>
                <c:pt idx="70">
                  <c:v>10.144631037409292</c:v>
                </c:pt>
                <c:pt idx="71">
                  <c:v>10.464983873302819</c:v>
                </c:pt>
                <c:pt idx="72">
                  <c:v>10.790776887670884</c:v>
                </c:pt>
                <c:pt idx="73">
                  <c:v>11.122025263813589</c:v>
                </c:pt>
                <c:pt idx="74">
                  <c:v>11.458744017851711</c:v>
                </c:pt>
                <c:pt idx="75">
                  <c:v>11.80094800281239</c:v>
                </c:pt>
                <c:pt idx="76">
                  <c:v>12.148651912561608</c:v>
                </c:pt>
                <c:pt idx="77">
                  <c:v>12.501870285591069</c:v>
                </c:pt>
                <c:pt idx="78">
                  <c:v>12.860617508666763</c:v>
                </c:pt>
                <c:pt idx="79">
                  <c:v>13.224907820345972</c:v>
                </c:pt>
                <c:pt idx="80">
                  <c:v>13.594755314369015</c:v>
                </c:pt>
                <c:pt idx="81">
                  <c:v>13.970173942931872</c:v>
                </c:pt>
                <c:pt idx="82">
                  <c:v>14.351177519845081</c:v>
                </c:pt>
                <c:pt idx="83">
                  <c:v>14.737779723584337</c:v>
                </c:pt>
                <c:pt idx="84">
                  <c:v>15.129994100237781</c:v>
                </c:pt>
                <c:pt idx="85">
                  <c:v>15.527834066354609</c:v>
                </c:pt>
                <c:pt idx="86">
                  <c:v>15.931312911699427</c:v>
                </c:pt>
                <c:pt idx="87">
                  <c:v>16.340443801916674</c:v>
                </c:pt>
                <c:pt idx="88">
                  <c:v>16.755239781108738</c:v>
                </c:pt>
                <c:pt idx="89">
                  <c:v>17.175713774331999</c:v>
                </c:pt>
                <c:pt idx="90">
                  <c:v>17.601878590013754</c:v>
                </c:pt>
                <c:pt idx="91">
                  <c:v>18.033746922293872</c:v>
                </c:pt>
                <c:pt idx="92">
                  <c:v>18.471331353294008</c:v>
                </c:pt>
                <c:pt idx="93">
                  <c:v>18.914644355317478</c:v>
                </c:pt>
                <c:pt idx="94">
                  <c:v>19.363698292982775</c:v>
                </c:pt>
                <c:pt idx="95">
                  <c:v>19.818505425293168</c:v>
                </c:pt>
                <c:pt idx="96">
                  <c:v>20.279077907645068</c:v>
                </c:pt>
                <c:pt idx="97">
                  <c:v>20.745427793777804</c:v>
                </c:pt>
                <c:pt idx="98">
                  <c:v>21.21756703766663</c:v>
                </c:pt>
                <c:pt idx="99">
                  <c:v>21.695507495361703</c:v>
                </c:pt>
                <c:pt idx="100">
                  <c:v>22.179260926774653</c:v>
                </c:pt>
                <c:pt idx="101">
                  <c:v>22.668838997415168</c:v>
                </c:pt>
                <c:pt idx="102">
                  <c:v>23.164253280079073</c:v>
                </c:pt>
                <c:pt idx="103">
                  <c:v>23.665515256490096</c:v>
                </c:pt>
                <c:pt idx="104">
                  <c:v>24.172636318896615</c:v>
                </c:pt>
                <c:pt idx="105">
                  <c:v>24.68562777162558</c:v>
                </c:pt>
                <c:pt idx="106">
                  <c:v>25.204500832594576</c:v>
                </c:pt>
                <c:pt idx="107">
                  <c:v>25.729266634783968</c:v>
                </c:pt>
                <c:pt idx="108">
                  <c:v>26.259936227670373</c:v>
                </c:pt>
                <c:pt idx="109">
                  <c:v>26.796520578622818</c:v>
                </c:pt>
                <c:pt idx="110">
                  <c:v>27.339030574262932</c:v>
                </c:pt>
                <c:pt idx="111">
                  <c:v>27.88747702179046</c:v>
                </c:pt>
                <c:pt idx="112">
                  <c:v>28.441870650275099</c:v>
                </c:pt>
                <c:pt idx="113">
                  <c:v>29.002222111916115</c:v>
                </c:pt>
                <c:pt idx="114">
                  <c:v>29.568541983270507</c:v>
                </c:pt>
                <c:pt idx="115">
                  <c:v>30.140840766450978</c:v>
                </c:pt>
                <c:pt idx="116">
                  <c:v>30.719128890294677</c:v>
                </c:pt>
                <c:pt idx="117">
                  <c:v>31.303416711503541</c:v>
                </c:pt>
                <c:pt idx="118">
                  <c:v>31.893714515757424</c:v>
                </c:pt>
                <c:pt idx="119">
                  <c:v>32.490032518800568</c:v>
                </c:pt>
                <c:pt idx="120">
                  <c:v>33.092380867502548</c:v>
                </c:pt>
                <c:pt idx="121">
                  <c:v>33.700769640894364</c:v>
                </c:pt>
                <c:pt idx="122">
                  <c:v>34.315208851180458</c:v>
                </c:pt>
                <c:pt idx="123">
                  <c:v>34.935708444727503</c:v>
                </c:pt>
                <c:pt idx="124">
                  <c:v>35.56227830303051</c:v>
                </c:pt>
                <c:pt idx="125">
                  <c:v>36.194928243657159</c:v>
                </c:pt>
                <c:pt idx="126">
                  <c:v>36.833668021170929</c:v>
                </c:pt>
                <c:pt idx="127">
                  <c:v>37.478507328033572</c:v>
                </c:pt>
                <c:pt idx="128">
                  <c:v>38.129455795487644</c:v>
                </c:pt>
                <c:pt idx="129">
                  <c:v>38.786522994419769</c:v>
                </c:pt>
                <c:pt idx="130">
                  <c:v>39.44971843620506</c:v>
                </c:pt>
                <c:pt idx="131">
                  <c:v>40.11905157353327</c:v>
                </c:pt>
                <c:pt idx="132">
                  <c:v>40.794531801217282</c:v>
                </c:pt>
                <c:pt idx="133">
                  <c:v>41.476168456984411</c:v>
                </c:pt>
                <c:pt idx="134">
                  <c:v>42.163970822250946</c:v>
                </c:pt>
                <c:pt idx="135">
                  <c:v>42.857948122880529</c:v>
                </c:pt>
                <c:pt idx="136">
                  <c:v>43.558109529926782</c:v>
                </c:pt>
                <c:pt idx="137">
                  <c:v>44.264464160360504</c:v>
                </c:pt>
                <c:pt idx="138">
                  <c:v>44.977021077782055</c:v>
                </c:pt>
                <c:pt idx="139">
                  <c:v>45.695789293119198</c:v>
                </c:pt>
                <c:pt idx="140">
                  <c:v>46.420777765310973</c:v>
                </c:pt>
                <c:pt idx="141">
                  <c:v>47.151995401977587</c:v>
                </c:pt>
                <c:pt idx="142">
                  <c:v>47.889451060077306</c:v>
                </c:pt>
                <c:pt idx="143">
                  <c:v>48.633153546550112</c:v>
                </c:pt>
                <c:pt idx="144">
                  <c:v>49.38311161894886</c:v>
                </c:pt>
                <c:pt idx="145">
                  <c:v>50.139333986058041</c:v>
                </c:pt>
                <c:pt idx="146">
                  <c:v>50.901829308500695</c:v>
                </c:pt>
                <c:pt idx="147">
                  <c:v>51.670606199333449</c:v>
                </c:pt>
                <c:pt idx="148">
                  <c:v>52.445673224630433</c:v>
                </c:pt>
                <c:pt idx="149">
                  <c:v>53.227038904056016</c:v>
                </c:pt>
                <c:pt idx="150">
                  <c:v>54.0147117114266</c:v>
                </c:pt>
                <c:pt idx="151">
                  <c:v>54.808700075262252</c:v>
                </c:pt>
                <c:pt idx="152">
                  <c:v>55.609012379327815</c:v>
                </c:pt>
                <c:pt idx="153">
                  <c:v>56.415656963163975</c:v>
                </c:pt>
                <c:pt idx="154">
                  <c:v>57.228642122608939</c:v>
                </c:pt>
                <c:pt idx="155">
                  <c:v>58.047976110310188</c:v>
                </c:pt>
                <c:pt idx="156">
                  <c:v>58.873667136227205</c:v>
                </c:pt>
                <c:pt idx="157">
                  <c:v>59.705723368125206</c:v>
                </c:pt>
                <c:pt idx="158">
                  <c:v>60.544152932059795</c:v>
                </c:pt>
                <c:pt idx="159">
                  <c:v>61.388963912853299</c:v>
                </c:pt>
                <c:pt idx="160">
                  <c:v>62.240164354562495</c:v>
                </c:pt>
                <c:pt idx="161">
                  <c:v>63.097762260938225</c:v>
                </c:pt>
                <c:pt idx="162">
                  <c:v>63.961765595877011</c:v>
                </c:pt>
                <c:pt idx="163">
                  <c:v>64.832182283864682</c:v>
                </c:pt>
                <c:pt idx="164">
                  <c:v>65.709020210412717</c:v>
                </c:pt>
                <c:pt idx="165">
                  <c:v>66.59228722248676</c:v>
                </c:pt>
                <c:pt idx="166">
                  <c:v>67.481991128927916</c:v>
                </c:pt>
                <c:pt idx="167">
                  <c:v>68.378139700867237</c:v>
                </c:pt>
                <c:pt idx="168">
                  <c:v>69.280740672132808</c:v>
                </c:pt>
                <c:pt idx="169">
                  <c:v>70.189801739650363</c:v>
                </c:pt>
                <c:pt idx="170">
                  <c:v>71.105330563836986</c:v>
                </c:pt>
                <c:pt idx="171">
                  <c:v>72.027334768988609</c:v>
                </c:pt>
                <c:pt idx="172">
                  <c:v>72.955821943660837</c:v>
                </c:pt>
                <c:pt idx="173">
                  <c:v>73.890799641043941</c:v>
                </c:pt>
                <c:pt idx="174">
                  <c:v>74.832275379331207</c:v>
                </c:pt>
                <c:pt idx="175">
                  <c:v>75.780256642082065</c:v>
                </c:pt>
                <c:pt idx="176">
                  <c:v>76.734750878578737</c:v>
                </c:pt>
                <c:pt idx="177">
                  <c:v>77.695765504177587</c:v>
                </c:pt>
                <c:pt idx="178">
                  <c:v>78.663307900654885</c:v>
                </c:pt>
                <c:pt idx="179">
                  <c:v>79.637385416546834</c:v>
                </c:pt>
                <c:pt idx="180">
                  <c:v>80.618005367484656</c:v>
                </c:pt>
                <c:pt idx="181">
                  <c:v>81.605175036524074</c:v>
                </c:pt>
                <c:pt idx="182">
                  <c:v>82.598901674470085</c:v>
                </c:pt>
                <c:pt idx="183">
                  <c:v>83.599192500196395</c:v>
                </c:pt>
                <c:pt idx="184">
                  <c:v>84.606054700960129</c:v>
                </c:pt>
                <c:pt idx="185">
                  <c:v>85.619495432711659</c:v>
                </c:pt>
                <c:pt idx="186">
                  <c:v>86.639521820399793</c:v>
                </c:pt>
                <c:pt idx="187">
                  <c:v>87.666140958272379</c:v>
                </c:pt>
                <c:pt idx="188">
                  <c:v>88.699359910172333</c:v>
                </c:pt>
                <c:pt idx="189">
                  <c:v>89.739185709829187</c:v>
                </c:pt>
                <c:pt idx="190">
                  <c:v>90.7856253611466</c:v>
                </c:pt>
                <c:pt idx="191">
                  <c:v>91.838685838485247</c:v>
                </c:pt>
                <c:pt idx="192">
                  <c:v>92.898374086941828</c:v>
                </c:pt>
                <c:pt idx="193">
                  <c:v>93.964697022623881</c:v>
                </c:pt>
                <c:pt idx="194">
                  <c:v>95.037661532920595</c:v>
                </c:pt>
                <c:pt idx="195">
                  <c:v>96.117274476769822</c:v>
                </c:pt>
                <c:pt idx="196">
                  <c:v>97.203542684921075</c:v>
                </c:pt>
                <c:pt idx="197">
                  <c:v>98.296472960194876</c:v>
                </c:pt>
                <c:pt idx="198">
                  <c:v>99.396072077738381</c:v>
                </c:pt>
                <c:pt idx="199">
                  <c:v>100.50234678527744</c:v>
                </c:pt>
                <c:pt idx="200">
                  <c:v>101.61530380336504</c:v>
                </c:pt>
                <c:pt idx="201">
                  <c:v>102.7349498256262</c:v>
                </c:pt>
                <c:pt idx="202">
                  <c:v>103.86129151899965</c:v>
                </c:pt>
                <c:pt idx="203">
                  <c:v>104.99433552397589</c:v>
                </c:pt>
                <c:pt idx="204">
                  <c:v>106.13408845483228</c:v>
                </c:pt>
                <c:pt idx="205">
                  <c:v>107.28055689986448</c:v>
                </c:pt>
                <c:pt idx="206">
                  <c:v>108.43374742161518</c:v>
                </c:pt>
                <c:pt idx="207">
                  <c:v>109.59366655709943</c:v>
                </c:pt>
                <c:pt idx="208">
                  <c:v>110.76032081802694</c:v>
                </c:pt>
                <c:pt idx="209">
                  <c:v>111.93371669102146</c:v>
                </c:pt>
                <c:pt idx="210">
                  <c:v>113.11386063783721</c:v>
                </c:pt>
                <c:pt idx="211">
                  <c:v>114.30075909557232</c:v>
                </c:pt>
                <c:pt idx="212">
                  <c:v>115.49441847687966</c:v>
                </c:pt>
                <c:pt idx="213">
                  <c:v>116.69484517017443</c:v>
                </c:pt>
                <c:pt idx="214">
                  <c:v>117.90204553983966</c:v>
                </c:pt>
                <c:pt idx="215">
                  <c:v>119.11602592642848</c:v>
                </c:pt>
                <c:pt idx="216">
                  <c:v>120.33679264686394</c:v>
                </c:pt>
                <c:pt idx="217">
                  <c:v>121.56435199463638</c:v>
                </c:pt>
                <c:pt idx="218">
                  <c:v>122.79871023999789</c:v>
                </c:pt>
                <c:pt idx="219">
                  <c:v>124.03987363015464</c:v>
                </c:pt>
                <c:pt idx="220">
                  <c:v>125.28784838945658</c:v>
                </c:pt>
                <c:pt idx="221">
                  <c:v>126.54264071958471</c:v>
                </c:pt>
                <c:pt idx="222">
                  <c:v>127.80425679973592</c:v>
                </c:pt>
                <c:pt idx="223">
                  <c:v>129.07270278680573</c:v>
                </c:pt>
                <c:pt idx="224">
                  <c:v>130.34798481556851</c:v>
                </c:pt>
                <c:pt idx="225">
                  <c:v>131.63010899885549</c:v>
                </c:pt>
                <c:pt idx="226">
                  <c:v>132.91908142773048</c:v>
                </c:pt>
                <c:pt idx="227">
                  <c:v>134.21490817166372</c:v>
                </c:pt>
                <c:pt idx="228">
                  <c:v>135.51759527870325</c:v>
                </c:pt>
                <c:pt idx="229">
                  <c:v>136.8271487756441</c:v>
                </c:pt>
                <c:pt idx="230">
                  <c:v>138.14357466819601</c:v>
                </c:pt>
                <c:pt idx="231">
                  <c:v>139.46687894114831</c:v>
                </c:pt>
                <c:pt idx="232">
                  <c:v>140.79706755853334</c:v>
                </c:pt>
                <c:pt idx="233">
                  <c:v>142.13414646378769</c:v>
                </c:pt>
                <c:pt idx="234">
                  <c:v>143.47812157991166</c:v>
                </c:pt>
                <c:pt idx="235">
                  <c:v>144.82899880962651</c:v>
                </c:pt>
                <c:pt idx="236">
                  <c:v>146.18678403553008</c:v>
                </c:pt>
                <c:pt idx="237">
                  <c:v>147.55148312025051</c:v>
                </c:pt>
                <c:pt idx="238">
                  <c:v>148.92310190659822</c:v>
                </c:pt>
                <c:pt idx="239">
                  <c:v>150.30164621771581</c:v>
                </c:pt>
                <c:pt idx="240">
                  <c:v>151.6871218572266</c:v>
                </c:pt>
                <c:pt idx="241">
                  <c:v>153.07953460938103</c:v>
                </c:pt>
                <c:pt idx="242">
                  <c:v>154.47889023920172</c:v>
                </c:pt>
                <c:pt idx="243">
                  <c:v>155.88519449262665</c:v>
                </c:pt>
                <c:pt idx="244">
                  <c:v>157.29845309665066</c:v>
                </c:pt>
                <c:pt idx="245">
                  <c:v>158.71867175946545</c:v>
                </c:pt>
                <c:pt idx="246">
                  <c:v>160.14585617059794</c:v>
                </c:pt>
                <c:pt idx="247">
                  <c:v>161.5800120010469</c:v>
                </c:pt>
                <c:pt idx="248">
                  <c:v>163.02114490341836</c:v>
                </c:pt>
                <c:pt idx="249">
                  <c:v>164.46926051205912</c:v>
                </c:pt>
                <c:pt idx="250">
                  <c:v>165.92436444318906</c:v>
                </c:pt>
                <c:pt idx="251">
                  <c:v>167.38646229503166</c:v>
                </c:pt>
                <c:pt idx="252">
                  <c:v>168.85555964794338</c:v>
                </c:pt>
                <c:pt idx="253">
                  <c:v>170.33166206454135</c:v>
                </c:pt>
                <c:pt idx="254">
                  <c:v>171.81477508982994</c:v>
                </c:pt>
                <c:pt idx="255">
                  <c:v>172.91231999999999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4-4793-8236-299D9ADD5A90}"/>
            </c:ext>
          </c:extLst>
        </c:ser>
        <c:ser>
          <c:idx val="1"/>
          <c:order val="1"/>
          <c:tx>
            <c:strRef>
              <c:f>'Gamma 2.2  9300K'!$D$16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2.2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 9300K'!$D$17:$D$272</c:f>
              <c:numCache>
                <c:formatCode>0.00_ </c:formatCode>
                <c:ptCount val="256"/>
                <c:pt idx="0">
                  <c:v>5.1653253068494039E-5</c:v>
                </c:pt>
                <c:pt idx="1">
                  <c:v>1.6303558370190062E-3</c:v>
                </c:pt>
                <c:pt idx="2">
                  <c:v>5.881675363757337E-3</c:v>
                </c:pt>
                <c:pt idx="3">
                  <c:v>1.3156870310297924E-2</c:v>
                </c:pt>
                <c:pt idx="4">
                  <c:v>2.369020196888855E-2</c:v>
                </c:pt>
                <c:pt idx="5">
                  <c:v>3.7662439365836874E-2</c:v>
                </c:pt>
                <c:pt idx="6">
                  <c:v>5.5222534755353721E-2</c:v>
                </c:pt>
                <c:pt idx="7">
                  <c:v>7.6498043632625065E-2</c:v>
                </c:pt>
                <c:pt idx="8">
                  <c:v>0.10160102457415073</c:v>
                </c:pt>
                <c:pt idx="9">
                  <c:v>0.13063173420347435</c:v>
                </c:pt>
                <c:pt idx="10">
                  <c:v>0.16368110755419493</c:v>
                </c:pt>
                <c:pt idx="11">
                  <c:v>0.20083251018956058</c:v>
                </c:pt>
                <c:pt idx="12">
                  <c:v>0.24216302534924611</c:v>
                </c:pt>
                <c:pt idx="13">
                  <c:v>0.28774442939456002</c:v>
                </c:pt>
                <c:pt idx="14">
                  <c:v>0.33764394999857161</c:v>
                </c:pt>
                <c:pt idx="15">
                  <c:v>0.39192486800001525</c:v>
                </c:pt>
                <c:pt idx="16">
                  <c:v>0.45064700372028382</c:v>
                </c:pt>
                <c:pt idx="17">
                  <c:v>0.5138671159438486</c:v>
                </c:pt>
                <c:pt idx="18">
                  <c:v>0.581639233584751</c:v>
                </c:pt>
                <c:pt idx="19">
                  <c:v>0.65401493458864657</c:v>
                </c:pt>
                <c:pt idx="20">
                  <c:v>0.73104358285843751</c:v>
                </c:pt>
                <c:pt idx="21">
                  <c:v>0.81277253134578364</c:v>
                </c:pt>
                <c:pt idx="22">
                  <c:v>0.89924729755150334</c:v>
                </c:pt>
                <c:pt idx="23">
                  <c:v>0.99051171628933987</c:v>
                </c:pt>
                <c:pt idx="24">
                  <c:v>1.086608073535916</c:v>
                </c:pt>
                <c:pt idx="25">
                  <c:v>1.187577224411815</c:v>
                </c:pt>
                <c:pt idx="26">
                  <c:v>1.2934586977444451</c:v>
                </c:pt>
                <c:pt idx="27">
                  <c:v>1.4042907892037571</c:v>
                </c:pt>
                <c:pt idx="28">
                  <c:v>1.5201106446425776</c:v>
                </c:pt>
                <c:pt idx="29">
                  <c:v>1.6409543349895803</c:v>
                </c:pt>
                <c:pt idx="30">
                  <c:v>1.7668569238166554</c:v>
                </c:pt>
                <c:pt idx="31">
                  <c:v>1.8978525285206125</c:v>
                </c:pt>
                <c:pt idx="32">
                  <c:v>2.0339743759117388</c:v>
                </c:pt>
                <c:pt idx="33">
                  <c:v>2.1752548528813587</c:v>
                </c:pt>
                <c:pt idx="34">
                  <c:v>2.3217255527216651</c:v>
                </c:pt>
                <c:pt idx="35">
                  <c:v>2.4734173175891638</c:v>
                </c:pt>
                <c:pt idx="36">
                  <c:v>2.6303602775350177</c:v>
                </c:pt>
                <c:pt idx="37">
                  <c:v>2.7925838864684374</c:v>
                </c:pt>
                <c:pt idx="38">
                  <c:v>2.9601169553713742</c:v>
                </c:pt>
                <c:pt idx="39">
                  <c:v>3.132987683042046</c:v>
                </c:pt>
                <c:pt idx="40">
                  <c:v>3.3112236846104603</c:v>
                </c:pt>
                <c:pt idx="41">
                  <c:v>3.4948520180395093</c:v>
                </c:pt>
                <c:pt idx="42">
                  <c:v>3.6838992088001121</c:v>
                </c:pt>
                <c:pt idx="43">
                  <c:v>3.8783912728870082</c:v>
                </c:pt>
                <c:pt idx="44">
                  <c:v>4.0783537383231545</c:v>
                </c:pt>
                <c:pt idx="45">
                  <c:v>4.2838116652843272</c:v>
                </c:pt>
                <c:pt idx="46">
                  <c:v>4.4947896649614369</c:v>
                </c:pt>
                <c:pt idx="47">
                  <c:v>4.7113119172656228</c:v>
                </c:pt>
                <c:pt idx="48">
                  <c:v>4.9334021874704632</c:v>
                </c:pt>
                <c:pt idx="49">
                  <c:v>5.1610838418760707</c:v>
                </c:pt>
                <c:pt idx="50">
                  <c:v>5.3943798625715109</c:v>
                </c:pt>
                <c:pt idx="51">
                  <c:v>5.633312861364546</c:v>
                </c:pt>
                <c:pt idx="52">
                  <c:v>5.8779050929412131</c:v>
                </c:pt>
                <c:pt idx="53">
                  <c:v>6.1281784673119244</c:v>
                </c:pt>
                <c:pt idx="54">
                  <c:v>6.3841545615955626</c:v>
                </c:pt>
                <c:pt idx="55">
                  <c:v>6.6458546311884961</c:v>
                </c:pt>
                <c:pt idx="56">
                  <c:v>6.913299620361288</c:v>
                </c:pt>
                <c:pt idx="57">
                  <c:v>7.1865101723221825</c:v>
                </c:pt>
                <c:pt idx="58">
                  <c:v>7.4655066387831273</c:v>
                </c:pt>
                <c:pt idx="59">
                  <c:v>7.750309089061183</c:v>
                </c:pt>
                <c:pt idx="60">
                  <c:v>8.0409373187453337</c:v>
                </c:pt>
                <c:pt idx="61">
                  <c:v>8.3374108579564972</c:v>
                </c:pt>
                <c:pt idx="62">
                  <c:v>8.6397489792261446</c:v>
                </c:pt>
                <c:pt idx="63">
                  <c:v>8.9479707050170472</c:v>
                </c:pt>
                <c:pt idx="64">
                  <c:v>9.2620948149079627</c:v>
                </c:pt>
                <c:pt idx="65">
                  <c:v>9.5821398524621237</c:v>
                </c:pt>
                <c:pt idx="66">
                  <c:v>9.908124131798365</c:v>
                </c:pt>
                <c:pt idx="67">
                  <c:v>10.240065743881894</c:v>
                </c:pt>
                <c:pt idx="68">
                  <c:v>10.577982562550782</c:v>
                </c:pt>
                <c:pt idx="69">
                  <c:v>10.921892250293057</c:v>
                </c:pt>
                <c:pt idx="70">
                  <c:v>11.271812263788103</c:v>
                </c:pt>
                <c:pt idx="71">
                  <c:v>11.627759859225353</c:v>
                </c:pt>
                <c:pt idx="72">
                  <c:v>11.989752097412094</c:v>
                </c:pt>
                <c:pt idx="73">
                  <c:v>12.357805848681766</c:v>
                </c:pt>
                <c:pt idx="74">
                  <c:v>12.731937797613012</c:v>
                </c:pt>
                <c:pt idx="75">
                  <c:v>13.112164447569324</c:v>
                </c:pt>
                <c:pt idx="76">
                  <c:v>13.498502125068454</c:v>
                </c:pt>
                <c:pt idx="77">
                  <c:v>13.890966983990078</c:v>
                </c:pt>
                <c:pt idx="78">
                  <c:v>14.289575009629738</c:v>
                </c:pt>
                <c:pt idx="79">
                  <c:v>14.694342022606637</c:v>
                </c:pt>
                <c:pt idx="80">
                  <c:v>15.105283682632239</c:v>
                </c:pt>
                <c:pt idx="81">
                  <c:v>15.522415492146525</c:v>
                </c:pt>
                <c:pt idx="82">
                  <c:v>15.945752799827867</c:v>
                </c:pt>
                <c:pt idx="83">
                  <c:v>16.375310803982597</c:v>
                </c:pt>
                <c:pt idx="84">
                  <c:v>16.811104555819757</c:v>
                </c:pt>
                <c:pt idx="85">
                  <c:v>17.253148962616233</c:v>
                </c:pt>
                <c:pt idx="86">
                  <c:v>17.701458790777142</c:v>
                </c:pt>
                <c:pt idx="87">
                  <c:v>18.156048668796306</c:v>
                </c:pt>
                <c:pt idx="88">
                  <c:v>18.616933090120821</c:v>
                </c:pt>
                <c:pt idx="89">
                  <c:v>19.084126415924445</c:v>
                </c:pt>
                <c:pt idx="90">
                  <c:v>19.557642877793061</c:v>
                </c:pt>
                <c:pt idx="91">
                  <c:v>20.037496580326525</c:v>
                </c:pt>
                <c:pt idx="92">
                  <c:v>20.523701503660011</c:v>
                </c:pt>
                <c:pt idx="93">
                  <c:v>21.016271505908307</c:v>
                </c:pt>
                <c:pt idx="94">
                  <c:v>21.515220325536418</c:v>
                </c:pt>
                <c:pt idx="95">
                  <c:v>22.020561583659074</c:v>
                </c:pt>
                <c:pt idx="96">
                  <c:v>22.532308786272296</c:v>
                </c:pt>
                <c:pt idx="97">
                  <c:v>23.050475326419782</c:v>
                </c:pt>
                <c:pt idx="98">
                  <c:v>23.575074486296256</c:v>
                </c:pt>
                <c:pt idx="99">
                  <c:v>24.106119439290779</c:v>
                </c:pt>
                <c:pt idx="100">
                  <c:v>24.643623251971839</c:v>
                </c:pt>
                <c:pt idx="101">
                  <c:v>25.187598886016854</c:v>
                </c:pt>
                <c:pt idx="102">
                  <c:v>25.738059200087861</c:v>
                </c:pt>
                <c:pt idx="103">
                  <c:v>26.295016951655661</c:v>
                </c:pt>
                <c:pt idx="104">
                  <c:v>26.858484798774015</c:v>
                </c:pt>
                <c:pt idx="105">
                  <c:v>27.428475301806198</c:v>
                </c:pt>
                <c:pt idx="106">
                  <c:v>28.005000925105083</c:v>
                </c:pt>
                <c:pt idx="107">
                  <c:v>28.588074038648855</c:v>
                </c:pt>
                <c:pt idx="108">
                  <c:v>29.177706919633746</c:v>
                </c:pt>
                <c:pt idx="109">
                  <c:v>29.773911754025352</c:v>
                </c:pt>
                <c:pt idx="110">
                  <c:v>30.376700638069924</c:v>
                </c:pt>
                <c:pt idx="111">
                  <c:v>30.986085579767177</c:v>
                </c:pt>
                <c:pt idx="112">
                  <c:v>31.602078500305666</c:v>
                </c:pt>
                <c:pt idx="113">
                  <c:v>32.224691235462352</c:v>
                </c:pt>
                <c:pt idx="114">
                  <c:v>32.853935536967228</c:v>
                </c:pt>
                <c:pt idx="115">
                  <c:v>33.489823073834422</c:v>
                </c:pt>
                <c:pt idx="116">
                  <c:v>34.132365433660752</c:v>
                </c:pt>
                <c:pt idx="117">
                  <c:v>34.781574123892824</c:v>
                </c:pt>
                <c:pt idx="118">
                  <c:v>35.437460573063802</c:v>
                </c:pt>
                <c:pt idx="119">
                  <c:v>36.100036132000632</c:v>
                </c:pt>
                <c:pt idx="120">
                  <c:v>36.76931207500283</c:v>
                </c:pt>
                <c:pt idx="121">
                  <c:v>37.445299600993735</c:v>
                </c:pt>
                <c:pt idx="122">
                  <c:v>38.128009834644956</c:v>
                </c:pt>
                <c:pt idx="123">
                  <c:v>38.817453827475006</c:v>
                </c:pt>
                <c:pt idx="124">
                  <c:v>39.51364255892279</c:v>
                </c:pt>
                <c:pt idx="125">
                  <c:v>40.216586937396848</c:v>
                </c:pt>
                <c:pt idx="126">
                  <c:v>40.926297801301033</c:v>
                </c:pt>
                <c:pt idx="127">
                  <c:v>41.642785920037305</c:v>
                </c:pt>
                <c:pt idx="128">
                  <c:v>42.366061994986268</c:v>
                </c:pt>
                <c:pt idx="129">
                  <c:v>43.096136660466414</c:v>
                </c:pt>
                <c:pt idx="130">
                  <c:v>43.833020484672289</c:v>
                </c:pt>
                <c:pt idx="131">
                  <c:v>44.576723970592525</c:v>
                </c:pt>
                <c:pt idx="132">
                  <c:v>45.327257556908094</c:v>
                </c:pt>
                <c:pt idx="133">
                  <c:v>46.084631618871569</c:v>
                </c:pt>
                <c:pt idx="134">
                  <c:v>46.848856469167714</c:v>
                </c:pt>
                <c:pt idx="135">
                  <c:v>47.619942358756141</c:v>
                </c:pt>
                <c:pt idx="136">
                  <c:v>48.397899477696427</c:v>
                </c:pt>
                <c:pt idx="137">
                  <c:v>49.182737955956114</c:v>
                </c:pt>
                <c:pt idx="138">
                  <c:v>49.974467864202282</c:v>
                </c:pt>
                <c:pt idx="139">
                  <c:v>50.773099214576888</c:v>
                </c:pt>
                <c:pt idx="140">
                  <c:v>51.578641961456633</c:v>
                </c:pt>
                <c:pt idx="141">
                  <c:v>52.391106002197319</c:v>
                </c:pt>
                <c:pt idx="142">
                  <c:v>53.210501177863677</c:v>
                </c:pt>
                <c:pt idx="143">
                  <c:v>54.03683727394457</c:v>
                </c:pt>
                <c:pt idx="144">
                  <c:v>54.870124021054288</c:v>
                </c:pt>
                <c:pt idx="145">
                  <c:v>55.710371095620047</c:v>
                </c:pt>
                <c:pt idx="146">
                  <c:v>56.557588120556325</c:v>
                </c:pt>
                <c:pt idx="147">
                  <c:v>57.411784665926056</c:v>
                </c:pt>
                <c:pt idx="148">
                  <c:v>58.27297024958937</c:v>
                </c:pt>
                <c:pt idx="149">
                  <c:v>59.141154337840014</c:v>
                </c:pt>
                <c:pt idx="150">
                  <c:v>60.016346346029557</c:v>
                </c:pt>
                <c:pt idx="151">
                  <c:v>60.89855563918028</c:v>
                </c:pt>
                <c:pt idx="152">
                  <c:v>61.787791532586461</c:v>
                </c:pt>
                <c:pt idx="153">
                  <c:v>62.684063292404417</c:v>
                </c:pt>
                <c:pt idx="154">
                  <c:v>63.587380136232156</c:v>
                </c:pt>
                <c:pt idx="155">
                  <c:v>64.497751233677988</c:v>
                </c:pt>
                <c:pt idx="156">
                  <c:v>65.415185706919118</c:v>
                </c:pt>
                <c:pt idx="157">
                  <c:v>66.33969263125023</c:v>
                </c:pt>
                <c:pt idx="158">
                  <c:v>67.271281035621996</c:v>
                </c:pt>
                <c:pt idx="159">
                  <c:v>68.209959903170329</c:v>
                </c:pt>
                <c:pt idx="160">
                  <c:v>69.155738171736104</c:v>
                </c:pt>
                <c:pt idx="161">
                  <c:v>70.108624734375809</c:v>
                </c:pt>
                <c:pt idx="162">
                  <c:v>71.068628439863346</c:v>
                </c:pt>
                <c:pt idx="163">
                  <c:v>72.035758093182977</c:v>
                </c:pt>
                <c:pt idx="164">
                  <c:v>73.010022456014127</c:v>
                </c:pt>
                <c:pt idx="165">
                  <c:v>73.991430247207504</c:v>
                </c:pt>
                <c:pt idx="166">
                  <c:v>74.979990143253247</c:v>
                </c:pt>
                <c:pt idx="167">
                  <c:v>75.975710778741373</c:v>
                </c:pt>
                <c:pt idx="168">
                  <c:v>76.978600746814237</c:v>
                </c:pt>
                <c:pt idx="169">
                  <c:v>77.988668599611515</c:v>
                </c:pt>
                <c:pt idx="170">
                  <c:v>79.005922848707755</c:v>
                </c:pt>
                <c:pt idx="171">
                  <c:v>80.030371965542898</c:v>
                </c:pt>
                <c:pt idx="172">
                  <c:v>81.062024381845376</c:v>
                </c:pt>
                <c:pt idx="173">
                  <c:v>82.100888490048817</c:v>
                </c:pt>
                <c:pt idx="174">
                  <c:v>83.146972643701346</c:v>
                </c:pt>
                <c:pt idx="175">
                  <c:v>84.200285157868962</c:v>
                </c:pt>
                <c:pt idx="176">
                  <c:v>85.26083430953193</c:v>
                </c:pt>
                <c:pt idx="177">
                  <c:v>86.328628337975104</c:v>
                </c:pt>
                <c:pt idx="178">
                  <c:v>87.403675445172098</c:v>
                </c:pt>
                <c:pt idx="179">
                  <c:v>88.485983796163154</c:v>
                </c:pt>
                <c:pt idx="180">
                  <c:v>89.575561519427396</c:v>
                </c:pt>
                <c:pt idx="181">
                  <c:v>90.672416707248971</c:v>
                </c:pt>
                <c:pt idx="182">
                  <c:v>91.776557416077878</c:v>
                </c:pt>
                <c:pt idx="183">
                  <c:v>92.887991666884886</c:v>
                </c:pt>
                <c:pt idx="184">
                  <c:v>94.00672744551126</c:v>
                </c:pt>
                <c:pt idx="185">
                  <c:v>95.132772703012947</c:v>
                </c:pt>
                <c:pt idx="186">
                  <c:v>96.266135355999765</c:v>
                </c:pt>
                <c:pt idx="187">
                  <c:v>97.406823286969313</c:v>
                </c:pt>
                <c:pt idx="188">
                  <c:v>98.554844344635924</c:v>
                </c:pt>
                <c:pt idx="189">
                  <c:v>99.710206344254658</c:v>
                </c:pt>
                <c:pt idx="190">
                  <c:v>100.87291706794066</c:v>
                </c:pt>
                <c:pt idx="191">
                  <c:v>102.0429842649836</c:v>
                </c:pt>
                <c:pt idx="192">
                  <c:v>103.22041565215758</c:v>
                </c:pt>
                <c:pt idx="193">
                  <c:v>104.40521891402653</c:v>
                </c:pt>
                <c:pt idx="194">
                  <c:v>105.59740170324511</c:v>
                </c:pt>
                <c:pt idx="195">
                  <c:v>106.79697164085536</c:v>
                </c:pt>
                <c:pt idx="196">
                  <c:v>108.00393631657897</c:v>
                </c:pt>
                <c:pt idx="197">
                  <c:v>109.21830328910542</c:v>
                </c:pt>
                <c:pt idx="198">
                  <c:v>110.44008008637597</c:v>
                </c:pt>
                <c:pt idx="199">
                  <c:v>111.66927420586381</c:v>
                </c:pt>
                <c:pt idx="200">
                  <c:v>112.90589311485004</c:v>
                </c:pt>
                <c:pt idx="201">
                  <c:v>114.14994425069578</c:v>
                </c:pt>
                <c:pt idx="202">
                  <c:v>115.40143502111073</c:v>
                </c:pt>
                <c:pt idx="203">
                  <c:v>116.66037280441766</c:v>
                </c:pt>
                <c:pt idx="204">
                  <c:v>117.92676494981364</c:v>
                </c:pt>
                <c:pt idx="205">
                  <c:v>119.2006187776272</c:v>
                </c:pt>
                <c:pt idx="206">
                  <c:v>120.48194157957242</c:v>
                </c:pt>
                <c:pt idx="207">
                  <c:v>121.77074061899937</c:v>
                </c:pt>
                <c:pt idx="208">
                  <c:v>123.06702313114104</c:v>
                </c:pt>
                <c:pt idx="209">
                  <c:v>124.37079632335718</c:v>
                </c:pt>
                <c:pt idx="210">
                  <c:v>125.68206737537467</c:v>
                </c:pt>
                <c:pt idx="211">
                  <c:v>127.0008434395248</c:v>
                </c:pt>
                <c:pt idx="212">
                  <c:v>128.3271316409774</c:v>
                </c:pt>
                <c:pt idx="213">
                  <c:v>129.66093907797159</c:v>
                </c:pt>
                <c:pt idx="214">
                  <c:v>131.00227282204406</c:v>
                </c:pt>
                <c:pt idx="215">
                  <c:v>132.35113991825386</c:v>
                </c:pt>
                <c:pt idx="216">
                  <c:v>133.70754738540438</c:v>
                </c:pt>
                <c:pt idx="217">
                  <c:v>135.07150221626264</c:v>
                </c:pt>
                <c:pt idx="218">
                  <c:v>136.44301137777543</c:v>
                </c:pt>
                <c:pt idx="219">
                  <c:v>137.82208181128294</c:v>
                </c:pt>
                <c:pt idx="220">
                  <c:v>139.20872043272954</c:v>
                </c:pt>
                <c:pt idx="221">
                  <c:v>140.60293413287189</c:v>
                </c:pt>
                <c:pt idx="222">
                  <c:v>142.00472977748436</c:v>
                </c:pt>
                <c:pt idx="223">
                  <c:v>143.41411420756194</c:v>
                </c:pt>
                <c:pt idx="224">
                  <c:v>144.83109423952058</c:v>
                </c:pt>
                <c:pt idx="225">
                  <c:v>146.25567666539499</c:v>
                </c:pt>
                <c:pt idx="226">
                  <c:v>147.68786825303386</c:v>
                </c:pt>
                <c:pt idx="227">
                  <c:v>149.12767574629302</c:v>
                </c:pt>
                <c:pt idx="228">
                  <c:v>150.57510586522582</c:v>
                </c:pt>
                <c:pt idx="229">
                  <c:v>152.03016530627124</c:v>
                </c:pt>
                <c:pt idx="230">
                  <c:v>153.49286074244</c:v>
                </c:pt>
                <c:pt idx="231">
                  <c:v>154.96319882349812</c:v>
                </c:pt>
                <c:pt idx="232">
                  <c:v>156.44118617614816</c:v>
                </c:pt>
                <c:pt idx="233">
                  <c:v>157.92682940420855</c:v>
                </c:pt>
                <c:pt idx="234">
                  <c:v>159.42013508879074</c:v>
                </c:pt>
                <c:pt idx="235">
                  <c:v>160.9211097884739</c:v>
                </c:pt>
                <c:pt idx="236">
                  <c:v>162.42976003947786</c:v>
                </c:pt>
                <c:pt idx="237">
                  <c:v>163.94609235583388</c:v>
                </c:pt>
                <c:pt idx="238">
                  <c:v>165.47011322955356</c:v>
                </c:pt>
                <c:pt idx="239">
                  <c:v>167.00182913079536</c:v>
                </c:pt>
                <c:pt idx="240">
                  <c:v>168.54124650802956</c:v>
                </c:pt>
                <c:pt idx="241">
                  <c:v>170.08837178820113</c:v>
                </c:pt>
                <c:pt idx="242">
                  <c:v>171.6432113768908</c:v>
                </c:pt>
                <c:pt idx="243">
                  <c:v>173.20577165847405</c:v>
                </c:pt>
                <c:pt idx="244">
                  <c:v>174.77605899627852</c:v>
                </c:pt>
                <c:pt idx="245">
                  <c:v>176.35407973273939</c:v>
                </c:pt>
                <c:pt idx="246">
                  <c:v>177.93984018955325</c:v>
                </c:pt>
                <c:pt idx="247">
                  <c:v>179.53334666782987</c:v>
                </c:pt>
                <c:pt idx="248">
                  <c:v>181.13460544824264</c:v>
                </c:pt>
                <c:pt idx="249">
                  <c:v>182.74362279117682</c:v>
                </c:pt>
                <c:pt idx="250">
                  <c:v>184.36040493687673</c:v>
                </c:pt>
                <c:pt idx="251">
                  <c:v>185.98495810559072</c:v>
                </c:pt>
                <c:pt idx="252">
                  <c:v>187.61728849771487</c:v>
                </c:pt>
                <c:pt idx="253">
                  <c:v>189.25740229393483</c:v>
                </c:pt>
                <c:pt idx="254">
                  <c:v>190.90530565536659</c:v>
                </c:pt>
                <c:pt idx="255">
                  <c:v>192.12479999999999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E4-4793-8236-299D9ADD5A90}"/>
            </c:ext>
          </c:extLst>
        </c:ser>
        <c:ser>
          <c:idx val="2"/>
          <c:order val="2"/>
          <c:tx>
            <c:strRef>
              <c:f>'Gamma 2.2  9300K'!$E$16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2.2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 9300K'!$E$17:$E$272</c:f>
              <c:numCache>
                <c:formatCode>0.00_ </c:formatCode>
                <c:ptCount val="256"/>
                <c:pt idx="0">
                  <c:v>5.6818578375343445E-5</c:v>
                </c:pt>
                <c:pt idx="1">
                  <c:v>1.7933914207209068E-3</c:v>
                </c:pt>
                <c:pt idx="2">
                  <c:v>6.4698429001330705E-3</c:v>
                </c:pt>
                <c:pt idx="3">
                  <c:v>1.4472557341327717E-2</c:v>
                </c:pt>
                <c:pt idx="4">
                  <c:v>2.6059222165777406E-2</c:v>
                </c:pt>
                <c:pt idx="5">
                  <c:v>4.1428683302420562E-2</c:v>
                </c:pt>
                <c:pt idx="6">
                  <c:v>6.0744788230889094E-2</c:v>
                </c:pt>
                <c:pt idx="7">
                  <c:v>8.4147847995887565E-2</c:v>
                </c:pt>
                <c:pt idx="8">
                  <c:v>0.11176112703156579</c:v>
                </c:pt>
                <c:pt idx="9">
                  <c:v>0.14369490762382178</c:v>
                </c:pt>
                <c:pt idx="10">
                  <c:v>0.18004921830961443</c:v>
                </c:pt>
                <c:pt idx="11">
                  <c:v>0.22091576120851664</c:v>
                </c:pt>
                <c:pt idx="12">
                  <c:v>0.26637932788417074</c:v>
                </c:pt>
                <c:pt idx="13">
                  <c:v>0.31651887233401604</c:v>
                </c:pt>
                <c:pt idx="14">
                  <c:v>0.37140834499842879</c:v>
                </c:pt>
                <c:pt idx="15">
                  <c:v>0.43111735480001678</c:v>
                </c:pt>
                <c:pt idx="16">
                  <c:v>0.49571170409231219</c:v>
                </c:pt>
                <c:pt idx="17">
                  <c:v>0.5652538275382335</c:v>
                </c:pt>
                <c:pt idx="18">
                  <c:v>0.63980315694322609</c:v>
                </c:pt>
                <c:pt idx="19">
                  <c:v>0.71941642804751127</c:v>
                </c:pt>
                <c:pt idx="20">
                  <c:v>0.80414794114428123</c:v>
                </c:pt>
                <c:pt idx="21">
                  <c:v>0.89404978448036199</c:v>
                </c:pt>
                <c:pt idx="22">
                  <c:v>0.98917202730665366</c:v>
                </c:pt>
                <c:pt idx="23">
                  <c:v>1.0895628879182739</c:v>
                </c:pt>
                <c:pt idx="24">
                  <c:v>1.1952688808895076</c:v>
                </c:pt>
                <c:pt idx="25">
                  <c:v>1.3063349468529966</c:v>
                </c:pt>
                <c:pt idx="26">
                  <c:v>1.4228045675188896</c:v>
                </c:pt>
                <c:pt idx="27">
                  <c:v>1.5447198681241328</c:v>
                </c:pt>
                <c:pt idx="28">
                  <c:v>1.6721217091068354</c:v>
                </c:pt>
                <c:pt idx="29">
                  <c:v>1.8050497684885385</c:v>
                </c:pt>
                <c:pt idx="30">
                  <c:v>1.9435426161983209</c:v>
                </c:pt>
                <c:pt idx="31">
                  <c:v>2.0876377813726736</c:v>
                </c:pt>
                <c:pt idx="32">
                  <c:v>2.2373718135029126</c:v>
                </c:pt>
                <c:pt idx="33">
                  <c:v>2.3927803381694943</c:v>
                </c:pt>
                <c:pt idx="34">
                  <c:v>2.5538981079938319</c:v>
                </c:pt>
                <c:pt idx="35">
                  <c:v>2.7207590493480804</c:v>
                </c:pt>
                <c:pt idx="36">
                  <c:v>2.8933963052885194</c:v>
                </c:pt>
                <c:pt idx="37">
                  <c:v>3.071842275115281</c:v>
                </c:pt>
                <c:pt idx="38">
                  <c:v>3.2561286509085114</c:v>
                </c:pt>
                <c:pt idx="39">
                  <c:v>3.4462864513462508</c:v>
                </c:pt>
                <c:pt idx="40">
                  <c:v>3.6423460530715062</c:v>
                </c:pt>
                <c:pt idx="41">
                  <c:v>3.8443372198434602</c:v>
                </c:pt>
                <c:pt idx="42">
                  <c:v>4.0522891296801236</c:v>
                </c:pt>
                <c:pt idx="43">
                  <c:v>4.2662304001757088</c:v>
                </c:pt>
                <c:pt idx="44">
                  <c:v>4.4861891121554702</c:v>
                </c:pt>
                <c:pt idx="45">
                  <c:v>4.7121928318127599</c:v>
                </c:pt>
                <c:pt idx="46">
                  <c:v>4.9442686314575806</c:v>
                </c:pt>
                <c:pt idx="47">
                  <c:v>5.1824431089921852</c:v>
                </c:pt>
                <c:pt idx="48">
                  <c:v>5.4267424062175094</c:v>
                </c:pt>
                <c:pt idx="49">
                  <c:v>5.6771922260636778</c:v>
                </c:pt>
                <c:pt idx="50">
                  <c:v>5.9338178488286619</c:v>
                </c:pt>
                <c:pt idx="51">
                  <c:v>6.1966441475010008</c:v>
                </c:pt>
                <c:pt idx="52">
                  <c:v>6.4656956022353347</c:v>
                </c:pt>
                <c:pt idx="53">
                  <c:v>6.7409963140431168</c:v>
                </c:pt>
                <c:pt idx="54">
                  <c:v>7.0225700177551191</c:v>
                </c:pt>
                <c:pt idx="55">
                  <c:v>7.3104400943073458</c:v>
                </c:pt>
                <c:pt idx="56">
                  <c:v>7.6046295823974166</c:v>
                </c:pt>
                <c:pt idx="57">
                  <c:v>7.9051611895544003</c:v>
                </c:pt>
                <c:pt idx="58">
                  <c:v>8.2120573026614405</c:v>
                </c:pt>
                <c:pt idx="59">
                  <c:v>8.5253399979673006</c:v>
                </c:pt>
                <c:pt idx="60">
                  <c:v>8.8450310506198662</c:v>
                </c:pt>
                <c:pt idx="61">
                  <c:v>9.1711519437521467</c:v>
                </c:pt>
                <c:pt idx="62">
                  <c:v>9.5037238771487598</c:v>
                </c:pt>
                <c:pt idx="63">
                  <c:v>9.8427677755187517</c:v>
                </c:pt>
                <c:pt idx="64">
                  <c:v>10.188304296398758</c:v>
                </c:pt>
                <c:pt idx="65">
                  <c:v>10.540353837708336</c:v>
                </c:pt>
                <c:pt idx="66">
                  <c:v>10.898936544978202</c:v>
                </c:pt>
                <c:pt idx="67">
                  <c:v>11.264072318270085</c:v>
                </c:pt>
                <c:pt idx="68">
                  <c:v>11.635780818805859</c:v>
                </c:pt>
                <c:pt idx="69">
                  <c:v>12.014081475322364</c:v>
                </c:pt>
                <c:pt idx="70">
                  <c:v>12.398993490166914</c:v>
                </c:pt>
                <c:pt idx="71">
                  <c:v>12.790535845147888</c:v>
                </c:pt>
                <c:pt idx="72">
                  <c:v>13.188727307153304</c:v>
                </c:pt>
                <c:pt idx="73">
                  <c:v>13.593586433549943</c:v>
                </c:pt>
                <c:pt idx="74">
                  <c:v>14.005131577374314</c:v>
                </c:pt>
                <c:pt idx="75">
                  <c:v>14.423380892326257</c:v>
                </c:pt>
                <c:pt idx="76">
                  <c:v>14.848352337575299</c:v>
                </c:pt>
                <c:pt idx="77">
                  <c:v>15.280063682389086</c:v>
                </c:pt>
                <c:pt idx="78">
                  <c:v>15.718532510592713</c:v>
                </c:pt>
                <c:pt idx="79">
                  <c:v>16.163776224867302</c:v>
                </c:pt>
                <c:pt idx="80">
                  <c:v>16.615812050895464</c:v>
                </c:pt>
                <c:pt idx="81">
                  <c:v>17.074657041361178</c:v>
                </c:pt>
                <c:pt idx="82">
                  <c:v>17.540328079810653</c:v>
                </c:pt>
                <c:pt idx="83">
                  <c:v>18.012841884380855</c:v>
                </c:pt>
                <c:pt idx="84">
                  <c:v>18.492215011401733</c:v>
                </c:pt>
                <c:pt idx="85">
                  <c:v>18.978463858877856</c:v>
                </c:pt>
                <c:pt idx="86">
                  <c:v>19.471604669854855</c:v>
                </c:pt>
                <c:pt idx="87">
                  <c:v>19.971653535675937</c:v>
                </c:pt>
                <c:pt idx="88">
                  <c:v>20.478626399132903</c:v>
                </c:pt>
                <c:pt idx="89">
                  <c:v>20.99253905751689</c:v>
                </c:pt>
                <c:pt idx="90">
                  <c:v>21.513407165572367</c:v>
                </c:pt>
                <c:pt idx="91">
                  <c:v>22.041246238359179</c:v>
                </c:pt>
                <c:pt idx="92">
                  <c:v>22.576071654026013</c:v>
                </c:pt>
                <c:pt idx="93">
                  <c:v>23.117898656499136</c:v>
                </c:pt>
                <c:pt idx="94">
                  <c:v>23.666742358090062</c:v>
                </c:pt>
                <c:pt idx="95">
                  <c:v>24.22261774202498</c:v>
                </c:pt>
                <c:pt idx="96">
                  <c:v>24.785539664899524</c:v>
                </c:pt>
                <c:pt idx="97">
                  <c:v>25.355522859061761</c:v>
                </c:pt>
                <c:pt idx="98">
                  <c:v>25.932581934925881</c:v>
                </c:pt>
                <c:pt idx="99">
                  <c:v>26.516731383219856</c:v>
                </c:pt>
                <c:pt idx="100">
                  <c:v>27.107985577169025</c:v>
                </c:pt>
                <c:pt idx="101">
                  <c:v>27.70635877461854</c:v>
                </c:pt>
                <c:pt idx="102">
                  <c:v>28.311865120096648</c:v>
                </c:pt>
                <c:pt idx="103">
                  <c:v>28.924518646821227</c:v>
                </c:pt>
                <c:pt idx="104">
                  <c:v>29.544333278651415</c:v>
                </c:pt>
                <c:pt idx="105">
                  <c:v>30.171322831986817</c:v>
                </c:pt>
                <c:pt idx="106">
                  <c:v>30.80550101761559</c:v>
                </c:pt>
                <c:pt idx="107">
                  <c:v>31.446881442513742</c:v>
                </c:pt>
                <c:pt idx="108">
                  <c:v>32.095477611597119</c:v>
                </c:pt>
                <c:pt idx="109">
                  <c:v>32.751302929427887</c:v>
                </c:pt>
                <c:pt idx="110">
                  <c:v>33.414370701876919</c:v>
                </c:pt>
                <c:pt idx="111">
                  <c:v>34.084694137743895</c:v>
                </c:pt>
                <c:pt idx="112">
                  <c:v>34.762286350336232</c:v>
                </c:pt>
                <c:pt idx="113">
                  <c:v>35.447160359008585</c:v>
                </c:pt>
                <c:pt idx="114">
                  <c:v>36.139329090663949</c:v>
                </c:pt>
                <c:pt idx="115">
                  <c:v>36.838805381217867</c:v>
                </c:pt>
                <c:pt idx="116">
                  <c:v>37.545601977026827</c:v>
                </c:pt>
                <c:pt idx="117">
                  <c:v>38.259731536282104</c:v>
                </c:pt>
                <c:pt idx="118">
                  <c:v>38.981206630370181</c:v>
                </c:pt>
                <c:pt idx="119">
                  <c:v>39.710039745200696</c:v>
                </c:pt>
                <c:pt idx="120">
                  <c:v>40.446243282503112</c:v>
                </c:pt>
                <c:pt idx="121">
                  <c:v>41.189829561093106</c:v>
                </c:pt>
                <c:pt idx="122">
                  <c:v>41.940810818109455</c:v>
                </c:pt>
                <c:pt idx="123">
                  <c:v>42.69919921022251</c:v>
                </c:pt>
                <c:pt idx="124">
                  <c:v>43.465006814815069</c:v>
                </c:pt>
                <c:pt idx="125">
                  <c:v>44.238245631136536</c:v>
                </c:pt>
                <c:pt idx="126">
                  <c:v>45.018927581431136</c:v>
                </c:pt>
                <c:pt idx="127">
                  <c:v>45.807064512041038</c:v>
                </c:pt>
                <c:pt idx="128">
                  <c:v>46.602668194484892</c:v>
                </c:pt>
                <c:pt idx="129">
                  <c:v>47.405750326513058</c:v>
                </c:pt>
                <c:pt idx="130">
                  <c:v>48.216322533139518</c:v>
                </c:pt>
                <c:pt idx="131">
                  <c:v>49.03439636765178</c:v>
                </c:pt>
                <c:pt idx="132">
                  <c:v>49.859983312598906</c:v>
                </c:pt>
                <c:pt idx="133">
                  <c:v>50.693094780758727</c:v>
                </c:pt>
                <c:pt idx="134">
                  <c:v>51.533742116084483</c:v>
                </c:pt>
                <c:pt idx="135">
                  <c:v>52.381936594631753</c:v>
                </c:pt>
                <c:pt idx="136">
                  <c:v>53.237689425466073</c:v>
                </c:pt>
                <c:pt idx="137">
                  <c:v>54.101011751551724</c:v>
                </c:pt>
                <c:pt idx="138">
                  <c:v>54.971914650622509</c:v>
                </c:pt>
                <c:pt idx="139">
                  <c:v>55.850409136034578</c:v>
                </c:pt>
                <c:pt idx="140">
                  <c:v>56.736506157602292</c:v>
                </c:pt>
                <c:pt idx="141">
                  <c:v>57.63021660241705</c:v>
                </c:pt>
                <c:pt idx="142">
                  <c:v>58.531551295650047</c:v>
                </c:pt>
                <c:pt idx="143">
                  <c:v>59.440521001339029</c:v>
                </c:pt>
                <c:pt idx="144">
                  <c:v>60.357136423159716</c:v>
                </c:pt>
                <c:pt idx="145">
                  <c:v>61.281408205182053</c:v>
                </c:pt>
                <c:pt idx="146">
                  <c:v>62.213346932611955</c:v>
                </c:pt>
                <c:pt idx="147">
                  <c:v>63.152963132518664</c:v>
                </c:pt>
                <c:pt idx="148">
                  <c:v>64.100267274548315</c:v>
                </c:pt>
                <c:pt idx="149">
                  <c:v>65.055269771624012</c:v>
                </c:pt>
                <c:pt idx="150">
                  <c:v>66.017980980632515</c:v>
                </c:pt>
                <c:pt idx="151">
                  <c:v>66.988411203098309</c:v>
                </c:pt>
                <c:pt idx="152">
                  <c:v>67.966570685845113</c:v>
                </c:pt>
                <c:pt idx="153">
                  <c:v>68.952469621644866</c:v>
                </c:pt>
                <c:pt idx="154">
                  <c:v>69.946118149855366</c:v>
                </c:pt>
                <c:pt idx="155">
                  <c:v>70.947526357045788</c:v>
                </c:pt>
                <c:pt idx="156">
                  <c:v>71.956704277611024</c:v>
                </c:pt>
                <c:pt idx="157">
                  <c:v>72.973661894375255</c:v>
                </c:pt>
                <c:pt idx="158">
                  <c:v>73.99840913918419</c:v>
                </c:pt>
                <c:pt idx="159">
                  <c:v>75.030955893487359</c:v>
                </c:pt>
                <c:pt idx="160">
                  <c:v>76.071311988909713</c:v>
                </c:pt>
                <c:pt idx="161">
                  <c:v>77.119487207813393</c:v>
                </c:pt>
                <c:pt idx="162">
                  <c:v>78.175491283849681</c:v>
                </c:pt>
                <c:pt idx="163">
                  <c:v>79.239333902501272</c:v>
                </c:pt>
                <c:pt idx="164">
                  <c:v>80.311024701615537</c:v>
                </c:pt>
                <c:pt idx="165">
                  <c:v>81.390573271928247</c:v>
                </c:pt>
                <c:pt idx="166">
                  <c:v>82.477989157578577</c:v>
                </c:pt>
                <c:pt idx="167">
                  <c:v>83.573281856615509</c:v>
                </c:pt>
                <c:pt idx="168">
                  <c:v>84.676460821495667</c:v>
                </c:pt>
                <c:pt idx="169">
                  <c:v>85.787535459572666</c:v>
                </c:pt>
                <c:pt idx="170">
                  <c:v>86.906515133578523</c:v>
                </c:pt>
                <c:pt idx="171">
                  <c:v>88.033409162097186</c:v>
                </c:pt>
                <c:pt idx="172">
                  <c:v>89.168226820029915</c:v>
                </c:pt>
                <c:pt idx="173">
                  <c:v>90.310977339053693</c:v>
                </c:pt>
                <c:pt idx="174">
                  <c:v>91.461669908071485</c:v>
                </c:pt>
                <c:pt idx="175">
                  <c:v>92.620313673655858</c:v>
                </c:pt>
                <c:pt idx="176">
                  <c:v>93.786917740485123</c:v>
                </c:pt>
                <c:pt idx="177">
                  <c:v>94.961491171772622</c:v>
                </c:pt>
                <c:pt idx="178">
                  <c:v>96.144042989689311</c:v>
                </c:pt>
                <c:pt idx="179">
                  <c:v>97.334582175779474</c:v>
                </c:pt>
                <c:pt idx="180">
                  <c:v>98.533117671370135</c:v>
                </c:pt>
                <c:pt idx="181">
                  <c:v>99.739658377973868</c:v>
                </c:pt>
                <c:pt idx="182">
                  <c:v>100.95421315768567</c:v>
                </c:pt>
                <c:pt idx="183">
                  <c:v>102.17679083357338</c:v>
                </c:pt>
                <c:pt idx="184">
                  <c:v>103.40740019006239</c:v>
                </c:pt>
                <c:pt idx="185">
                  <c:v>104.64604997331423</c:v>
                </c:pt>
                <c:pt idx="186">
                  <c:v>105.89274889159974</c:v>
                </c:pt>
                <c:pt idx="187">
                  <c:v>107.14750561566625</c:v>
                </c:pt>
                <c:pt idx="188">
                  <c:v>108.41032877909952</c:v>
                </c:pt>
                <c:pt idx="189">
                  <c:v>109.68122697868013</c:v>
                </c:pt>
                <c:pt idx="190">
                  <c:v>110.96020877473472</c:v>
                </c:pt>
                <c:pt idx="191">
                  <c:v>112.24728269148196</c:v>
                </c:pt>
                <c:pt idx="192">
                  <c:v>113.54245721737334</c:v>
                </c:pt>
                <c:pt idx="193">
                  <c:v>114.84574080542919</c:v>
                </c:pt>
                <c:pt idx="194">
                  <c:v>116.15714187356963</c:v>
                </c:pt>
                <c:pt idx="195">
                  <c:v>117.4766688049409</c:v>
                </c:pt>
                <c:pt idx="196">
                  <c:v>118.80432994823687</c:v>
                </c:pt>
                <c:pt idx="197">
                  <c:v>120.14013361801597</c:v>
                </c:pt>
                <c:pt idx="198">
                  <c:v>121.48408809501356</c:v>
                </c:pt>
                <c:pt idx="199">
                  <c:v>122.83620162645019</c:v>
                </c:pt>
                <c:pt idx="200">
                  <c:v>124.19648242633505</c:v>
                </c:pt>
                <c:pt idx="201">
                  <c:v>125.56493867576536</c:v>
                </c:pt>
                <c:pt idx="202">
                  <c:v>126.94157852322181</c:v>
                </c:pt>
                <c:pt idx="203">
                  <c:v>128.32641008485942</c:v>
                </c:pt>
                <c:pt idx="204">
                  <c:v>129.719441444795</c:v>
                </c:pt>
                <c:pt idx="205">
                  <c:v>131.12068065538992</c:v>
                </c:pt>
                <c:pt idx="206">
                  <c:v>132.53013573752966</c:v>
                </c:pt>
                <c:pt idx="207">
                  <c:v>133.94781468089931</c:v>
                </c:pt>
                <c:pt idx="208">
                  <c:v>135.37372544425514</c:v>
                </c:pt>
                <c:pt idx="209">
                  <c:v>136.80787595569291</c:v>
                </c:pt>
                <c:pt idx="210">
                  <c:v>138.25027411291214</c:v>
                </c:pt>
                <c:pt idx="211">
                  <c:v>139.70092778347728</c:v>
                </c:pt>
                <c:pt idx="212">
                  <c:v>141.15984480507512</c:v>
                </c:pt>
                <c:pt idx="213">
                  <c:v>142.62703298576875</c:v>
                </c:pt>
                <c:pt idx="214">
                  <c:v>144.10250010424846</c:v>
                </c:pt>
                <c:pt idx="215">
                  <c:v>145.58625391007925</c:v>
                </c:pt>
                <c:pt idx="216">
                  <c:v>147.07830212394481</c:v>
                </c:pt>
                <c:pt idx="217">
                  <c:v>148.57865243788891</c:v>
                </c:pt>
                <c:pt idx="218">
                  <c:v>150.08731251555298</c:v>
                </c:pt>
                <c:pt idx="219">
                  <c:v>151.60428999241122</c:v>
                </c:pt>
                <c:pt idx="220">
                  <c:v>153.1295924760025</c:v>
                </c:pt>
                <c:pt idx="221">
                  <c:v>154.66322754615908</c:v>
                </c:pt>
                <c:pt idx="222">
                  <c:v>156.20520275523279</c:v>
                </c:pt>
                <c:pt idx="223">
                  <c:v>157.75552562831814</c:v>
                </c:pt>
                <c:pt idx="224">
                  <c:v>159.31420366347265</c:v>
                </c:pt>
                <c:pt idx="225">
                  <c:v>160.88124433193448</c:v>
                </c:pt>
                <c:pt idx="226">
                  <c:v>162.45665507833723</c:v>
                </c:pt>
                <c:pt idx="227">
                  <c:v>164.04044332092232</c:v>
                </c:pt>
                <c:pt idx="228">
                  <c:v>165.63261645174839</c:v>
                </c:pt>
                <c:pt idx="229">
                  <c:v>167.23318183689838</c:v>
                </c:pt>
                <c:pt idx="230">
                  <c:v>168.84214681668399</c:v>
                </c:pt>
                <c:pt idx="231">
                  <c:v>170.45951870584793</c:v>
                </c:pt>
                <c:pt idx="232">
                  <c:v>172.08530479376299</c:v>
                </c:pt>
                <c:pt idx="233">
                  <c:v>173.71951234462941</c:v>
                </c:pt>
                <c:pt idx="234">
                  <c:v>175.36214859766983</c:v>
                </c:pt>
                <c:pt idx="235">
                  <c:v>177.01322076732129</c:v>
                </c:pt>
                <c:pt idx="236">
                  <c:v>178.67273604342563</c:v>
                </c:pt>
                <c:pt idx="237">
                  <c:v>180.34070159141726</c:v>
                </c:pt>
                <c:pt idx="238">
                  <c:v>182.0171245525089</c:v>
                </c:pt>
                <c:pt idx="239">
                  <c:v>183.7020120438749</c:v>
                </c:pt>
                <c:pt idx="240">
                  <c:v>185.39537115883252</c:v>
                </c:pt>
                <c:pt idx="241">
                  <c:v>187.09720896702123</c:v>
                </c:pt>
                <c:pt idx="242">
                  <c:v>188.80753251457989</c:v>
                </c:pt>
                <c:pt idx="243">
                  <c:v>190.52634882432145</c:v>
                </c:pt>
                <c:pt idx="244">
                  <c:v>192.25366489590638</c:v>
                </c:pt>
                <c:pt idx="245">
                  <c:v>193.98948770601334</c:v>
                </c:pt>
                <c:pt idx="246">
                  <c:v>195.73382420850857</c:v>
                </c:pt>
                <c:pt idx="247">
                  <c:v>197.48668133461285</c:v>
                </c:pt>
                <c:pt idx="248">
                  <c:v>199.24806599306692</c:v>
                </c:pt>
                <c:pt idx="249">
                  <c:v>201.01798507029451</c:v>
                </c:pt>
                <c:pt idx="250">
                  <c:v>202.7964454305644</c:v>
                </c:pt>
                <c:pt idx="251">
                  <c:v>204.58345391614978</c:v>
                </c:pt>
                <c:pt idx="252">
                  <c:v>206.37901734748635</c:v>
                </c:pt>
                <c:pt idx="253">
                  <c:v>208.18314252332831</c:v>
                </c:pt>
                <c:pt idx="254">
                  <c:v>209.99583622090324</c:v>
                </c:pt>
                <c:pt idx="255">
                  <c:v>211.33727999999999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E4-4793-8236-299D9ADD5A90}"/>
            </c:ext>
          </c:extLst>
        </c:ser>
        <c:ser>
          <c:idx val="3"/>
          <c:order val="3"/>
          <c:tx>
            <c:strRef>
              <c:f>'Gamma 2.2  9300K'!$F$16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2.2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 9300K'!$F$17:$F$272</c:f>
              <c:numCache>
                <c:formatCode>General</c:formatCode>
                <c:ptCount val="256"/>
                <c:pt idx="0">
                  <c:v>0.26300000000000001</c:v>
                </c:pt>
                <c:pt idx="1">
                  <c:v>0.27210000000000001</c:v>
                </c:pt>
                <c:pt idx="2">
                  <c:v>0.27300000000000002</c:v>
                </c:pt>
                <c:pt idx="3">
                  <c:v>0.28510000000000002</c:v>
                </c:pt>
                <c:pt idx="4">
                  <c:v>0.28570000000000001</c:v>
                </c:pt>
                <c:pt idx="5">
                  <c:v>0.30170000000000002</c:v>
                </c:pt>
                <c:pt idx="6">
                  <c:v>0.31630000000000003</c:v>
                </c:pt>
                <c:pt idx="7">
                  <c:v>0.31630000000000003</c:v>
                </c:pt>
                <c:pt idx="8">
                  <c:v>0.33429999999999999</c:v>
                </c:pt>
                <c:pt idx="9">
                  <c:v>0.3609</c:v>
                </c:pt>
                <c:pt idx="10">
                  <c:v>0.36849999999999999</c:v>
                </c:pt>
                <c:pt idx="11">
                  <c:v>0.39340000000000003</c:v>
                </c:pt>
                <c:pt idx="12">
                  <c:v>0.42630000000000001</c:v>
                </c:pt>
                <c:pt idx="13">
                  <c:v>0.46179999999999999</c:v>
                </c:pt>
                <c:pt idx="14">
                  <c:v>0.47199999999999998</c:v>
                </c:pt>
                <c:pt idx="15">
                  <c:v>0.53039999999999998</c:v>
                </c:pt>
                <c:pt idx="16">
                  <c:v>0.58150000000000002</c:v>
                </c:pt>
                <c:pt idx="17">
                  <c:v>0.65369999999999995</c:v>
                </c:pt>
                <c:pt idx="18">
                  <c:v>0.6552</c:v>
                </c:pt>
                <c:pt idx="19">
                  <c:v>0.71709999999999996</c:v>
                </c:pt>
                <c:pt idx="20">
                  <c:v>0.81730000000000003</c:v>
                </c:pt>
                <c:pt idx="21">
                  <c:v>0.89039999999999997</c:v>
                </c:pt>
                <c:pt idx="22">
                  <c:v>0.97409999999999997</c:v>
                </c:pt>
                <c:pt idx="23">
                  <c:v>1.0610999999999999</c:v>
                </c:pt>
                <c:pt idx="24">
                  <c:v>1.1579999999999999</c:v>
                </c:pt>
                <c:pt idx="25">
                  <c:v>1.2355</c:v>
                </c:pt>
                <c:pt idx="26">
                  <c:v>1.3398000000000001</c:v>
                </c:pt>
                <c:pt idx="27">
                  <c:v>1.4081999999999999</c:v>
                </c:pt>
                <c:pt idx="28">
                  <c:v>1.5245</c:v>
                </c:pt>
                <c:pt idx="29">
                  <c:v>1.6073</c:v>
                </c:pt>
                <c:pt idx="30">
                  <c:v>1.7103999999999999</c:v>
                </c:pt>
                <c:pt idx="31">
                  <c:v>1.7986</c:v>
                </c:pt>
                <c:pt idx="32">
                  <c:v>1.9348000000000001</c:v>
                </c:pt>
                <c:pt idx="33">
                  <c:v>2.0131000000000001</c:v>
                </c:pt>
                <c:pt idx="34">
                  <c:v>2.1597</c:v>
                </c:pt>
                <c:pt idx="35">
                  <c:v>2.3407</c:v>
                </c:pt>
                <c:pt idx="36">
                  <c:v>2.4655</c:v>
                </c:pt>
                <c:pt idx="37">
                  <c:v>2.6187999999999998</c:v>
                </c:pt>
                <c:pt idx="38">
                  <c:v>2.6907000000000001</c:v>
                </c:pt>
                <c:pt idx="39">
                  <c:v>2.8662000000000001</c:v>
                </c:pt>
                <c:pt idx="40">
                  <c:v>3.0158999999999998</c:v>
                </c:pt>
                <c:pt idx="41">
                  <c:v>3.2092999999999998</c:v>
                </c:pt>
                <c:pt idx="42">
                  <c:v>3.3963999999999999</c:v>
                </c:pt>
                <c:pt idx="43">
                  <c:v>3.6977000000000002</c:v>
                </c:pt>
                <c:pt idx="44">
                  <c:v>3.9094000000000002</c:v>
                </c:pt>
                <c:pt idx="45">
                  <c:v>4.0761000000000003</c:v>
                </c:pt>
                <c:pt idx="46">
                  <c:v>4.2507999999999999</c:v>
                </c:pt>
                <c:pt idx="47">
                  <c:v>4.5194999999999999</c:v>
                </c:pt>
                <c:pt idx="48">
                  <c:v>4.7778</c:v>
                </c:pt>
                <c:pt idx="49">
                  <c:v>4.9852999999999996</c:v>
                </c:pt>
                <c:pt idx="50">
                  <c:v>5.1962000000000002</c:v>
                </c:pt>
                <c:pt idx="51">
                  <c:v>5.5456000000000003</c:v>
                </c:pt>
                <c:pt idx="52">
                  <c:v>5.9082999999999997</c:v>
                </c:pt>
                <c:pt idx="53">
                  <c:v>6.2027000000000001</c:v>
                </c:pt>
                <c:pt idx="54">
                  <c:v>6.5114999999999998</c:v>
                </c:pt>
                <c:pt idx="55">
                  <c:v>6.7521000000000004</c:v>
                </c:pt>
                <c:pt idx="56">
                  <c:v>7.0166000000000004</c:v>
                </c:pt>
                <c:pt idx="57">
                  <c:v>7.3381999999999996</c:v>
                </c:pt>
                <c:pt idx="58">
                  <c:v>7.6303000000000001</c:v>
                </c:pt>
                <c:pt idx="59">
                  <c:v>7.9454000000000002</c:v>
                </c:pt>
                <c:pt idx="60">
                  <c:v>8.2494999999999994</c:v>
                </c:pt>
                <c:pt idx="61">
                  <c:v>8.6231000000000009</c:v>
                </c:pt>
                <c:pt idx="62">
                  <c:v>8.9472000000000005</c:v>
                </c:pt>
                <c:pt idx="63">
                  <c:v>9.3269000000000002</c:v>
                </c:pt>
                <c:pt idx="64">
                  <c:v>9.6559000000000008</c:v>
                </c:pt>
                <c:pt idx="65">
                  <c:v>9.7293000000000003</c:v>
                </c:pt>
                <c:pt idx="66">
                  <c:v>10.053100000000001</c:v>
                </c:pt>
                <c:pt idx="67">
                  <c:v>10.444900000000001</c:v>
                </c:pt>
                <c:pt idx="68">
                  <c:v>10.728300000000001</c:v>
                </c:pt>
                <c:pt idx="69">
                  <c:v>11.192</c:v>
                </c:pt>
                <c:pt idx="70">
                  <c:v>11.511900000000001</c:v>
                </c:pt>
                <c:pt idx="71">
                  <c:v>11.994999999999999</c:v>
                </c:pt>
                <c:pt idx="72">
                  <c:v>12.3324</c:v>
                </c:pt>
                <c:pt idx="73">
                  <c:v>12.6891</c:v>
                </c:pt>
                <c:pt idx="74">
                  <c:v>12.777100000000001</c:v>
                </c:pt>
                <c:pt idx="75">
                  <c:v>13.1831</c:v>
                </c:pt>
                <c:pt idx="76">
                  <c:v>13.698399999999999</c:v>
                </c:pt>
                <c:pt idx="77">
                  <c:v>14.1014</c:v>
                </c:pt>
                <c:pt idx="78">
                  <c:v>14.464</c:v>
                </c:pt>
                <c:pt idx="79">
                  <c:v>14.9771</c:v>
                </c:pt>
                <c:pt idx="80">
                  <c:v>15.4451</c:v>
                </c:pt>
                <c:pt idx="81">
                  <c:v>15.4391</c:v>
                </c:pt>
                <c:pt idx="82">
                  <c:v>15.9856</c:v>
                </c:pt>
                <c:pt idx="83">
                  <c:v>16.313600000000001</c:v>
                </c:pt>
                <c:pt idx="84">
                  <c:v>16.895499999999998</c:v>
                </c:pt>
                <c:pt idx="85">
                  <c:v>17.344200000000001</c:v>
                </c:pt>
                <c:pt idx="86">
                  <c:v>17.375299999999999</c:v>
                </c:pt>
                <c:pt idx="87">
                  <c:v>17.883400000000002</c:v>
                </c:pt>
                <c:pt idx="88">
                  <c:v>18.358799999999999</c:v>
                </c:pt>
                <c:pt idx="89">
                  <c:v>18.983000000000001</c:v>
                </c:pt>
                <c:pt idx="90">
                  <c:v>19.441299999999998</c:v>
                </c:pt>
                <c:pt idx="91">
                  <c:v>19.927099999999999</c:v>
                </c:pt>
                <c:pt idx="92">
                  <c:v>20.0624</c:v>
                </c:pt>
                <c:pt idx="93">
                  <c:v>20.509799999999998</c:v>
                </c:pt>
                <c:pt idx="94">
                  <c:v>21.138200000000001</c:v>
                </c:pt>
                <c:pt idx="95">
                  <c:v>21.6265</c:v>
                </c:pt>
                <c:pt idx="96">
                  <c:v>21.9998</c:v>
                </c:pt>
                <c:pt idx="97">
                  <c:v>22.681000000000001</c:v>
                </c:pt>
                <c:pt idx="98">
                  <c:v>23.189299999999999</c:v>
                </c:pt>
                <c:pt idx="99">
                  <c:v>23.876300000000001</c:v>
                </c:pt>
                <c:pt idx="100">
                  <c:v>24.395900000000001</c:v>
                </c:pt>
                <c:pt idx="101">
                  <c:v>24.403300000000002</c:v>
                </c:pt>
                <c:pt idx="102">
                  <c:v>25.097200000000001</c:v>
                </c:pt>
                <c:pt idx="103">
                  <c:v>25.566700000000001</c:v>
                </c:pt>
                <c:pt idx="104">
                  <c:v>26.225899999999999</c:v>
                </c:pt>
                <c:pt idx="105">
                  <c:v>26.825299999999999</c:v>
                </c:pt>
                <c:pt idx="106">
                  <c:v>27.424299999999999</c:v>
                </c:pt>
                <c:pt idx="107">
                  <c:v>27.997599999999998</c:v>
                </c:pt>
                <c:pt idx="108">
                  <c:v>28.7546</c:v>
                </c:pt>
                <c:pt idx="109">
                  <c:v>29.301200000000001</c:v>
                </c:pt>
                <c:pt idx="110">
                  <c:v>30.1418</c:v>
                </c:pt>
                <c:pt idx="111">
                  <c:v>30.6584</c:v>
                </c:pt>
                <c:pt idx="112">
                  <c:v>31.239000000000001</c:v>
                </c:pt>
                <c:pt idx="113">
                  <c:v>31.879000000000001</c:v>
                </c:pt>
                <c:pt idx="114">
                  <c:v>32.6706</c:v>
                </c:pt>
                <c:pt idx="115">
                  <c:v>33.297800000000002</c:v>
                </c:pt>
                <c:pt idx="116">
                  <c:v>34.052100000000003</c:v>
                </c:pt>
                <c:pt idx="117">
                  <c:v>34.706699999999998</c:v>
                </c:pt>
                <c:pt idx="118">
                  <c:v>35.664700000000003</c:v>
                </c:pt>
                <c:pt idx="119">
                  <c:v>36.315600000000003</c:v>
                </c:pt>
                <c:pt idx="120">
                  <c:v>36.9251</c:v>
                </c:pt>
                <c:pt idx="121">
                  <c:v>37.892000000000003</c:v>
                </c:pt>
                <c:pt idx="122">
                  <c:v>38.532499999999999</c:v>
                </c:pt>
                <c:pt idx="123">
                  <c:v>39.360700000000001</c:v>
                </c:pt>
                <c:pt idx="124">
                  <c:v>40.024500000000003</c:v>
                </c:pt>
                <c:pt idx="125">
                  <c:v>40.915300000000002</c:v>
                </c:pt>
                <c:pt idx="126">
                  <c:v>41.587000000000003</c:v>
                </c:pt>
                <c:pt idx="127">
                  <c:v>42.298699999999997</c:v>
                </c:pt>
                <c:pt idx="128">
                  <c:v>43.260100000000001</c:v>
                </c:pt>
                <c:pt idx="129">
                  <c:v>44.0045</c:v>
                </c:pt>
                <c:pt idx="130">
                  <c:v>44.893799999999999</c:v>
                </c:pt>
                <c:pt idx="131">
                  <c:v>45.613300000000002</c:v>
                </c:pt>
                <c:pt idx="132">
                  <c:v>46.629300000000001</c:v>
                </c:pt>
                <c:pt idx="133">
                  <c:v>47.401600000000002</c:v>
                </c:pt>
                <c:pt idx="134">
                  <c:v>47.6997</c:v>
                </c:pt>
                <c:pt idx="135">
                  <c:v>48.457999999999998</c:v>
                </c:pt>
                <c:pt idx="136">
                  <c:v>49.4587</c:v>
                </c:pt>
                <c:pt idx="137">
                  <c:v>50.228499999999997</c:v>
                </c:pt>
                <c:pt idx="138">
                  <c:v>51.285200000000003</c:v>
                </c:pt>
                <c:pt idx="139">
                  <c:v>51.844700000000003</c:v>
                </c:pt>
                <c:pt idx="140">
                  <c:v>52.894399999999997</c:v>
                </c:pt>
                <c:pt idx="141">
                  <c:v>53.710799999999999</c:v>
                </c:pt>
                <c:pt idx="142">
                  <c:v>54.5929</c:v>
                </c:pt>
                <c:pt idx="143">
                  <c:v>55.020400000000002</c:v>
                </c:pt>
                <c:pt idx="144">
                  <c:v>55.587699999999998</c:v>
                </c:pt>
                <c:pt idx="145">
                  <c:v>56.707999999999998</c:v>
                </c:pt>
                <c:pt idx="146">
                  <c:v>57.567399999999999</c:v>
                </c:pt>
                <c:pt idx="147">
                  <c:v>58.426600000000001</c:v>
                </c:pt>
                <c:pt idx="148">
                  <c:v>59.517200000000003</c:v>
                </c:pt>
                <c:pt idx="149">
                  <c:v>59.483400000000003</c:v>
                </c:pt>
                <c:pt idx="150">
                  <c:v>60.612200000000001</c:v>
                </c:pt>
                <c:pt idx="151">
                  <c:v>61.476300000000002</c:v>
                </c:pt>
                <c:pt idx="152">
                  <c:v>62.4054</c:v>
                </c:pt>
                <c:pt idx="153">
                  <c:v>63.626899999999999</c:v>
                </c:pt>
                <c:pt idx="154">
                  <c:v>64.614199999999997</c:v>
                </c:pt>
                <c:pt idx="155">
                  <c:v>65.542100000000005</c:v>
                </c:pt>
                <c:pt idx="156">
                  <c:v>66.488799999999998</c:v>
                </c:pt>
                <c:pt idx="157">
                  <c:v>66.752799999999993</c:v>
                </c:pt>
                <c:pt idx="158">
                  <c:v>68.026799999999994</c:v>
                </c:pt>
                <c:pt idx="159">
                  <c:v>69.030699999999996</c:v>
                </c:pt>
                <c:pt idx="160">
                  <c:v>69.936499999999995</c:v>
                </c:pt>
                <c:pt idx="161">
                  <c:v>70.860100000000003</c:v>
                </c:pt>
                <c:pt idx="162">
                  <c:v>72.0715</c:v>
                </c:pt>
                <c:pt idx="163">
                  <c:v>73.014600000000002</c:v>
                </c:pt>
                <c:pt idx="164">
                  <c:v>73.378799999999998</c:v>
                </c:pt>
                <c:pt idx="165">
                  <c:v>74.480099999999993</c:v>
                </c:pt>
                <c:pt idx="166">
                  <c:v>75.484399999999994</c:v>
                </c:pt>
                <c:pt idx="167">
                  <c:v>76.547700000000006</c:v>
                </c:pt>
                <c:pt idx="168">
                  <c:v>77.567599999999999</c:v>
                </c:pt>
                <c:pt idx="169">
                  <c:v>78.909700000000001</c:v>
                </c:pt>
                <c:pt idx="170">
                  <c:v>79.865700000000004</c:v>
                </c:pt>
                <c:pt idx="171">
                  <c:v>79.848699999999994</c:v>
                </c:pt>
                <c:pt idx="172">
                  <c:v>81.173199999999994</c:v>
                </c:pt>
                <c:pt idx="173">
                  <c:v>82.173599999999993</c:v>
                </c:pt>
                <c:pt idx="174">
                  <c:v>83.600399999999993</c:v>
                </c:pt>
                <c:pt idx="175">
                  <c:v>84.421199999999999</c:v>
                </c:pt>
                <c:pt idx="176">
                  <c:v>85.811300000000003</c:v>
                </c:pt>
                <c:pt idx="177">
                  <c:v>86.168000000000006</c:v>
                </c:pt>
                <c:pt idx="178">
                  <c:v>87.249300000000005</c:v>
                </c:pt>
                <c:pt idx="179">
                  <c:v>88.295699999999997</c:v>
                </c:pt>
                <c:pt idx="180">
                  <c:v>89.355500000000006</c:v>
                </c:pt>
                <c:pt idx="181">
                  <c:v>90.743899999999996</c:v>
                </c:pt>
                <c:pt idx="182">
                  <c:v>91.778199999999998</c:v>
                </c:pt>
                <c:pt idx="183">
                  <c:v>93.006200000000007</c:v>
                </c:pt>
                <c:pt idx="184">
                  <c:v>94.240799999999993</c:v>
                </c:pt>
                <c:pt idx="185">
                  <c:v>94.724100000000007</c:v>
                </c:pt>
                <c:pt idx="186">
                  <c:v>96.188000000000002</c:v>
                </c:pt>
                <c:pt idx="187">
                  <c:v>97.366100000000003</c:v>
                </c:pt>
                <c:pt idx="188">
                  <c:v>98.463099999999997</c:v>
                </c:pt>
                <c:pt idx="189">
                  <c:v>99.540700000000001</c:v>
                </c:pt>
                <c:pt idx="190">
                  <c:v>100.9482</c:v>
                </c:pt>
                <c:pt idx="191">
                  <c:v>102.0735</c:v>
                </c:pt>
                <c:pt idx="192">
                  <c:v>103.3051</c:v>
                </c:pt>
                <c:pt idx="193">
                  <c:v>103.7029</c:v>
                </c:pt>
                <c:pt idx="194">
                  <c:v>104.75839999999999</c:v>
                </c:pt>
                <c:pt idx="195">
                  <c:v>106.0027</c:v>
                </c:pt>
                <c:pt idx="196">
                  <c:v>107.74420000000001</c:v>
                </c:pt>
                <c:pt idx="197">
                  <c:v>109.00060000000001</c:v>
                </c:pt>
                <c:pt idx="198">
                  <c:v>110.2852</c:v>
                </c:pt>
                <c:pt idx="199">
                  <c:v>111.4873</c:v>
                </c:pt>
                <c:pt idx="200">
                  <c:v>111.8124</c:v>
                </c:pt>
                <c:pt idx="201">
                  <c:v>113.3592</c:v>
                </c:pt>
                <c:pt idx="202">
                  <c:v>114.1579</c:v>
                </c:pt>
                <c:pt idx="203">
                  <c:v>115.89960000000001</c:v>
                </c:pt>
                <c:pt idx="204">
                  <c:v>117.1777</c:v>
                </c:pt>
                <c:pt idx="205">
                  <c:v>118.8506</c:v>
                </c:pt>
                <c:pt idx="206">
                  <c:v>119.6491</c:v>
                </c:pt>
                <c:pt idx="207">
                  <c:v>121.2722</c:v>
                </c:pt>
                <c:pt idx="208">
                  <c:v>121.7307</c:v>
                </c:pt>
                <c:pt idx="209">
                  <c:v>122.98099999999999</c:v>
                </c:pt>
                <c:pt idx="210">
                  <c:v>124.6489</c:v>
                </c:pt>
                <c:pt idx="211">
                  <c:v>125.4699</c:v>
                </c:pt>
                <c:pt idx="212">
                  <c:v>127.1618</c:v>
                </c:pt>
                <c:pt idx="213">
                  <c:v>128.4127</c:v>
                </c:pt>
                <c:pt idx="214">
                  <c:v>130.15350000000001</c:v>
                </c:pt>
                <c:pt idx="215">
                  <c:v>131.08000000000001</c:v>
                </c:pt>
                <c:pt idx="216">
                  <c:v>132.88290000000001</c:v>
                </c:pt>
                <c:pt idx="217">
                  <c:v>134.20949999999999</c:v>
                </c:pt>
                <c:pt idx="218">
                  <c:v>134.65270000000001</c:v>
                </c:pt>
                <c:pt idx="219">
                  <c:v>136.37190000000001</c:v>
                </c:pt>
                <c:pt idx="220">
                  <c:v>137.34460000000001</c:v>
                </c:pt>
                <c:pt idx="221">
                  <c:v>139.14609999999999</c:v>
                </c:pt>
                <c:pt idx="222">
                  <c:v>140.4633</c:v>
                </c:pt>
                <c:pt idx="223">
                  <c:v>142.20840000000001</c:v>
                </c:pt>
                <c:pt idx="224">
                  <c:v>143.2328</c:v>
                </c:pt>
                <c:pt idx="225">
                  <c:v>145.10910000000001</c:v>
                </c:pt>
                <c:pt idx="226">
                  <c:v>146.50059999999999</c:v>
                </c:pt>
                <c:pt idx="227">
                  <c:v>148.27549999999999</c:v>
                </c:pt>
                <c:pt idx="228">
                  <c:v>149.6071</c:v>
                </c:pt>
                <c:pt idx="229">
                  <c:v>150.08349999999999</c:v>
                </c:pt>
                <c:pt idx="230">
                  <c:v>151.5241</c:v>
                </c:pt>
                <c:pt idx="231">
                  <c:v>152.91829999999999</c:v>
                </c:pt>
                <c:pt idx="232">
                  <c:v>154.79249999999999</c:v>
                </c:pt>
                <c:pt idx="233">
                  <c:v>156.21180000000001</c:v>
                </c:pt>
                <c:pt idx="234">
                  <c:v>158.13140000000001</c:v>
                </c:pt>
                <c:pt idx="235">
                  <c:v>159.57660000000001</c:v>
                </c:pt>
                <c:pt idx="236">
                  <c:v>161.53960000000001</c:v>
                </c:pt>
                <c:pt idx="237">
                  <c:v>162.53059999999999</c:v>
                </c:pt>
                <c:pt idx="238">
                  <c:v>164.4787</c:v>
                </c:pt>
                <c:pt idx="239">
                  <c:v>165.9333</c:v>
                </c:pt>
                <c:pt idx="240">
                  <c:v>167.88550000000001</c:v>
                </c:pt>
                <c:pt idx="241">
                  <c:v>169.36869999999999</c:v>
                </c:pt>
                <c:pt idx="242">
                  <c:v>171.3433</c:v>
                </c:pt>
                <c:pt idx="243">
                  <c:v>172.74930000000001</c:v>
                </c:pt>
                <c:pt idx="244">
                  <c:v>174.62520000000001</c:v>
                </c:pt>
                <c:pt idx="245">
                  <c:v>176.1644</c:v>
                </c:pt>
                <c:pt idx="246">
                  <c:v>177.64580000000001</c:v>
                </c:pt>
                <c:pt idx="247">
                  <c:v>179.0864</c:v>
                </c:pt>
                <c:pt idx="248">
                  <c:v>181.08349999999999</c:v>
                </c:pt>
                <c:pt idx="249">
                  <c:v>182.6234</c:v>
                </c:pt>
                <c:pt idx="250">
                  <c:v>184.60550000000001</c:v>
                </c:pt>
                <c:pt idx="251">
                  <c:v>185.00880000000001</c:v>
                </c:pt>
                <c:pt idx="252">
                  <c:v>186.50380000000001</c:v>
                </c:pt>
                <c:pt idx="253">
                  <c:v>188.55699999999999</c:v>
                </c:pt>
                <c:pt idx="254">
                  <c:v>190.09610000000001</c:v>
                </c:pt>
                <c:pt idx="255">
                  <c:v>192.12479999999999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E4-4793-8236-299D9ADD5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549168"/>
        <c:axId val="1877552048"/>
      </c:lineChart>
      <c:catAx>
        <c:axId val="187754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7552048"/>
        <c:crosses val="autoZero"/>
        <c:auto val="1"/>
        <c:lblAlgn val="ctr"/>
        <c:lblOffset val="100"/>
        <c:noMultiLvlLbl val="0"/>
      </c:catAx>
      <c:valAx>
        <c:axId val="18775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754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Gamma2.6_9300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'Gamma 2.6  9300K'!$C$16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2.6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 9300K'!$C$17:$C$272</c:f>
              <c:numCache>
                <c:formatCode>0.00_ </c:formatCode>
                <c:ptCount val="256"/>
                <c:pt idx="0">
                  <c:v>2.3811415953505088E-6</c:v>
                </c:pt>
                <c:pt idx="1">
                  <c:v>1.6632448172758857E-4</c:v>
                </c:pt>
                <c:pt idx="2">
                  <c:v>7.719850306087048E-4</c:v>
                </c:pt>
                <c:pt idx="3">
                  <c:v>2.0135453212396987E-3</c:v>
                </c:pt>
                <c:pt idx="4">
                  <c:v>4.0501755317019199E-3</c:v>
                </c:pt>
                <c:pt idx="5">
                  <c:v>7.021773582105934E-3</c:v>
                </c:pt>
                <c:pt idx="6">
                  <c:v>1.1055342759220387E-2</c:v>
                </c:pt>
                <c:pt idx="7">
                  <c:v>1.6268409453737639E-2</c:v>
                </c:pt>
                <c:pt idx="8">
                  <c:v>2.2771124960996758E-2</c:v>
                </c:pt>
                <c:pt idx="9">
                  <c:v>3.0667673514631434E-2</c:v>
                </c:pt>
                <c:pt idx="10">
                  <c:v>4.0057273013295001E-2</c:v>
                </c:pt>
                <c:pt idx="11">
                  <c:v>5.1034917924300295E-2</c:v>
                </c:pt>
                <c:pt idx="12">
                  <c:v>6.3691949584615271E-2</c:v>
                </c:pt>
                <c:pt idx="13">
                  <c:v>7.811650581750175E-2</c:v>
                </c:pt>
                <c:pt idx="14">
                  <c:v>9.439388317878615E-2</c:v>
                </c:pt>
                <c:pt idx="15">
                  <c:v>0.11260683412094373</c:v>
                </c:pt>
                <c:pt idx="16">
                  <c:v>0.1328358145087023</c:v>
                </c:pt>
                <c:pt idx="17">
                  <c:v>0.1551591924865896</c:v>
                </c:pt>
                <c:pt idx="18">
                  <c:v>0.17965342673430956</c:v>
                </c:pt>
                <c:pt idx="19">
                  <c:v>0.20639322010611971</c:v>
                </c:pt>
                <c:pt idx="20">
                  <c:v>0.23545165321195768</c:v>
                </c:pt>
                <c:pt idx="21">
                  <c:v>0.26690030146154142</c:v>
                </c:pt>
                <c:pt idx="22">
                  <c:v>0.30080933833143847</c:v>
                </c:pt>
                <c:pt idx="23">
                  <c:v>0.33724762704649913</c:v>
                </c:pt>
                <c:pt idx="24">
                  <c:v>0.37628280243586043</c:v>
                </c:pt>
                <c:pt idx="25">
                  <c:v>0.4179813443922703</c:v>
                </c:pt>
                <c:pt idx="26">
                  <c:v>0.46240864410550797</c:v>
                </c:pt>
                <c:pt idx="27">
                  <c:v>0.50962906403765507</c:v>
                </c:pt>
                <c:pt idx="28">
                  <c:v>0.55970599244651087</c:v>
                </c:pt>
                <c:pt idx="29">
                  <c:v>0.61270189313389334</c:v>
                </c:pt>
                <c:pt idx="30">
                  <c:v>0.66867835099061756</c:v>
                </c:pt>
                <c:pt idx="31">
                  <c:v>0.72769611382433819</c:v>
                </c:pt>
                <c:pt idx="32">
                  <c:v>0.7898151308860365</c:v>
                </c:pt>
                <c:pt idx="33">
                  <c:v>0.85509458845264774</c:v>
                </c:pt>
                <c:pt idx="34">
                  <c:v>0.92359294277473813</c:v>
                </c:pt>
                <c:pt idx="35">
                  <c:v>0.9953679506574824</c:v>
                </c:pt>
                <c:pt idx="36">
                  <c:v>1.0704766979088061</c:v>
                </c:pt>
                <c:pt idx="37">
                  <c:v>1.1489756258595594</c:v>
                </c:pt>
                <c:pt idx="38">
                  <c:v>1.2309205561357546</c:v>
                </c:pt>
                <c:pt idx="39">
                  <c:v>1.3163667138417647</c:v>
                </c:pt>
                <c:pt idx="40">
                  <c:v>1.4053687492951417</c:v>
                </c:pt>
                <c:pt idx="41">
                  <c:v>1.4979807584380365</c:v>
                </c:pt>
                <c:pt idx="42">
                  <c:v>1.5942563020365395</c:v>
                </c:pt>
                <c:pt idx="43">
                  <c:v>1.6942484237675033</c:v>
                </c:pt>
                <c:pt idx="44">
                  <c:v>1.7980096672819967</c:v>
                </c:pt>
                <c:pt idx="45">
                  <c:v>1.9055920923255838</c:v>
                </c:pt>
                <c:pt idx="46">
                  <c:v>2.0170472899875755</c:v>
                </c:pt>
                <c:pt idx="47">
                  <c:v>2.1324263971445432</c:v>
                </c:pt>
                <c:pt idx="48">
                  <c:v>2.2517801101570445</c:v>
                </c:pt>
                <c:pt idx="49">
                  <c:v>2.3751586978731654</c:v>
                </c:pt>
                <c:pt idx="50">
                  <c:v>2.5026120139875268</c:v>
                </c:pt>
                <c:pt idx="51">
                  <c:v>2.6341895088001284</c:v>
                </c:pt>
                <c:pt idx="52">
                  <c:v>2.76994024041548</c:v>
                </c:pt>
                <c:pt idx="53">
                  <c:v>2.9099128854190486</c:v>
                </c:pt>
                <c:pt idx="54">
                  <c:v>3.0541557490649187</c:v>
                </c:pt>
                <c:pt idx="55">
                  <c:v>3.2027167750057881</c:v>
                </c:pt>
                <c:pt idx="56">
                  <c:v>3.3556435545938621</c:v>
                </c:pt>
                <c:pt idx="57">
                  <c:v>3.512983335779027</c:v>
                </c:pt>
                <c:pt idx="58">
                  <c:v>3.6747830316285066</c:v>
                </c:pt>
                <c:pt idx="59">
                  <c:v>3.841089228490473</c:v>
                </c:pt>
                <c:pt idx="60">
                  <c:v>4.0119481938222972</c:v>
                </c:pt>
                <c:pt idx="61">
                  <c:v>4.1874058837026542</c:v>
                </c:pt>
                <c:pt idx="62">
                  <c:v>4.3675079500452334</c:v>
                </c:pt>
                <c:pt idx="63">
                  <c:v>4.5522997475306255</c:v>
                </c:pt>
                <c:pt idx="64">
                  <c:v>4.7418263402717002</c:v>
                </c:pt>
                <c:pt idx="65">
                  <c:v>4.9361325082267635</c:v>
                </c:pt>
                <c:pt idx="66">
                  <c:v>5.135262753373822</c:v>
                </c:pt>
                <c:pt idx="67">
                  <c:v>5.3392613056583622</c:v>
                </c:pt>
                <c:pt idx="68">
                  <c:v>5.5481721287262431</c:v>
                </c:pt>
                <c:pt idx="69">
                  <c:v>5.762038925452492</c:v>
                </c:pt>
                <c:pt idx="70">
                  <c:v>5.9809051432762672</c:v>
                </c:pt>
                <c:pt idx="71">
                  <c:v>6.2048139793513091</c:v>
                </c:pt>
                <c:pt idx="72">
                  <c:v>6.4338083855209511</c:v>
                </c:pt>
                <c:pt idx="73">
                  <c:v>6.6679310731258985</c:v>
                </c:pt>
                <c:pt idx="74">
                  <c:v>6.9072245176527884</c:v>
                </c:pt>
                <c:pt idx="75">
                  <c:v>7.1517309632307038</c:v>
                </c:pt>
                <c:pt idx="76">
                  <c:v>7.4014924269828057</c:v>
                </c:pt>
                <c:pt idx="77">
                  <c:v>7.6565507032393807</c:v>
                </c:pt>
                <c:pt idx="78">
                  <c:v>7.9169473676187341</c:v>
                </c:pt>
                <c:pt idx="79">
                  <c:v>8.1827237809814637</c:v>
                </c:pt>
                <c:pt idx="80">
                  <c:v>8.453921093263812</c:v>
                </c:pt>
                <c:pt idx="81">
                  <c:v>8.730580247195153</c:v>
                </c:pt>
                <c:pt idx="82">
                  <c:v>9.0127419819045649</c:v>
                </c:pt>
                <c:pt idx="83">
                  <c:v>9.3004468364210986</c:v>
                </c:pt>
                <c:pt idx="84">
                  <c:v>9.5937351530721546</c:v>
                </c:pt>
                <c:pt idx="85">
                  <c:v>9.8926470807840445</c:v>
                </c:pt>
                <c:pt idx="86">
                  <c:v>10.197222578288837</c:v>
                </c:pt>
                <c:pt idx="87">
                  <c:v>10.507501417240967</c:v>
                </c:pt>
                <c:pt idx="88">
                  <c:v>10.82352318524744</c:v>
                </c:pt>
                <c:pt idx="89">
                  <c:v>11.145327288814794</c:v>
                </c:pt>
                <c:pt idx="90">
                  <c:v>11.472952956216059</c:v>
                </c:pt>
                <c:pt idx="91">
                  <c:v>11.806439240280842</c:v>
                </c:pt>
                <c:pt idx="92">
                  <c:v>12.145825021111294</c:v>
                </c:pt>
                <c:pt idx="93">
                  <c:v>12.491149008726863</c:v>
                </c:pt>
                <c:pt idx="94">
                  <c:v>12.84244974564028</c:v>
                </c:pt>
                <c:pt idx="95">
                  <c:v>13.19976560936748</c:v>
                </c:pt>
                <c:pt idx="96">
                  <c:v>13.563134814873653</c:v>
                </c:pt>
                <c:pt idx="97">
                  <c:v>13.932595416957795</c:v>
                </c:pt>
                <c:pt idx="98">
                  <c:v>14.308185312577953</c:v>
                </c:pt>
                <c:pt idx="99">
                  <c:v>14.689942243119164</c:v>
                </c:pt>
                <c:pt idx="100">
                  <c:v>15.077903796606067</c:v>
                </c:pt>
                <c:pt idx="101">
                  <c:v>15.47210740986217</c:v>
                </c:pt>
                <c:pt idx="102">
                  <c:v>15.87259037061747</c:v>
                </c:pt>
                <c:pt idx="103">
                  <c:v>16.279389819566241</c:v>
                </c:pt>
                <c:pt idx="104">
                  <c:v>16.692542752376561</c:v>
                </c:pt>
                <c:pt idx="105">
                  <c:v>17.112086021653269</c:v>
                </c:pt>
                <c:pt idx="106">
                  <c:v>17.538056338855739</c:v>
                </c:pt>
                <c:pt idx="107">
                  <c:v>17.970490276172111</c:v>
                </c:pt>
                <c:pt idx="108">
                  <c:v>18.40942426835112</c:v>
                </c:pt>
                <c:pt idx="109">
                  <c:v>18.854894614493073</c:v>
                </c:pt>
                <c:pt idx="110">
                  <c:v>19.306937479801249</c:v>
                </c:pt>
                <c:pt idx="111">
                  <c:v>19.765588897294784</c:v>
                </c:pt>
                <c:pt idx="112">
                  <c:v>20.230884769484334</c:v>
                </c:pt>
                <c:pt idx="113">
                  <c:v>20.702860870011726</c:v>
                </c:pt>
                <c:pt idx="114">
                  <c:v>21.181552845254608</c:v>
                </c:pt>
                <c:pt idx="115">
                  <c:v>21.666996215897022</c:v>
                </c:pt>
                <c:pt idx="116">
                  <c:v>22.159226378467178</c:v>
                </c:pt>
                <c:pt idx="117">
                  <c:v>22.658278606843179</c:v>
                </c:pt>
                <c:pt idx="118">
                  <c:v>23.16418805372777</c:v>
                </c:pt>
                <c:pt idx="119">
                  <c:v>23.676989752092844</c:v>
                </c:pt>
                <c:pt idx="120">
                  <c:v>24.196718616594826</c:v>
                </c:pt>
                <c:pt idx="121">
                  <c:v>24.723409444961433</c:v>
                </c:pt>
                <c:pt idx="122">
                  <c:v>25.257096919350982</c:v>
                </c:pt>
                <c:pt idx="123">
                  <c:v>25.79781560768469</c:v>
                </c:pt>
                <c:pt idx="124">
                  <c:v>26.345599964952982</c:v>
                </c:pt>
                <c:pt idx="125">
                  <c:v>26.90048433449622</c:v>
                </c:pt>
                <c:pt idx="126">
                  <c:v>27.462502949260973</c:v>
                </c:pt>
                <c:pt idx="127">
                  <c:v>28.031689933032027</c:v>
                </c:pt>
                <c:pt idx="128">
                  <c:v>28.608079301641155</c:v>
                </c:pt>
                <c:pt idx="129">
                  <c:v>29.191704964153018</c:v>
                </c:pt>
                <c:pt idx="130">
                  <c:v>29.78260072402901</c:v>
                </c:pt>
                <c:pt idx="131">
                  <c:v>30.38080028026944</c:v>
                </c:pt>
                <c:pt idx="132">
                  <c:v>30.986337228534744</c:v>
                </c:pt>
                <c:pt idx="133">
                  <c:v>31.599245062246183</c:v>
                </c:pt>
                <c:pt idx="134">
                  <c:v>32.219557173666658</c:v>
                </c:pt>
                <c:pt idx="135">
                  <c:v>32.84730685496195</c:v>
                </c:pt>
                <c:pt idx="136">
                  <c:v>33.482527299243259</c:v>
                </c:pt>
                <c:pt idx="137">
                  <c:v>34.125251601591003</c:v>
                </c:pt>
                <c:pt idx="138">
                  <c:v>34.775512760060764</c:v>
                </c:pt>
                <c:pt idx="139">
                  <c:v>35.433343676671619</c:v>
                </c:pt>
                <c:pt idx="140">
                  <c:v>36.098777158377331</c:v>
                </c:pt>
                <c:pt idx="141">
                  <c:v>36.771845918020908</c:v>
                </c:pt>
                <c:pt idx="142">
                  <c:v>37.452582575272672</c:v>
                </c:pt>
                <c:pt idx="143">
                  <c:v>38.141019657552555</c:v>
                </c:pt>
                <c:pt idx="144">
                  <c:v>38.837189600936888</c:v>
                </c:pt>
                <c:pt idx="145">
                  <c:v>39.541124751049836</c:v>
                </c:pt>
                <c:pt idx="146">
                  <c:v>40.252857363940201</c:v>
                </c:pt>
                <c:pt idx="147">
                  <c:v>40.972419606943667</c:v>
                </c:pt>
                <c:pt idx="148">
                  <c:v>41.699843559530919</c:v>
                </c:pt>
                <c:pt idx="149">
                  <c:v>42.435161214141957</c:v>
                </c:pt>
                <c:pt idx="150">
                  <c:v>43.178404477006978</c:v>
                </c:pt>
                <c:pt idx="151">
                  <c:v>43.929605168954005</c:v>
                </c:pt>
                <c:pt idx="152">
                  <c:v>44.688795026203564</c:v>
                </c:pt>
                <c:pt idx="153">
                  <c:v>45.456005701151078</c:v>
                </c:pt>
                <c:pt idx="154">
                  <c:v>46.231268763136455</c:v>
                </c:pt>
                <c:pt idx="155">
                  <c:v>47.01461569920211</c:v>
                </c:pt>
                <c:pt idx="156">
                  <c:v>47.806077914838902</c:v>
                </c:pt>
                <c:pt idx="157">
                  <c:v>48.605686734720656</c:v>
                </c:pt>
                <c:pt idx="158">
                  <c:v>49.413473403427489</c:v>
                </c:pt>
                <c:pt idx="159">
                  <c:v>50.229469086157899</c:v>
                </c:pt>
                <c:pt idx="160">
                  <c:v>51.053704869430334</c:v>
                </c:pt>
                <c:pt idx="161">
                  <c:v>51.886211761773964</c:v>
                </c:pt>
                <c:pt idx="162">
                  <c:v>52.727020694409362</c:v>
                </c:pt>
                <c:pt idx="163">
                  <c:v>53.576162521918747</c:v>
                </c:pt>
                <c:pt idx="164">
                  <c:v>54.433668022906659</c:v>
                </c:pt>
                <c:pt idx="165">
                  <c:v>55.299567900650665</c:v>
                </c:pt>
                <c:pt idx="166">
                  <c:v>56.173892783742801</c:v>
                </c:pt>
                <c:pt idx="167">
                  <c:v>57.056673226721415</c:v>
                </c:pt>
                <c:pt idx="168">
                  <c:v>57.947939710694229</c:v>
                </c:pt>
                <c:pt idx="169">
                  <c:v>58.847722643952309</c:v>
                </c:pt>
                <c:pt idx="170">
                  <c:v>59.756052362575169</c:v>
                </c:pt>
                <c:pt idx="171">
                  <c:v>60.672959131027511</c:v>
                </c:pt>
                <c:pt idx="172">
                  <c:v>61.598473142747473</c:v>
                </c:pt>
                <c:pt idx="173">
                  <c:v>62.532624520726657</c:v>
                </c:pt>
                <c:pt idx="174">
                  <c:v>63.475443318082029</c:v>
                </c:pt>
                <c:pt idx="175">
                  <c:v>64.426959518619924</c:v>
                </c:pt>
                <c:pt idx="176">
                  <c:v>65.387203037392425</c:v>
                </c:pt>
                <c:pt idx="177">
                  <c:v>66.356203721245961</c:v>
                </c:pt>
                <c:pt idx="178">
                  <c:v>67.333991349362478</c:v>
                </c:pt>
                <c:pt idx="179">
                  <c:v>68.320595633793346</c:v>
                </c:pt>
                <c:pt idx="180">
                  <c:v>69.316046219986063</c:v>
                </c:pt>
                <c:pt idx="181">
                  <c:v>70.320372687303831</c:v>
                </c:pt>
                <c:pt idx="182">
                  <c:v>71.333604549538478</c:v>
                </c:pt>
                <c:pt idx="183">
                  <c:v>72.35577125541613</c:v>
                </c:pt>
                <c:pt idx="184">
                  <c:v>73.386902189096759</c:v>
                </c:pt>
                <c:pt idx="185">
                  <c:v>74.427026670666891</c:v>
                </c:pt>
                <c:pt idx="186">
                  <c:v>75.476173956625871</c:v>
                </c:pt>
                <c:pt idx="187">
                  <c:v>76.534373240366065</c:v>
                </c:pt>
                <c:pt idx="188">
                  <c:v>77.60165365264659</c:v>
                </c:pt>
                <c:pt idx="189">
                  <c:v>78.678044262061263</c:v>
                </c:pt>
                <c:pt idx="190">
                  <c:v>79.763574075500301</c:v>
                </c:pt>
                <c:pt idx="191">
                  <c:v>80.858272038606515</c:v>
                </c:pt>
                <c:pt idx="192">
                  <c:v>81.962167036225424</c:v>
                </c:pt>
                <c:pt idx="193">
                  <c:v>83.075287892849971</c:v>
                </c:pt>
                <c:pt idx="194">
                  <c:v>84.197663373059456</c:v>
                </c:pt>
                <c:pt idx="195">
                  <c:v>85.329322181953273</c:v>
                </c:pt>
                <c:pt idx="196">
                  <c:v>86.470292965579162</c:v>
                </c:pt>
                <c:pt idx="197">
                  <c:v>87.620604311356175</c:v>
                </c:pt>
                <c:pt idx="198">
                  <c:v>88.780284748492505</c:v>
                </c:pt>
                <c:pt idx="199">
                  <c:v>89.949362748398286</c:v>
                </c:pt>
                <c:pt idx="200">
                  <c:v>91.127866725093412</c:v>
                </c:pt>
                <c:pt idx="201">
                  <c:v>92.315825035610331</c:v>
                </c:pt>
                <c:pt idx="202">
                  <c:v>93.513265980392006</c:v>
                </c:pt>
                <c:pt idx="203">
                  <c:v>94.720217803685387</c:v>
                </c:pt>
                <c:pt idx="204">
                  <c:v>95.936708693929887</c:v>
                </c:pt>
                <c:pt idx="205">
                  <c:v>97.162766784141638</c:v>
                </c:pt>
                <c:pt idx="206">
                  <c:v>98.398420152292687</c:v>
                </c:pt>
                <c:pt idx="207">
                  <c:v>99.643696821686433</c:v>
                </c:pt>
                <c:pt idx="208">
                  <c:v>100.89862476132824</c:v>
                </c:pt>
                <c:pt idx="209">
                  <c:v>102.1632318862919</c:v>
                </c:pt>
                <c:pt idx="210">
                  <c:v>103.43754605808178</c:v>
                </c:pt>
                <c:pt idx="211">
                  <c:v>104.72159508499111</c:v>
                </c:pt>
                <c:pt idx="212">
                  <c:v>106.01540672245581</c:v>
                </c:pt>
                <c:pt idx="213">
                  <c:v>107.31900867340455</c:v>
                </c:pt>
                <c:pt idx="214">
                  <c:v>108.63242858860471</c:v>
                </c:pt>
                <c:pt idx="215">
                  <c:v>109.95569406700461</c:v>
                </c:pt>
                <c:pt idx="216">
                  <c:v>111.2888326560718</c:v>
                </c:pt>
                <c:pt idx="217">
                  <c:v>112.63187185212756</c:v>
                </c:pt>
                <c:pt idx="218">
                  <c:v>113.98483910067769</c:v>
                </c:pt>
                <c:pt idx="219">
                  <c:v>115.3477617967398</c:v>
                </c:pt>
                <c:pt idx="220">
                  <c:v>116.72066728516688</c:v>
                </c:pt>
                <c:pt idx="221">
                  <c:v>118.10358286096728</c:v>
                </c:pt>
                <c:pt idx="222">
                  <c:v>119.49653576962119</c:v>
                </c:pt>
                <c:pt idx="223">
                  <c:v>120.89955320739399</c:v>
                </c:pt>
                <c:pt idx="224">
                  <c:v>122.31266232164589</c:v>
                </c:pt>
                <c:pt idx="225">
                  <c:v>123.7358902111383</c:v>
                </c:pt>
                <c:pt idx="226">
                  <c:v>125.16926392633711</c:v>
                </c:pt>
                <c:pt idx="227">
                  <c:v>126.61281046971239</c:v>
                </c:pt>
                <c:pt idx="228">
                  <c:v>128.06655679603537</c:v>
                </c:pt>
                <c:pt idx="229">
                  <c:v>129.53052981267203</c:v>
                </c:pt>
                <c:pt idx="230">
                  <c:v>131.00475637987336</c:v>
                </c:pt>
                <c:pt idx="231">
                  <c:v>132.48926331106307</c:v>
                </c:pt>
                <c:pt idx="232">
                  <c:v>133.9840773731222</c:v>
                </c:pt>
                <c:pt idx="233">
                  <c:v>135.48922528667035</c:v>
                </c:pt>
                <c:pt idx="234">
                  <c:v>137.00473372634454</c:v>
                </c:pt>
                <c:pt idx="235">
                  <c:v>138.53062932107491</c:v>
                </c:pt>
                <c:pt idx="236">
                  <c:v>140.06693865435764</c:v>
                </c:pt>
                <c:pt idx="237">
                  <c:v>141.61368826452519</c:v>
                </c:pt>
                <c:pt idx="238">
                  <c:v>143.17090464501356</c:v>
                </c:pt>
                <c:pt idx="239">
                  <c:v>144.73861424462729</c:v>
                </c:pt>
                <c:pt idx="240">
                  <c:v>146.31684346780122</c:v>
                </c:pt>
                <c:pt idx="241">
                  <c:v>147.90561867486011</c:v>
                </c:pt>
                <c:pt idx="242">
                  <c:v>149.50496618227541</c:v>
                </c:pt>
                <c:pt idx="243">
                  <c:v>151.11491226291957</c:v>
                </c:pt>
                <c:pt idx="244">
                  <c:v>152.7354831463177</c:v>
                </c:pt>
                <c:pt idx="245">
                  <c:v>154.36670501889716</c:v>
                </c:pt>
                <c:pt idx="246">
                  <c:v>156.00860402423388</c:v>
                </c:pt>
                <c:pt idx="247">
                  <c:v>157.66120626329732</c:v>
                </c:pt>
                <c:pt idx="248">
                  <c:v>159.32453779469219</c:v>
                </c:pt>
                <c:pt idx="249">
                  <c:v>160.99862463489831</c:v>
                </c:pt>
                <c:pt idx="250">
                  <c:v>162.68349275850784</c:v>
                </c:pt>
                <c:pt idx="251">
                  <c:v>164.37916809846053</c:v>
                </c:pt>
                <c:pt idx="252">
                  <c:v>166.08567654627643</c:v>
                </c:pt>
                <c:pt idx="253">
                  <c:v>167.80304395228671</c:v>
                </c:pt>
                <c:pt idx="254">
                  <c:v>169.53129612586176</c:v>
                </c:pt>
                <c:pt idx="255">
                  <c:v>170.84736000000001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7-4A25-BFB6-2D865083C502}"/>
            </c:ext>
          </c:extLst>
        </c:ser>
        <c:ser>
          <c:idx val="1"/>
          <c:order val="1"/>
          <c:tx>
            <c:strRef>
              <c:f>'Gamma 2.6  9300K'!$D$16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2.6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 9300K'!$D$17:$D$272</c:f>
              <c:numCache>
                <c:formatCode>0.00_ </c:formatCode>
                <c:ptCount val="256"/>
                <c:pt idx="0">
                  <c:v>2.6457128837227874E-6</c:v>
                </c:pt>
                <c:pt idx="1">
                  <c:v>1.8480497969732064E-4</c:v>
                </c:pt>
                <c:pt idx="2">
                  <c:v>8.5776114512078308E-4</c:v>
                </c:pt>
                <c:pt idx="3">
                  <c:v>2.237272579155221E-3</c:v>
                </c:pt>
                <c:pt idx="4">
                  <c:v>4.5001950352243558E-3</c:v>
                </c:pt>
                <c:pt idx="5">
                  <c:v>7.8019706467843709E-3</c:v>
                </c:pt>
                <c:pt idx="6">
                  <c:v>1.2283714176911542E-2</c:v>
                </c:pt>
                <c:pt idx="7">
                  <c:v>1.8076010504152931E-2</c:v>
                </c:pt>
                <c:pt idx="8">
                  <c:v>2.5301249956663063E-2</c:v>
                </c:pt>
                <c:pt idx="9">
                  <c:v>3.4075192794034925E-2</c:v>
                </c:pt>
                <c:pt idx="10">
                  <c:v>4.4508081125883336E-2</c:v>
                </c:pt>
                <c:pt idx="11">
                  <c:v>5.6705464360333663E-2</c:v>
                </c:pt>
                <c:pt idx="12">
                  <c:v>7.0768832871794751E-2</c:v>
                </c:pt>
                <c:pt idx="13">
                  <c:v>8.6796117575001941E-2</c:v>
                </c:pt>
                <c:pt idx="14">
                  <c:v>0.1048820924208735</c:v>
                </c:pt>
                <c:pt idx="15">
                  <c:v>0.12511870457882637</c:v>
                </c:pt>
                <c:pt idx="16">
                  <c:v>0.14759534945411368</c:v>
                </c:pt>
                <c:pt idx="17">
                  <c:v>0.17239910276287734</c:v>
                </c:pt>
                <c:pt idx="18">
                  <c:v>0.19961491859367728</c:v>
                </c:pt>
                <c:pt idx="19">
                  <c:v>0.22932580011791079</c:v>
                </c:pt>
                <c:pt idx="20">
                  <c:v>0.26161294801328633</c:v>
                </c:pt>
                <c:pt idx="21">
                  <c:v>0.29655589051282377</c:v>
                </c:pt>
                <c:pt idx="22">
                  <c:v>0.33423259814604273</c:v>
                </c:pt>
                <c:pt idx="23">
                  <c:v>0.37471958560722129</c:v>
                </c:pt>
                <c:pt idx="24">
                  <c:v>0.41809200270651159</c:v>
                </c:pt>
                <c:pt idx="25">
                  <c:v>0.46442371599141147</c:v>
                </c:pt>
                <c:pt idx="26">
                  <c:v>0.51378738233945331</c:v>
                </c:pt>
                <c:pt idx="27">
                  <c:v>0.56625451559739448</c:v>
                </c:pt>
                <c:pt idx="28">
                  <c:v>0.62189554716278983</c:v>
                </c:pt>
                <c:pt idx="29">
                  <c:v>0.68077988125988154</c:v>
                </c:pt>
                <c:pt idx="30">
                  <c:v>0.74297594554513069</c:v>
                </c:pt>
                <c:pt idx="31">
                  <c:v>0.80855123758259795</c:v>
                </c:pt>
                <c:pt idx="32">
                  <c:v>0.87757236765115165</c:v>
                </c:pt>
                <c:pt idx="33">
                  <c:v>0.95010509828071976</c:v>
                </c:pt>
                <c:pt idx="34">
                  <c:v>1.0262143808608202</c:v>
                </c:pt>
                <c:pt idx="35">
                  <c:v>1.1059643896194249</c:v>
                </c:pt>
                <c:pt idx="36">
                  <c:v>1.1894185532320067</c:v>
                </c:pt>
                <c:pt idx="37">
                  <c:v>1.2766395842883993</c:v>
                </c:pt>
                <c:pt idx="38">
                  <c:v>1.367689506817505</c:v>
                </c:pt>
                <c:pt idx="39">
                  <c:v>1.4626296820464053</c:v>
                </c:pt>
                <c:pt idx="40">
                  <c:v>1.5615208325501573</c:v>
                </c:pt>
                <c:pt idx="41">
                  <c:v>1.6644230649311518</c:v>
                </c:pt>
                <c:pt idx="42">
                  <c:v>1.7713958911517105</c:v>
                </c:pt>
                <c:pt idx="43">
                  <c:v>1.8824982486305593</c:v>
                </c:pt>
                <c:pt idx="44">
                  <c:v>1.9977885192022187</c:v>
                </c:pt>
                <c:pt idx="45">
                  <c:v>2.1173245470284265</c:v>
                </c:pt>
                <c:pt idx="46">
                  <c:v>2.2411636555417505</c:v>
                </c:pt>
                <c:pt idx="47">
                  <c:v>2.3693626634939369</c:v>
                </c:pt>
                <c:pt idx="48">
                  <c:v>2.5019779001744937</c:v>
                </c:pt>
                <c:pt idx="49">
                  <c:v>2.6390652198590727</c:v>
                </c:pt>
                <c:pt idx="50">
                  <c:v>2.7806800155416962</c:v>
                </c:pt>
                <c:pt idx="51">
                  <c:v>2.9268772320001424</c:v>
                </c:pt>
                <c:pt idx="52">
                  <c:v>3.0777113782394223</c:v>
                </c:pt>
                <c:pt idx="53">
                  <c:v>3.2332365393544982</c:v>
                </c:pt>
                <c:pt idx="54">
                  <c:v>3.3935063878499099</c:v>
                </c:pt>
                <c:pt idx="55">
                  <c:v>3.558574194450876</c:v>
                </c:pt>
                <c:pt idx="56">
                  <c:v>3.7284928384376244</c:v>
                </c:pt>
                <c:pt idx="57">
                  <c:v>3.9033148175322525</c:v>
                </c:pt>
                <c:pt idx="58">
                  <c:v>4.0830922573650072</c:v>
                </c:pt>
                <c:pt idx="59">
                  <c:v>4.2678769205449703</c:v>
                </c:pt>
                <c:pt idx="60">
                  <c:v>4.4577202153581075</c:v>
                </c:pt>
                <c:pt idx="61">
                  <c:v>4.6526732041140599</c:v>
                </c:pt>
                <c:pt idx="62">
                  <c:v>4.8527866111613704</c:v>
                </c:pt>
                <c:pt idx="63">
                  <c:v>5.0581108305895839</c:v>
                </c:pt>
                <c:pt idx="64">
                  <c:v>5.2686959336352226</c:v>
                </c:pt>
                <c:pt idx="65">
                  <c:v>5.4845916758075148</c:v>
                </c:pt>
                <c:pt idx="66">
                  <c:v>5.7058475037486911</c:v>
                </c:pt>
                <c:pt idx="67">
                  <c:v>5.9325125618426249</c:v>
                </c:pt>
                <c:pt idx="68">
                  <c:v>6.1646356985847151</c:v>
                </c:pt>
                <c:pt idx="69">
                  <c:v>6.4022654727249915</c:v>
                </c:pt>
                <c:pt idx="70">
                  <c:v>6.6454501591958524</c:v>
                </c:pt>
                <c:pt idx="71">
                  <c:v>6.894237754834788</c:v>
                </c:pt>
                <c:pt idx="72">
                  <c:v>7.1486759839121676</c:v>
                </c:pt>
                <c:pt idx="73">
                  <c:v>7.408812303473221</c:v>
                </c:pt>
                <c:pt idx="74">
                  <c:v>7.6746939085030981</c:v>
                </c:pt>
                <c:pt idx="75">
                  <c:v>7.9463677369230039</c:v>
                </c:pt>
                <c:pt idx="76">
                  <c:v>8.2238804744253393</c:v>
                </c:pt>
                <c:pt idx="77">
                  <c:v>8.5072785591548676</c:v>
                </c:pt>
                <c:pt idx="78">
                  <c:v>8.7966081862430379</c:v>
                </c:pt>
                <c:pt idx="79">
                  <c:v>9.0919153122016265</c:v>
                </c:pt>
                <c:pt idx="80">
                  <c:v>9.3932456591820142</c:v>
                </c:pt>
                <c:pt idx="81">
                  <c:v>9.7006447191057266</c:v>
                </c:pt>
                <c:pt idx="82">
                  <c:v>10.01415775767174</c:v>
                </c:pt>
                <c:pt idx="83">
                  <c:v>10.333829818245665</c:v>
                </c:pt>
                <c:pt idx="84">
                  <c:v>10.659705725635728</c:v>
                </c:pt>
                <c:pt idx="85">
                  <c:v>10.99183008976005</c:v>
                </c:pt>
                <c:pt idx="86">
                  <c:v>11.330247309209819</c:v>
                </c:pt>
                <c:pt idx="87">
                  <c:v>11.675001574712185</c:v>
                </c:pt>
                <c:pt idx="88">
                  <c:v>12.026136872497156</c:v>
                </c:pt>
                <c:pt idx="89">
                  <c:v>12.383696987571994</c:v>
                </c:pt>
                <c:pt idx="90">
                  <c:v>12.747725506906733</c:v>
                </c:pt>
                <c:pt idx="91">
                  <c:v>13.118265822534267</c:v>
                </c:pt>
                <c:pt idx="92">
                  <c:v>13.495361134568105</c:v>
                </c:pt>
                <c:pt idx="93">
                  <c:v>13.87905445414096</c:v>
                </c:pt>
                <c:pt idx="94">
                  <c:v>14.269388606266979</c:v>
                </c:pt>
                <c:pt idx="95">
                  <c:v>14.666406232630534</c:v>
                </c:pt>
                <c:pt idx="96">
                  <c:v>15.07014979430406</c:v>
                </c:pt>
                <c:pt idx="97">
                  <c:v>15.480661574397551</c:v>
                </c:pt>
                <c:pt idx="98">
                  <c:v>15.89798368064217</c:v>
                </c:pt>
                <c:pt idx="99">
                  <c:v>16.322158047910182</c:v>
                </c:pt>
                <c:pt idx="100">
                  <c:v>16.753226440673409</c:v>
                </c:pt>
                <c:pt idx="101">
                  <c:v>17.191230455402412</c:v>
                </c:pt>
                <c:pt idx="102">
                  <c:v>17.636211522908301</c:v>
                </c:pt>
                <c:pt idx="103">
                  <c:v>18.088210910629154</c:v>
                </c:pt>
                <c:pt idx="104">
                  <c:v>18.547269724862847</c:v>
                </c:pt>
                <c:pt idx="105">
                  <c:v>19.013428912948076</c:v>
                </c:pt>
                <c:pt idx="106">
                  <c:v>19.486729265395265</c:v>
                </c:pt>
                <c:pt idx="107">
                  <c:v>19.967211417969011</c:v>
                </c:pt>
                <c:pt idx="108">
                  <c:v>20.454915853723467</c:v>
                </c:pt>
                <c:pt idx="109">
                  <c:v>20.949882904992304</c:v>
                </c:pt>
                <c:pt idx="110">
                  <c:v>21.452152755334723</c:v>
                </c:pt>
                <c:pt idx="111">
                  <c:v>21.961765441438647</c:v>
                </c:pt>
                <c:pt idx="112">
                  <c:v>22.478760854982593</c:v>
                </c:pt>
                <c:pt idx="113">
                  <c:v>23.003178744457475</c:v>
                </c:pt>
                <c:pt idx="114">
                  <c:v>23.535058716949564</c:v>
                </c:pt>
                <c:pt idx="115">
                  <c:v>24.074440239885579</c:v>
                </c:pt>
                <c:pt idx="116">
                  <c:v>24.62136264274131</c:v>
                </c:pt>
                <c:pt idx="117">
                  <c:v>25.175865118714643</c:v>
                </c:pt>
                <c:pt idx="118">
                  <c:v>25.737986726364188</c:v>
                </c:pt>
                <c:pt idx="119">
                  <c:v>26.307766391214273</c:v>
                </c:pt>
                <c:pt idx="120">
                  <c:v>26.885242907327584</c:v>
                </c:pt>
                <c:pt idx="121">
                  <c:v>27.470454938846039</c:v>
                </c:pt>
                <c:pt idx="122">
                  <c:v>28.063441021501092</c:v>
                </c:pt>
                <c:pt idx="123">
                  <c:v>28.6642395640941</c:v>
                </c:pt>
                <c:pt idx="124">
                  <c:v>29.272888849947758</c:v>
                </c:pt>
                <c:pt idx="125">
                  <c:v>29.889427038329135</c:v>
                </c:pt>
                <c:pt idx="126">
                  <c:v>30.513892165845526</c:v>
                </c:pt>
                <c:pt idx="127">
                  <c:v>31.146322147813361</c:v>
                </c:pt>
                <c:pt idx="128">
                  <c:v>31.786754779601281</c:v>
                </c:pt>
                <c:pt idx="129">
                  <c:v>32.435227737947798</c:v>
                </c:pt>
                <c:pt idx="130">
                  <c:v>33.091778582254456</c:v>
                </c:pt>
                <c:pt idx="131">
                  <c:v>33.756444755854936</c:v>
                </c:pt>
                <c:pt idx="132">
                  <c:v>34.429263587260827</c:v>
                </c:pt>
                <c:pt idx="133">
                  <c:v>35.110272291384646</c:v>
                </c:pt>
                <c:pt idx="134">
                  <c:v>35.799507970740727</c:v>
                </c:pt>
                <c:pt idx="135">
                  <c:v>36.497007616624387</c:v>
                </c:pt>
                <c:pt idx="136">
                  <c:v>37.20280811027029</c:v>
                </c:pt>
                <c:pt idx="137">
                  <c:v>37.916946223990003</c:v>
                </c:pt>
                <c:pt idx="138">
                  <c:v>38.639458622289737</c:v>
                </c:pt>
                <c:pt idx="139">
                  <c:v>39.370381862968465</c:v>
                </c:pt>
                <c:pt idx="140">
                  <c:v>40.109752398197038</c:v>
                </c:pt>
                <c:pt idx="141">
                  <c:v>40.857606575578785</c:v>
                </c:pt>
                <c:pt idx="142">
                  <c:v>41.613980639191858</c:v>
                </c:pt>
                <c:pt idx="143">
                  <c:v>42.378910730613953</c:v>
                </c:pt>
                <c:pt idx="144">
                  <c:v>43.152432889929877</c:v>
                </c:pt>
                <c:pt idx="145">
                  <c:v>43.93458305672204</c:v>
                </c:pt>
                <c:pt idx="146">
                  <c:v>44.725397071044668</c:v>
                </c:pt>
                <c:pt idx="147">
                  <c:v>45.52491067438185</c:v>
                </c:pt>
                <c:pt idx="148">
                  <c:v>46.333159510589908</c:v>
                </c:pt>
                <c:pt idx="149">
                  <c:v>47.150179126824398</c:v>
                </c:pt>
                <c:pt idx="150">
                  <c:v>47.976004974452202</c:v>
                </c:pt>
                <c:pt idx="151">
                  <c:v>48.810672409948893</c:v>
                </c:pt>
                <c:pt idx="152">
                  <c:v>49.654216695781741</c:v>
                </c:pt>
                <c:pt idx="153">
                  <c:v>50.506673001278976</c:v>
                </c:pt>
                <c:pt idx="154">
                  <c:v>51.368076403484949</c:v>
                </c:pt>
                <c:pt idx="155">
                  <c:v>52.238461888002341</c:v>
                </c:pt>
                <c:pt idx="156">
                  <c:v>53.117864349821005</c:v>
                </c:pt>
                <c:pt idx="157">
                  <c:v>54.006318594134065</c:v>
                </c:pt>
                <c:pt idx="158">
                  <c:v>54.903859337141654</c:v>
                </c:pt>
                <c:pt idx="159">
                  <c:v>55.810521206842111</c:v>
                </c:pt>
                <c:pt idx="160">
                  <c:v>56.726338743811482</c:v>
                </c:pt>
                <c:pt idx="161">
                  <c:v>57.651346401971075</c:v>
                </c:pt>
                <c:pt idx="162">
                  <c:v>58.585578549343737</c:v>
                </c:pt>
                <c:pt idx="163">
                  <c:v>59.529069468798603</c:v>
                </c:pt>
                <c:pt idx="164">
                  <c:v>60.481853358785173</c:v>
                </c:pt>
                <c:pt idx="165">
                  <c:v>61.443964334056297</c:v>
                </c:pt>
                <c:pt idx="166">
                  <c:v>62.415436426380886</c:v>
                </c:pt>
                <c:pt idx="167">
                  <c:v>63.396303585246017</c:v>
                </c:pt>
                <c:pt idx="168">
                  <c:v>64.386599678549146</c:v>
                </c:pt>
                <c:pt idx="169">
                  <c:v>65.386358493280341</c:v>
                </c:pt>
                <c:pt idx="170">
                  <c:v>66.395613736194633</c:v>
                </c:pt>
                <c:pt idx="171">
                  <c:v>67.414399034475011</c:v>
                </c:pt>
                <c:pt idx="172">
                  <c:v>68.442747936386084</c:v>
                </c:pt>
                <c:pt idx="173">
                  <c:v>69.480693911918507</c:v>
                </c:pt>
                <c:pt idx="174">
                  <c:v>70.528270353424475</c:v>
                </c:pt>
                <c:pt idx="175">
                  <c:v>71.58551057624436</c:v>
                </c:pt>
                <c:pt idx="176">
                  <c:v>72.652447819324919</c:v>
                </c:pt>
                <c:pt idx="177">
                  <c:v>73.729115245828851</c:v>
                </c:pt>
                <c:pt idx="178">
                  <c:v>74.815545943736083</c:v>
                </c:pt>
                <c:pt idx="179">
                  <c:v>75.911772926437052</c:v>
                </c:pt>
                <c:pt idx="180">
                  <c:v>77.017829133317846</c:v>
                </c:pt>
                <c:pt idx="181">
                  <c:v>78.133747430337593</c:v>
                </c:pt>
                <c:pt idx="182">
                  <c:v>79.259560610598314</c:v>
                </c:pt>
                <c:pt idx="183">
                  <c:v>80.395301394906809</c:v>
                </c:pt>
                <c:pt idx="184">
                  <c:v>81.541002432329734</c:v>
                </c:pt>
                <c:pt idx="185">
                  <c:v>82.696696300740982</c:v>
                </c:pt>
                <c:pt idx="186">
                  <c:v>83.862415507362087</c:v>
                </c:pt>
                <c:pt idx="187">
                  <c:v>85.038192489295625</c:v>
                </c:pt>
                <c:pt idx="188">
                  <c:v>86.224059614051768</c:v>
                </c:pt>
                <c:pt idx="189">
                  <c:v>87.420049180068077</c:v>
                </c:pt>
                <c:pt idx="190">
                  <c:v>88.626193417222552</c:v>
                </c:pt>
                <c:pt idx="191">
                  <c:v>89.842524487340569</c:v>
                </c:pt>
                <c:pt idx="192">
                  <c:v>91.069074484694923</c:v>
                </c:pt>
                <c:pt idx="193">
                  <c:v>92.305875436499974</c:v>
                </c:pt>
                <c:pt idx="194">
                  <c:v>93.55295930339939</c:v>
                </c:pt>
                <c:pt idx="195">
                  <c:v>94.81035797994808</c:v>
                </c:pt>
                <c:pt idx="196">
                  <c:v>96.078103295087956</c:v>
                </c:pt>
                <c:pt idx="197">
                  <c:v>97.356227012617978</c:v>
                </c:pt>
                <c:pt idx="198">
                  <c:v>98.644760831658331</c:v>
                </c:pt>
                <c:pt idx="199">
                  <c:v>99.943736387109212</c:v>
                </c:pt>
                <c:pt idx="200">
                  <c:v>101.2531852501038</c:v>
                </c:pt>
                <c:pt idx="201">
                  <c:v>102.57313892845592</c:v>
                </c:pt>
                <c:pt idx="202">
                  <c:v>103.90362886710223</c:v>
                </c:pt>
                <c:pt idx="203">
                  <c:v>105.24468644853931</c:v>
                </c:pt>
                <c:pt idx="204">
                  <c:v>106.59634299325543</c:v>
                </c:pt>
                <c:pt idx="205">
                  <c:v>107.95862976015738</c:v>
                </c:pt>
                <c:pt idx="206">
                  <c:v>109.33157794699187</c:v>
                </c:pt>
                <c:pt idx="207">
                  <c:v>110.7152186907627</c:v>
                </c:pt>
                <c:pt idx="208">
                  <c:v>112.10958306814248</c:v>
                </c:pt>
                <c:pt idx="209">
                  <c:v>113.51470209587988</c:v>
                </c:pt>
                <c:pt idx="210">
                  <c:v>114.93060673120198</c:v>
                </c:pt>
                <c:pt idx="211">
                  <c:v>116.35732787221234</c:v>
                </c:pt>
                <c:pt idx="212">
                  <c:v>117.79489635828423</c:v>
                </c:pt>
                <c:pt idx="213">
                  <c:v>119.2433429704495</c:v>
                </c:pt>
                <c:pt idx="214">
                  <c:v>120.70269843178302</c:v>
                </c:pt>
                <c:pt idx="215">
                  <c:v>122.17299340778291</c:v>
                </c:pt>
                <c:pt idx="216">
                  <c:v>123.65425850674646</c:v>
                </c:pt>
                <c:pt idx="217">
                  <c:v>125.14652428014173</c:v>
                </c:pt>
                <c:pt idx="218">
                  <c:v>126.64982122297521</c:v>
                </c:pt>
                <c:pt idx="219">
                  <c:v>128.16417977415534</c:v>
                </c:pt>
                <c:pt idx="220">
                  <c:v>129.68963031685209</c:v>
                </c:pt>
                <c:pt idx="221">
                  <c:v>131.22620317885253</c:v>
                </c:pt>
                <c:pt idx="222">
                  <c:v>132.77392863291243</c:v>
                </c:pt>
                <c:pt idx="223">
                  <c:v>134.33283689710444</c:v>
                </c:pt>
                <c:pt idx="224">
                  <c:v>135.90295813516209</c:v>
                </c:pt>
                <c:pt idx="225">
                  <c:v>137.48432245682034</c:v>
                </c:pt>
                <c:pt idx="226">
                  <c:v>139.07695991815234</c:v>
                </c:pt>
                <c:pt idx="227">
                  <c:v>140.68090052190266</c:v>
                </c:pt>
                <c:pt idx="228">
                  <c:v>142.29617421781708</c:v>
                </c:pt>
                <c:pt idx="229">
                  <c:v>143.92281090296893</c:v>
                </c:pt>
                <c:pt idx="230">
                  <c:v>145.5608404220815</c:v>
                </c:pt>
                <c:pt idx="231">
                  <c:v>147.21029256784786</c:v>
                </c:pt>
                <c:pt idx="232">
                  <c:v>148.87119708124689</c:v>
                </c:pt>
                <c:pt idx="233">
                  <c:v>150.54358365185595</c:v>
                </c:pt>
                <c:pt idx="234">
                  <c:v>152.22748191816061</c:v>
                </c:pt>
                <c:pt idx="235">
                  <c:v>153.92292146786102</c:v>
                </c:pt>
                <c:pt idx="236">
                  <c:v>155.62993183817517</c:v>
                </c:pt>
                <c:pt idx="237">
                  <c:v>157.3485425161391</c:v>
                </c:pt>
                <c:pt idx="238">
                  <c:v>159.07878293890397</c:v>
                </c:pt>
                <c:pt idx="239">
                  <c:v>160.82068249403031</c:v>
                </c:pt>
                <c:pt idx="240">
                  <c:v>162.57427051977913</c:v>
                </c:pt>
                <c:pt idx="241">
                  <c:v>164.33957630540013</c:v>
                </c:pt>
                <c:pt idx="242">
                  <c:v>166.11662909141711</c:v>
                </c:pt>
                <c:pt idx="243">
                  <c:v>167.90545806991062</c:v>
                </c:pt>
                <c:pt idx="244">
                  <c:v>169.70609238479744</c:v>
                </c:pt>
                <c:pt idx="245">
                  <c:v>171.51856113210795</c:v>
                </c:pt>
                <c:pt idx="246">
                  <c:v>173.34289336025986</c:v>
                </c:pt>
                <c:pt idx="247">
                  <c:v>175.17911807033036</c:v>
                </c:pt>
                <c:pt idx="248">
                  <c:v>177.02726421632465</c:v>
                </c:pt>
                <c:pt idx="249">
                  <c:v>178.88736070544257</c:v>
                </c:pt>
                <c:pt idx="250">
                  <c:v>180.75943639834205</c:v>
                </c:pt>
                <c:pt idx="251">
                  <c:v>182.64352010940058</c:v>
                </c:pt>
                <c:pt idx="252">
                  <c:v>184.53964060697382</c:v>
                </c:pt>
                <c:pt idx="253">
                  <c:v>186.4478266136519</c:v>
                </c:pt>
                <c:pt idx="254">
                  <c:v>188.36810680651305</c:v>
                </c:pt>
                <c:pt idx="255">
                  <c:v>189.8304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57-4A25-BFB6-2D865083C502}"/>
            </c:ext>
          </c:extLst>
        </c:ser>
        <c:ser>
          <c:idx val="2"/>
          <c:order val="2"/>
          <c:tx>
            <c:strRef>
              <c:f>'Gamma 2.6  9300K'!$E$16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2.6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 9300K'!$E$17:$E$272</c:f>
              <c:numCache>
                <c:formatCode>0.00_ </c:formatCode>
                <c:ptCount val="256"/>
                <c:pt idx="0">
                  <c:v>2.910284172095066E-6</c:v>
                </c:pt>
                <c:pt idx="1">
                  <c:v>2.0328547766705271E-4</c:v>
                </c:pt>
                <c:pt idx="2">
                  <c:v>9.4353725963286137E-4</c:v>
                </c:pt>
                <c:pt idx="3">
                  <c:v>2.4609998370707432E-3</c:v>
                </c:pt>
                <c:pt idx="4">
                  <c:v>4.9502145387467916E-3</c:v>
                </c:pt>
                <c:pt idx="5">
                  <c:v>8.5821677114628087E-3</c:v>
                </c:pt>
                <c:pt idx="6">
                  <c:v>1.3512085594602697E-2</c:v>
                </c:pt>
                <c:pt idx="7">
                  <c:v>1.9883611554568224E-2</c:v>
                </c:pt>
                <c:pt idx="8">
                  <c:v>2.7831374952329367E-2</c:v>
                </c:pt>
                <c:pt idx="9">
                  <c:v>3.7482712073438416E-2</c:v>
                </c:pt>
                <c:pt idx="10">
                  <c:v>4.8958889238471671E-2</c:v>
                </c:pt>
                <c:pt idx="11">
                  <c:v>6.237601079636703E-2</c:v>
                </c:pt>
                <c:pt idx="12">
                  <c:v>7.7845716158974232E-2</c:v>
                </c:pt>
                <c:pt idx="13">
                  <c:v>9.5475729332502132E-2</c:v>
                </c:pt>
                <c:pt idx="14">
                  <c:v>0.11537030166296085</c:v>
                </c:pt>
                <c:pt idx="15">
                  <c:v>0.137630575036709</c:v>
                </c:pt>
                <c:pt idx="16">
                  <c:v>0.16235488439952506</c:v>
                </c:pt>
                <c:pt idx="17">
                  <c:v>0.18963901303916508</c:v>
                </c:pt>
                <c:pt idx="18">
                  <c:v>0.21957641045304499</c:v>
                </c:pt>
                <c:pt idx="19">
                  <c:v>0.25225838012970186</c:v>
                </c:pt>
                <c:pt idx="20">
                  <c:v>0.28777424281461494</c:v>
                </c:pt>
                <c:pt idx="21">
                  <c:v>0.32621147956410612</c:v>
                </c:pt>
                <c:pt idx="22">
                  <c:v>0.36765585796064698</c:v>
                </c:pt>
                <c:pt idx="23">
                  <c:v>0.41219154416794346</c:v>
                </c:pt>
                <c:pt idx="24">
                  <c:v>0.45990120297716275</c:v>
                </c:pt>
                <c:pt idx="25">
                  <c:v>0.51086608759055263</c:v>
                </c:pt>
                <c:pt idx="26">
                  <c:v>0.56516612057339866</c:v>
                </c:pt>
                <c:pt idx="27">
                  <c:v>0.6228799671571339</c:v>
                </c:pt>
                <c:pt idx="28">
                  <c:v>0.68408510187906879</c:v>
                </c:pt>
                <c:pt idx="29">
                  <c:v>0.74885786938586973</c:v>
                </c:pt>
                <c:pt idx="30">
                  <c:v>0.81727354009964381</c:v>
                </c:pt>
                <c:pt idx="31">
                  <c:v>0.88940636134085771</c:v>
                </c:pt>
                <c:pt idx="32">
                  <c:v>0.96532960441626681</c:v>
                </c:pt>
                <c:pt idx="33">
                  <c:v>1.0451156081087918</c:v>
                </c:pt>
                <c:pt idx="34">
                  <c:v>1.1288358189469021</c:v>
                </c:pt>
                <c:pt idx="35">
                  <c:v>1.2165608285813674</c:v>
                </c:pt>
                <c:pt idx="36">
                  <c:v>1.3083604085552074</c:v>
                </c:pt>
                <c:pt idx="37">
                  <c:v>1.4043035427172392</c:v>
                </c:pt>
                <c:pt idx="38">
                  <c:v>1.5044584574992554</c:v>
                </c:pt>
                <c:pt idx="39">
                  <c:v>1.6088926502510459</c:v>
                </c:pt>
                <c:pt idx="40">
                  <c:v>1.7176729158051729</c:v>
                </c:pt>
                <c:pt idx="41">
                  <c:v>1.8308653714242671</c:v>
                </c:pt>
                <c:pt idx="42">
                  <c:v>1.9485354802668815</c:v>
                </c:pt>
                <c:pt idx="43">
                  <c:v>2.0707480734936152</c:v>
                </c:pt>
                <c:pt idx="44">
                  <c:v>2.1975673711224406</c:v>
                </c:pt>
                <c:pt idx="45">
                  <c:v>2.3290570017312691</c:v>
                </c:pt>
                <c:pt idx="46">
                  <c:v>2.4652800210959254</c:v>
                </c:pt>
                <c:pt idx="47">
                  <c:v>2.6062989298433306</c:v>
                </c:pt>
                <c:pt idx="48">
                  <c:v>2.752175690191943</c:v>
                </c:pt>
                <c:pt idx="49">
                  <c:v>2.9029717418449801</c:v>
                </c:pt>
                <c:pt idx="50">
                  <c:v>3.0587480170958656</c:v>
                </c:pt>
                <c:pt idx="51">
                  <c:v>3.2195649552001564</c:v>
                </c:pt>
                <c:pt idx="52">
                  <c:v>3.3854825160633646</c:v>
                </c:pt>
                <c:pt idx="53">
                  <c:v>3.5565601932899478</c:v>
                </c:pt>
                <c:pt idx="54">
                  <c:v>3.732857026634901</c:v>
                </c:pt>
                <c:pt idx="55">
                  <c:v>3.9144316138959638</c:v>
                </c:pt>
                <c:pt idx="56">
                  <c:v>4.1013421222813866</c:v>
                </c:pt>
                <c:pt idx="57">
                  <c:v>4.293646299285478</c:v>
                </c:pt>
                <c:pt idx="58">
                  <c:v>4.4914014831015079</c:v>
                </c:pt>
                <c:pt idx="59">
                  <c:v>4.6946646125994675</c:v>
                </c:pt>
                <c:pt idx="60">
                  <c:v>4.9034922368939178</c:v>
                </c:pt>
                <c:pt idx="61">
                  <c:v>5.1179405245254657</c:v>
                </c:pt>
                <c:pt idx="62">
                  <c:v>5.3380652722775075</c:v>
                </c:pt>
                <c:pt idx="63">
                  <c:v>5.5639219136485423</c:v>
                </c:pt>
                <c:pt idx="64">
                  <c:v>5.7955655269987449</c:v>
                </c:pt>
                <c:pt idx="65">
                  <c:v>6.0330508433882661</c:v>
                </c:pt>
                <c:pt idx="66">
                  <c:v>6.2764322541235602</c:v>
                </c:pt>
                <c:pt idx="67">
                  <c:v>6.5257638180268875</c:v>
                </c:pt>
                <c:pt idx="68">
                  <c:v>6.781099268443187</c:v>
                </c:pt>
                <c:pt idx="69">
                  <c:v>7.042492019997491</c:v>
                </c:pt>
                <c:pt idx="70">
                  <c:v>7.3099951751154375</c:v>
                </c:pt>
                <c:pt idx="71">
                  <c:v>7.5836615303182668</c:v>
                </c:pt>
                <c:pt idx="72">
                  <c:v>7.8635435823033841</c:v>
                </c:pt>
                <c:pt idx="73">
                  <c:v>8.1496935338205425</c:v>
                </c:pt>
                <c:pt idx="74">
                  <c:v>8.4421632993534086</c:v>
                </c:pt>
                <c:pt idx="75">
                  <c:v>8.7410045106153049</c:v>
                </c:pt>
                <c:pt idx="76">
                  <c:v>9.0462685218678729</c:v>
                </c:pt>
                <c:pt idx="77">
                  <c:v>9.3580064150703546</c:v>
                </c:pt>
                <c:pt idx="78">
                  <c:v>9.6762690048673416</c:v>
                </c:pt>
                <c:pt idx="79">
                  <c:v>10.001106843421789</c:v>
                </c:pt>
                <c:pt idx="80">
                  <c:v>10.332570225100216</c:v>
                </c:pt>
                <c:pt idx="81">
                  <c:v>10.6707091910163</c:v>
                </c:pt>
                <c:pt idx="82">
                  <c:v>11.015573533438914</c:v>
                </c:pt>
                <c:pt idx="83">
                  <c:v>11.367212800070231</c:v>
                </c:pt>
                <c:pt idx="84">
                  <c:v>11.725676298199302</c:v>
                </c:pt>
                <c:pt idx="85">
                  <c:v>12.091013098736056</c:v>
                </c:pt>
                <c:pt idx="86">
                  <c:v>12.4632720401308</c:v>
                </c:pt>
                <c:pt idx="87">
                  <c:v>12.842501732183404</c:v>
                </c:pt>
                <c:pt idx="88">
                  <c:v>13.228750559746873</c:v>
                </c:pt>
                <c:pt idx="89">
                  <c:v>13.622066686329195</c:v>
                </c:pt>
                <c:pt idx="90">
                  <c:v>14.022498057597407</c:v>
                </c:pt>
                <c:pt idx="91">
                  <c:v>14.430092404787693</c:v>
                </c:pt>
                <c:pt idx="92">
                  <c:v>14.844897248024916</c:v>
                </c:pt>
                <c:pt idx="93">
                  <c:v>15.266959899555056</c:v>
                </c:pt>
                <c:pt idx="94">
                  <c:v>15.696327466893678</c:v>
                </c:pt>
                <c:pt idx="95">
                  <c:v>16.133046855893589</c:v>
                </c:pt>
                <c:pt idx="96">
                  <c:v>16.577164773734467</c:v>
                </c:pt>
                <c:pt idx="97">
                  <c:v>17.028727731837307</c:v>
                </c:pt>
                <c:pt idx="98">
                  <c:v>17.487782048706386</c:v>
                </c:pt>
                <c:pt idx="99">
                  <c:v>17.954373852701202</c:v>
                </c:pt>
                <c:pt idx="100">
                  <c:v>18.428549084740748</c:v>
                </c:pt>
                <c:pt idx="101">
                  <c:v>18.910353500942652</c:v>
                </c:pt>
                <c:pt idx="102">
                  <c:v>19.399832675199132</c:v>
                </c:pt>
                <c:pt idx="103">
                  <c:v>19.897032001692068</c:v>
                </c:pt>
                <c:pt idx="104">
                  <c:v>20.401996697349134</c:v>
                </c:pt>
                <c:pt idx="105">
                  <c:v>20.914771804242882</c:v>
                </c:pt>
                <c:pt idx="106">
                  <c:v>21.435402191934791</c:v>
                </c:pt>
                <c:pt idx="107">
                  <c:v>21.963932559765912</c:v>
                </c:pt>
                <c:pt idx="108">
                  <c:v>22.500407439095813</c:v>
                </c:pt>
                <c:pt idx="109">
                  <c:v>23.044871195491535</c:v>
                </c:pt>
                <c:pt idx="110">
                  <c:v>23.597368030868196</c:v>
                </c:pt>
                <c:pt idx="111">
                  <c:v>24.157941985582511</c:v>
                </c:pt>
                <c:pt idx="112">
                  <c:v>24.726636940480851</c:v>
                </c:pt>
                <c:pt idx="113">
                  <c:v>25.303496618903225</c:v>
                </c:pt>
                <c:pt idx="114">
                  <c:v>25.88856458864452</c:v>
                </c:pt>
                <c:pt idx="115">
                  <c:v>26.481884263874136</c:v>
                </c:pt>
                <c:pt idx="116">
                  <c:v>27.083498907015443</c:v>
                </c:pt>
                <c:pt idx="117">
                  <c:v>27.693451630586107</c:v>
                </c:pt>
                <c:pt idx="118">
                  <c:v>28.311785399000605</c:v>
                </c:pt>
                <c:pt idx="119">
                  <c:v>28.938543030335701</c:v>
                </c:pt>
                <c:pt idx="120">
                  <c:v>29.573767198060342</c:v>
                </c:pt>
                <c:pt idx="121">
                  <c:v>30.217500432730645</c:v>
                </c:pt>
                <c:pt idx="122">
                  <c:v>30.869785123651202</c:v>
                </c:pt>
                <c:pt idx="123">
                  <c:v>31.530663520503509</c:v>
                </c:pt>
                <c:pt idx="124">
                  <c:v>32.200177734942535</c:v>
                </c:pt>
                <c:pt idx="125">
                  <c:v>32.87836974216205</c:v>
                </c:pt>
                <c:pt idx="126">
                  <c:v>33.565281382430079</c:v>
                </c:pt>
                <c:pt idx="127">
                  <c:v>34.260954362594696</c:v>
                </c:pt>
                <c:pt idx="128">
                  <c:v>34.965430257561408</c:v>
                </c:pt>
                <c:pt idx="129">
                  <c:v>35.678750511742578</c:v>
                </c:pt>
                <c:pt idx="130">
                  <c:v>36.400956440479902</c:v>
                </c:pt>
                <c:pt idx="131">
                  <c:v>37.132089231440432</c:v>
                </c:pt>
                <c:pt idx="132">
                  <c:v>37.872189945986911</c:v>
                </c:pt>
                <c:pt idx="133">
                  <c:v>38.62129952052311</c:v>
                </c:pt>
                <c:pt idx="134">
                  <c:v>39.379458767814796</c:v>
                </c:pt>
                <c:pt idx="135">
                  <c:v>40.146708378286824</c:v>
                </c:pt>
                <c:pt idx="136">
                  <c:v>40.923088921297321</c:v>
                </c:pt>
                <c:pt idx="137">
                  <c:v>41.708640846389002</c:v>
                </c:pt>
                <c:pt idx="138">
                  <c:v>42.503404484518711</c:v>
                </c:pt>
                <c:pt idx="139">
                  <c:v>43.307420049265311</c:v>
                </c:pt>
                <c:pt idx="140">
                  <c:v>44.120727638016746</c:v>
                </c:pt>
                <c:pt idx="141">
                  <c:v>44.943367233136662</c:v>
                </c:pt>
                <c:pt idx="142">
                  <c:v>45.775378703111045</c:v>
                </c:pt>
                <c:pt idx="143">
                  <c:v>46.616801803675351</c:v>
                </c:pt>
                <c:pt idx="144">
                  <c:v>47.467676178922865</c:v>
                </c:pt>
                <c:pt idx="145">
                  <c:v>48.328041362394245</c:v>
                </c:pt>
                <c:pt idx="146">
                  <c:v>49.197936778149135</c:v>
                </c:pt>
                <c:pt idx="147">
                  <c:v>50.077401741820033</c:v>
                </c:pt>
                <c:pt idx="148">
                  <c:v>50.966475461648898</c:v>
                </c:pt>
                <c:pt idx="149">
                  <c:v>51.865197039506839</c:v>
                </c:pt>
                <c:pt idx="150">
                  <c:v>52.773605471897426</c:v>
                </c:pt>
                <c:pt idx="151">
                  <c:v>53.691739650943781</c:v>
                </c:pt>
                <c:pt idx="152">
                  <c:v>54.619638365359918</c:v>
                </c:pt>
                <c:pt idx="153">
                  <c:v>55.557340301406875</c:v>
                </c:pt>
                <c:pt idx="154">
                  <c:v>56.504884043833442</c:v>
                </c:pt>
                <c:pt idx="155">
                  <c:v>57.462308076802572</c:v>
                </c:pt>
                <c:pt idx="156">
                  <c:v>58.429650784803108</c:v>
                </c:pt>
                <c:pt idx="157">
                  <c:v>59.406950453547474</c:v>
                </c:pt>
                <c:pt idx="158">
                  <c:v>60.394245270855819</c:v>
                </c:pt>
                <c:pt idx="159">
                  <c:v>61.391573327526324</c:v>
                </c:pt>
                <c:pt idx="160">
                  <c:v>62.39897261819263</c:v>
                </c:pt>
                <c:pt idx="161">
                  <c:v>63.416481042168186</c:v>
                </c:pt>
                <c:pt idx="162">
                  <c:v>64.444136404278112</c:v>
                </c:pt>
                <c:pt idx="163">
                  <c:v>65.48197641567846</c:v>
                </c:pt>
                <c:pt idx="164">
                  <c:v>66.530038694663688</c:v>
                </c:pt>
                <c:pt idx="165">
                  <c:v>67.588360767461921</c:v>
                </c:pt>
                <c:pt idx="166">
                  <c:v>68.656980069018971</c:v>
                </c:pt>
                <c:pt idx="167">
                  <c:v>69.735933943770618</c:v>
                </c:pt>
                <c:pt idx="168">
                  <c:v>70.825259646404064</c:v>
                </c:pt>
                <c:pt idx="169">
                  <c:v>71.924994342608372</c:v>
                </c:pt>
                <c:pt idx="170">
                  <c:v>73.035175109814091</c:v>
                </c:pt>
                <c:pt idx="171">
                  <c:v>74.15583893792251</c:v>
                </c:pt>
                <c:pt idx="172">
                  <c:v>75.287022730024688</c:v>
                </c:pt>
                <c:pt idx="173">
                  <c:v>76.428763303110358</c:v>
                </c:pt>
                <c:pt idx="174">
                  <c:v>77.581097388766921</c:v>
                </c:pt>
                <c:pt idx="175">
                  <c:v>78.744061633868796</c:v>
                </c:pt>
                <c:pt idx="176">
                  <c:v>79.917692601257414</c:v>
                </c:pt>
                <c:pt idx="177">
                  <c:v>81.10202677041174</c:v>
                </c:pt>
                <c:pt idx="178">
                  <c:v>82.297100538109689</c:v>
                </c:pt>
                <c:pt idx="179">
                  <c:v>83.502950219080759</c:v>
                </c:pt>
                <c:pt idx="180">
                  <c:v>84.71961204664963</c:v>
                </c:pt>
                <c:pt idx="181">
                  <c:v>85.947122173371355</c:v>
                </c:pt>
                <c:pt idx="182">
                  <c:v>87.185516671658149</c:v>
                </c:pt>
                <c:pt idx="183">
                  <c:v>88.434831534397489</c:v>
                </c:pt>
                <c:pt idx="184">
                  <c:v>89.695102675562708</c:v>
                </c:pt>
                <c:pt idx="185">
                  <c:v>90.966365930815073</c:v>
                </c:pt>
                <c:pt idx="186">
                  <c:v>92.248657058098303</c:v>
                </c:pt>
                <c:pt idx="187">
                  <c:v>93.542011738225185</c:v>
                </c:pt>
                <c:pt idx="188">
                  <c:v>94.846465575456946</c:v>
                </c:pt>
                <c:pt idx="189">
                  <c:v>96.16205409807489</c:v>
                </c:pt>
                <c:pt idx="190">
                  <c:v>97.488812758944803</c:v>
                </c:pt>
                <c:pt idx="191">
                  <c:v>98.826776936074623</c:v>
                </c:pt>
                <c:pt idx="192">
                  <c:v>100.17598193316442</c:v>
                </c:pt>
                <c:pt idx="193">
                  <c:v>101.53646298014998</c:v>
                </c:pt>
                <c:pt idx="194">
                  <c:v>102.90825523373933</c:v>
                </c:pt>
                <c:pt idx="195">
                  <c:v>104.29139377794289</c:v>
                </c:pt>
                <c:pt idx="196">
                  <c:v>105.68591362459675</c:v>
                </c:pt>
                <c:pt idx="197">
                  <c:v>107.09184971387978</c:v>
                </c:pt>
                <c:pt idx="198">
                  <c:v>108.50923691482416</c:v>
                </c:pt>
                <c:pt idx="199">
                  <c:v>109.93811002582014</c:v>
                </c:pt>
                <c:pt idx="200">
                  <c:v>111.37850377511418</c:v>
                </c:pt>
                <c:pt idx="201">
                  <c:v>112.83045282130151</c:v>
                </c:pt>
                <c:pt idx="202">
                  <c:v>114.29399175381245</c:v>
                </c:pt>
                <c:pt idx="203">
                  <c:v>115.76915509339324</c:v>
                </c:pt>
                <c:pt idx="204">
                  <c:v>117.25597729258098</c:v>
                </c:pt>
                <c:pt idx="205">
                  <c:v>118.75449273617312</c:v>
                </c:pt>
                <c:pt idx="206">
                  <c:v>120.26473574169106</c:v>
                </c:pt>
                <c:pt idx="207">
                  <c:v>121.78674055983896</c:v>
                </c:pt>
                <c:pt idx="208">
                  <c:v>123.32054137495673</c:v>
                </c:pt>
                <c:pt idx="209">
                  <c:v>124.86617230546787</c:v>
                </c:pt>
                <c:pt idx="210">
                  <c:v>126.42366740432217</c:v>
                </c:pt>
                <c:pt idx="211">
                  <c:v>127.99306065943357</c:v>
                </c:pt>
                <c:pt idx="212">
                  <c:v>129.57438599411265</c:v>
                </c:pt>
                <c:pt idx="213">
                  <c:v>131.16767726749447</c:v>
                </c:pt>
                <c:pt idx="214">
                  <c:v>132.77296827496133</c:v>
                </c:pt>
                <c:pt idx="215">
                  <c:v>134.39029274856119</c:v>
                </c:pt>
                <c:pt idx="216">
                  <c:v>136.01968435742111</c:v>
                </c:pt>
                <c:pt idx="217">
                  <c:v>137.66117670815589</c:v>
                </c:pt>
                <c:pt idx="218">
                  <c:v>139.31480334527274</c:v>
                </c:pt>
                <c:pt idx="219">
                  <c:v>140.98059775157088</c:v>
                </c:pt>
                <c:pt idx="220">
                  <c:v>142.65859334853729</c:v>
                </c:pt>
                <c:pt idx="221">
                  <c:v>144.34882349673779</c:v>
                </c:pt>
                <c:pt idx="222">
                  <c:v>146.05132149620368</c:v>
                </c:pt>
                <c:pt idx="223">
                  <c:v>147.76612058681488</c:v>
                </c:pt>
                <c:pt idx="224">
                  <c:v>149.4932539486783</c:v>
                </c:pt>
                <c:pt idx="225">
                  <c:v>151.23275470250238</c:v>
                </c:pt>
                <c:pt idx="226">
                  <c:v>152.98465590996759</c:v>
                </c:pt>
                <c:pt idx="227">
                  <c:v>154.74899057409291</c:v>
                </c:pt>
                <c:pt idx="228">
                  <c:v>156.52579163959879</c:v>
                </c:pt>
                <c:pt idx="229">
                  <c:v>158.31509199326584</c:v>
                </c:pt>
                <c:pt idx="230">
                  <c:v>160.11692446428964</c:v>
                </c:pt>
                <c:pt idx="231">
                  <c:v>161.93132182463265</c:v>
                </c:pt>
                <c:pt idx="232">
                  <c:v>163.75831678937158</c:v>
                </c:pt>
                <c:pt idx="233">
                  <c:v>165.59794201704156</c:v>
                </c:pt>
                <c:pt idx="234">
                  <c:v>167.45023010997667</c:v>
                </c:pt>
                <c:pt idx="235">
                  <c:v>169.31521361464712</c:v>
                </c:pt>
                <c:pt idx="236">
                  <c:v>171.19292502199269</c:v>
                </c:pt>
                <c:pt idx="237">
                  <c:v>173.08339676775302</c:v>
                </c:pt>
                <c:pt idx="238">
                  <c:v>174.98666123279438</c:v>
                </c:pt>
                <c:pt idx="239">
                  <c:v>176.90275074343333</c:v>
                </c:pt>
                <c:pt idx="240">
                  <c:v>178.83169757175705</c:v>
                </c:pt>
                <c:pt idx="241">
                  <c:v>180.77353393594015</c:v>
                </c:pt>
                <c:pt idx="242">
                  <c:v>182.72829200055881</c:v>
                </c:pt>
                <c:pt idx="243">
                  <c:v>184.69600387690167</c:v>
                </c:pt>
                <c:pt idx="244">
                  <c:v>186.67670162327718</c:v>
                </c:pt>
                <c:pt idx="245">
                  <c:v>188.67041724531873</c:v>
                </c:pt>
                <c:pt idx="246">
                  <c:v>190.67718269628585</c:v>
                </c:pt>
                <c:pt idx="247">
                  <c:v>192.69702987736341</c:v>
                </c:pt>
                <c:pt idx="248">
                  <c:v>194.72999063795712</c:v>
                </c:pt>
                <c:pt idx="249">
                  <c:v>196.77609677598684</c:v>
                </c:pt>
                <c:pt idx="250">
                  <c:v>198.83538003817625</c:v>
                </c:pt>
                <c:pt idx="251">
                  <c:v>200.90787212034064</c:v>
                </c:pt>
                <c:pt idx="252">
                  <c:v>202.99360466767121</c:v>
                </c:pt>
                <c:pt idx="253">
                  <c:v>205.09260927501708</c:v>
                </c:pt>
                <c:pt idx="254">
                  <c:v>207.20491748716435</c:v>
                </c:pt>
                <c:pt idx="255">
                  <c:v>208.81343999999999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57-4A25-BFB6-2D865083C502}"/>
            </c:ext>
          </c:extLst>
        </c:ser>
        <c:ser>
          <c:idx val="3"/>
          <c:order val="3"/>
          <c:tx>
            <c:strRef>
              <c:f>'Gamma 2.6  9300K'!$F$16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2.6  9300K'!$B$17:$B$272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 9300K'!$F$17:$F$272</c:f>
              <c:numCache>
                <c:formatCode>General</c:formatCode>
                <c:ptCount val="256"/>
                <c:pt idx="0">
                  <c:v>0.2427</c:v>
                </c:pt>
                <c:pt idx="1">
                  <c:v>0.2427</c:v>
                </c:pt>
                <c:pt idx="2">
                  <c:v>0.24229999999999999</c:v>
                </c:pt>
                <c:pt idx="3">
                  <c:v>0.24160000000000001</c:v>
                </c:pt>
                <c:pt idx="4">
                  <c:v>0.25509999999999999</c:v>
                </c:pt>
                <c:pt idx="5">
                  <c:v>0.2555</c:v>
                </c:pt>
                <c:pt idx="6">
                  <c:v>0.25530000000000003</c:v>
                </c:pt>
                <c:pt idx="7">
                  <c:v>0.27129999999999999</c:v>
                </c:pt>
                <c:pt idx="8">
                  <c:v>0.2722</c:v>
                </c:pt>
                <c:pt idx="9">
                  <c:v>0.28649999999999998</c:v>
                </c:pt>
                <c:pt idx="10">
                  <c:v>0.28689999999999999</c:v>
                </c:pt>
                <c:pt idx="11">
                  <c:v>0.29299999999999998</c:v>
                </c:pt>
                <c:pt idx="12">
                  <c:v>0.30859999999999999</c:v>
                </c:pt>
                <c:pt idx="13">
                  <c:v>0.30969999999999998</c:v>
                </c:pt>
                <c:pt idx="14">
                  <c:v>0.33310000000000001</c:v>
                </c:pt>
                <c:pt idx="15">
                  <c:v>0.33339999999999997</c:v>
                </c:pt>
                <c:pt idx="16">
                  <c:v>0.37459999999999999</c:v>
                </c:pt>
                <c:pt idx="17">
                  <c:v>0.37419999999999998</c:v>
                </c:pt>
                <c:pt idx="18">
                  <c:v>0.40689999999999998</c:v>
                </c:pt>
                <c:pt idx="19">
                  <c:v>0.40799999999999997</c:v>
                </c:pt>
                <c:pt idx="20">
                  <c:v>0.45619999999999999</c:v>
                </c:pt>
                <c:pt idx="21">
                  <c:v>0.49259999999999998</c:v>
                </c:pt>
                <c:pt idx="22">
                  <c:v>0.50570000000000004</c:v>
                </c:pt>
                <c:pt idx="23">
                  <c:v>0.5625</c:v>
                </c:pt>
                <c:pt idx="24">
                  <c:v>0.58069999999999999</c:v>
                </c:pt>
                <c:pt idx="25">
                  <c:v>0.63919999999999999</c:v>
                </c:pt>
                <c:pt idx="26">
                  <c:v>0.70779999999999998</c:v>
                </c:pt>
                <c:pt idx="27">
                  <c:v>0.70350000000000001</c:v>
                </c:pt>
                <c:pt idx="28">
                  <c:v>0.7823</c:v>
                </c:pt>
                <c:pt idx="29">
                  <c:v>0.88460000000000005</c:v>
                </c:pt>
                <c:pt idx="30">
                  <c:v>0.90959999999999996</c:v>
                </c:pt>
                <c:pt idx="31">
                  <c:v>0.96709999999999996</c:v>
                </c:pt>
                <c:pt idx="32">
                  <c:v>1.0482</c:v>
                </c:pt>
                <c:pt idx="33">
                  <c:v>1.1611</c:v>
                </c:pt>
                <c:pt idx="34">
                  <c:v>1.1519999999999999</c:v>
                </c:pt>
                <c:pt idx="35">
                  <c:v>1.2682</c:v>
                </c:pt>
                <c:pt idx="36">
                  <c:v>1.3499000000000001</c:v>
                </c:pt>
                <c:pt idx="37">
                  <c:v>1.4301999999999999</c:v>
                </c:pt>
                <c:pt idx="38">
                  <c:v>1.4556</c:v>
                </c:pt>
                <c:pt idx="39">
                  <c:v>1.5482</c:v>
                </c:pt>
                <c:pt idx="40">
                  <c:v>1.6347</c:v>
                </c:pt>
                <c:pt idx="41">
                  <c:v>1.7036</c:v>
                </c:pt>
                <c:pt idx="42">
                  <c:v>1.8273999999999999</c:v>
                </c:pt>
                <c:pt idx="43">
                  <c:v>2.0432000000000001</c:v>
                </c:pt>
                <c:pt idx="44">
                  <c:v>2.0792000000000002</c:v>
                </c:pt>
                <c:pt idx="45">
                  <c:v>2.1905000000000001</c:v>
                </c:pt>
                <c:pt idx="46">
                  <c:v>2.3431999999999999</c:v>
                </c:pt>
                <c:pt idx="47">
                  <c:v>2.4664999999999999</c:v>
                </c:pt>
                <c:pt idx="48">
                  <c:v>2.6008</c:v>
                </c:pt>
                <c:pt idx="49">
                  <c:v>2.7303999999999999</c:v>
                </c:pt>
                <c:pt idx="50">
                  <c:v>2.9138999999999999</c:v>
                </c:pt>
                <c:pt idx="51">
                  <c:v>3.0684</c:v>
                </c:pt>
                <c:pt idx="52">
                  <c:v>3.2707999999999999</c:v>
                </c:pt>
                <c:pt idx="53">
                  <c:v>3.2789999999999999</c:v>
                </c:pt>
                <c:pt idx="54">
                  <c:v>3.4258000000000002</c:v>
                </c:pt>
                <c:pt idx="55">
                  <c:v>3.6387999999999998</c:v>
                </c:pt>
                <c:pt idx="56">
                  <c:v>3.8016000000000001</c:v>
                </c:pt>
                <c:pt idx="57">
                  <c:v>4.0366</c:v>
                </c:pt>
                <c:pt idx="58">
                  <c:v>4.2054</c:v>
                </c:pt>
                <c:pt idx="59">
                  <c:v>4.3859000000000004</c:v>
                </c:pt>
                <c:pt idx="60">
                  <c:v>4.5883000000000003</c:v>
                </c:pt>
                <c:pt idx="61">
                  <c:v>4.8573000000000004</c:v>
                </c:pt>
                <c:pt idx="62">
                  <c:v>5.0823999999999998</c:v>
                </c:pt>
                <c:pt idx="63">
                  <c:v>5.1492000000000004</c:v>
                </c:pt>
                <c:pt idx="64">
                  <c:v>5.2828999999999997</c:v>
                </c:pt>
                <c:pt idx="65">
                  <c:v>5.5693999999999999</c:v>
                </c:pt>
                <c:pt idx="66">
                  <c:v>5.7998000000000003</c:v>
                </c:pt>
                <c:pt idx="67">
                  <c:v>6.1029</c:v>
                </c:pt>
                <c:pt idx="68">
                  <c:v>6.3213999999999997</c:v>
                </c:pt>
                <c:pt idx="69">
                  <c:v>6.6272000000000002</c:v>
                </c:pt>
                <c:pt idx="70">
                  <c:v>6.6910999999999996</c:v>
                </c:pt>
                <c:pt idx="71">
                  <c:v>6.8926999999999996</c:v>
                </c:pt>
                <c:pt idx="72">
                  <c:v>7.2153</c:v>
                </c:pt>
                <c:pt idx="73">
                  <c:v>7.4870999999999999</c:v>
                </c:pt>
                <c:pt idx="74">
                  <c:v>7.8131000000000004</c:v>
                </c:pt>
                <c:pt idx="75">
                  <c:v>8.0196000000000005</c:v>
                </c:pt>
                <c:pt idx="76">
                  <c:v>8.3971999999999998</c:v>
                </c:pt>
                <c:pt idx="77">
                  <c:v>8.6943000000000001</c:v>
                </c:pt>
                <c:pt idx="78">
                  <c:v>8.7827999999999999</c:v>
                </c:pt>
                <c:pt idx="79">
                  <c:v>9.0939999999999994</c:v>
                </c:pt>
                <c:pt idx="80">
                  <c:v>9.4697999999999993</c:v>
                </c:pt>
                <c:pt idx="81">
                  <c:v>9.6780000000000008</c:v>
                </c:pt>
                <c:pt idx="82">
                  <c:v>10.128500000000001</c:v>
                </c:pt>
                <c:pt idx="83">
                  <c:v>10.411199999999999</c:v>
                </c:pt>
                <c:pt idx="84">
                  <c:v>10.8498</c:v>
                </c:pt>
                <c:pt idx="85">
                  <c:v>11.1774</c:v>
                </c:pt>
                <c:pt idx="86">
                  <c:v>11.5763</c:v>
                </c:pt>
                <c:pt idx="87">
                  <c:v>11.597099999999999</c:v>
                </c:pt>
                <c:pt idx="88">
                  <c:v>11.9381</c:v>
                </c:pt>
                <c:pt idx="89">
                  <c:v>12.382099999999999</c:v>
                </c:pt>
                <c:pt idx="90">
                  <c:v>12.784700000000001</c:v>
                </c:pt>
                <c:pt idx="91">
                  <c:v>13.293699999999999</c:v>
                </c:pt>
                <c:pt idx="92">
                  <c:v>13.6683</c:v>
                </c:pt>
                <c:pt idx="93">
                  <c:v>14.051500000000001</c:v>
                </c:pt>
                <c:pt idx="94">
                  <c:v>14.472</c:v>
                </c:pt>
                <c:pt idx="95">
                  <c:v>15.041499999999999</c:v>
                </c:pt>
                <c:pt idx="96">
                  <c:v>15.1503</c:v>
                </c:pt>
                <c:pt idx="97">
                  <c:v>15.5387</c:v>
                </c:pt>
                <c:pt idx="98">
                  <c:v>15.92</c:v>
                </c:pt>
                <c:pt idx="99">
                  <c:v>16.504200000000001</c:v>
                </c:pt>
                <c:pt idx="100">
                  <c:v>16.9053</c:v>
                </c:pt>
                <c:pt idx="101">
                  <c:v>17.330400000000001</c:v>
                </c:pt>
                <c:pt idx="102">
                  <c:v>17.939299999999999</c:v>
                </c:pt>
                <c:pt idx="103">
                  <c:v>18.396000000000001</c:v>
                </c:pt>
                <c:pt idx="104">
                  <c:v>19.0077</c:v>
                </c:pt>
                <c:pt idx="105">
                  <c:v>19.4223</c:v>
                </c:pt>
                <c:pt idx="106">
                  <c:v>19.888400000000001</c:v>
                </c:pt>
                <c:pt idx="107">
                  <c:v>20.352799999999998</c:v>
                </c:pt>
                <c:pt idx="108">
                  <c:v>20.9816</c:v>
                </c:pt>
                <c:pt idx="109">
                  <c:v>21.4907</c:v>
                </c:pt>
                <c:pt idx="110">
                  <c:v>21.652200000000001</c:v>
                </c:pt>
                <c:pt idx="111">
                  <c:v>22.173500000000001</c:v>
                </c:pt>
                <c:pt idx="112">
                  <c:v>22.694900000000001</c:v>
                </c:pt>
                <c:pt idx="113">
                  <c:v>23.226299999999998</c:v>
                </c:pt>
                <c:pt idx="114">
                  <c:v>23.903600000000001</c:v>
                </c:pt>
                <c:pt idx="115">
                  <c:v>24.345400000000001</c:v>
                </c:pt>
                <c:pt idx="116">
                  <c:v>25.042999999999999</c:v>
                </c:pt>
                <c:pt idx="117">
                  <c:v>25.207100000000001</c:v>
                </c:pt>
                <c:pt idx="118">
                  <c:v>25.642099999999999</c:v>
                </c:pt>
                <c:pt idx="119">
                  <c:v>26.313300000000002</c:v>
                </c:pt>
                <c:pt idx="120">
                  <c:v>26.8767</c:v>
                </c:pt>
                <c:pt idx="121">
                  <c:v>27.645600000000002</c:v>
                </c:pt>
                <c:pt idx="122">
                  <c:v>28.21</c:v>
                </c:pt>
                <c:pt idx="123">
                  <c:v>28.779599999999999</c:v>
                </c:pt>
                <c:pt idx="124">
                  <c:v>29.604399999999998</c:v>
                </c:pt>
                <c:pt idx="125">
                  <c:v>30.192399999999999</c:v>
                </c:pt>
                <c:pt idx="126">
                  <c:v>30.773700000000002</c:v>
                </c:pt>
                <c:pt idx="127">
                  <c:v>31.3626</c:v>
                </c:pt>
                <c:pt idx="128">
                  <c:v>31.563300000000002</c:v>
                </c:pt>
                <c:pt idx="129">
                  <c:v>32.323900000000002</c:v>
                </c:pt>
                <c:pt idx="130">
                  <c:v>32.891399999999997</c:v>
                </c:pt>
                <c:pt idx="131">
                  <c:v>33.7241</c:v>
                </c:pt>
                <c:pt idx="132">
                  <c:v>34.374099999999999</c:v>
                </c:pt>
                <c:pt idx="133">
                  <c:v>35.276000000000003</c:v>
                </c:pt>
                <c:pt idx="134">
                  <c:v>35.7639</c:v>
                </c:pt>
                <c:pt idx="135">
                  <c:v>36.627299999999998</c:v>
                </c:pt>
                <c:pt idx="136">
                  <c:v>37.279299999999999</c:v>
                </c:pt>
                <c:pt idx="137">
                  <c:v>38.1723</c:v>
                </c:pt>
                <c:pt idx="138">
                  <c:v>38.825400000000002</c:v>
                </c:pt>
                <c:pt idx="139">
                  <c:v>39.713700000000003</c:v>
                </c:pt>
                <c:pt idx="140">
                  <c:v>40.393599999999999</c:v>
                </c:pt>
                <c:pt idx="141">
                  <c:v>41.2774</c:v>
                </c:pt>
                <c:pt idx="142">
                  <c:v>41.943199999999997</c:v>
                </c:pt>
                <c:pt idx="143">
                  <c:v>42.931800000000003</c:v>
                </c:pt>
                <c:pt idx="144">
                  <c:v>44.330100000000002</c:v>
                </c:pt>
                <c:pt idx="145">
                  <c:v>45.0764</c:v>
                </c:pt>
                <c:pt idx="146">
                  <c:v>45.825899999999997</c:v>
                </c:pt>
                <c:pt idx="147">
                  <c:v>46.820300000000003</c:v>
                </c:pt>
                <c:pt idx="148">
                  <c:v>47.554600000000001</c:v>
                </c:pt>
                <c:pt idx="149">
                  <c:v>48.507199999999997</c:v>
                </c:pt>
                <c:pt idx="150">
                  <c:v>49.267400000000002</c:v>
                </c:pt>
                <c:pt idx="151">
                  <c:v>50.293500000000002</c:v>
                </c:pt>
                <c:pt idx="152">
                  <c:v>51.167700000000004</c:v>
                </c:pt>
                <c:pt idx="153">
                  <c:v>51.949199999999998</c:v>
                </c:pt>
                <c:pt idx="154">
                  <c:v>52.756</c:v>
                </c:pt>
                <c:pt idx="155">
                  <c:v>53.872700000000002</c:v>
                </c:pt>
                <c:pt idx="156">
                  <c:v>54.673299999999998</c:v>
                </c:pt>
                <c:pt idx="157">
                  <c:v>55.774799999999999</c:v>
                </c:pt>
                <c:pt idx="158">
                  <c:v>56.584400000000002</c:v>
                </c:pt>
                <c:pt idx="159">
                  <c:v>57.6721</c:v>
                </c:pt>
                <c:pt idx="160">
                  <c:v>57.872999999999998</c:v>
                </c:pt>
                <c:pt idx="161">
                  <c:v>58.733899999999998</c:v>
                </c:pt>
                <c:pt idx="162">
                  <c:v>59.65</c:v>
                </c:pt>
                <c:pt idx="163">
                  <c:v>60.652700000000003</c:v>
                </c:pt>
                <c:pt idx="164">
                  <c:v>61.787599999999998</c:v>
                </c:pt>
                <c:pt idx="165">
                  <c:v>62.668999999999997</c:v>
                </c:pt>
                <c:pt idx="166">
                  <c:v>63.509799999999998</c:v>
                </c:pt>
                <c:pt idx="167">
                  <c:v>64.6858</c:v>
                </c:pt>
                <c:pt idx="168">
                  <c:v>65.556600000000003</c:v>
                </c:pt>
                <c:pt idx="169">
                  <c:v>66.911199999999994</c:v>
                </c:pt>
                <c:pt idx="170">
                  <c:v>67.917100000000005</c:v>
                </c:pt>
                <c:pt idx="171">
                  <c:v>68.895399999999995</c:v>
                </c:pt>
                <c:pt idx="172">
                  <c:v>69.838999999999999</c:v>
                </c:pt>
                <c:pt idx="173">
                  <c:v>71.115399999999994</c:v>
                </c:pt>
                <c:pt idx="174">
                  <c:v>72.014399999999995</c:v>
                </c:pt>
                <c:pt idx="175">
                  <c:v>73.241200000000006</c:v>
                </c:pt>
                <c:pt idx="176">
                  <c:v>74.275199999999998</c:v>
                </c:pt>
                <c:pt idx="177">
                  <c:v>75.401399999999995</c:v>
                </c:pt>
                <c:pt idx="178">
                  <c:v>76.415400000000005</c:v>
                </c:pt>
                <c:pt idx="179">
                  <c:v>76.706599999999995</c:v>
                </c:pt>
                <c:pt idx="180">
                  <c:v>78.043700000000001</c:v>
                </c:pt>
                <c:pt idx="181">
                  <c:v>79.021100000000004</c:v>
                </c:pt>
                <c:pt idx="182">
                  <c:v>79.972999999999999</c:v>
                </c:pt>
                <c:pt idx="183">
                  <c:v>80.964200000000005</c:v>
                </c:pt>
                <c:pt idx="184">
                  <c:v>82.373800000000003</c:v>
                </c:pt>
                <c:pt idx="185">
                  <c:v>83.439599999999999</c:v>
                </c:pt>
                <c:pt idx="186">
                  <c:v>83.892200000000003</c:v>
                </c:pt>
                <c:pt idx="187">
                  <c:v>84.973100000000002</c:v>
                </c:pt>
                <c:pt idx="188">
                  <c:v>86.360100000000003</c:v>
                </c:pt>
                <c:pt idx="189">
                  <c:v>87.500799999999998</c:v>
                </c:pt>
                <c:pt idx="190">
                  <c:v>88.592399999999998</c:v>
                </c:pt>
                <c:pt idx="191">
                  <c:v>89.628299999999996</c:v>
                </c:pt>
                <c:pt idx="192">
                  <c:v>91.004499999999993</c:v>
                </c:pt>
                <c:pt idx="193">
                  <c:v>92.458500000000001</c:v>
                </c:pt>
                <c:pt idx="194">
                  <c:v>93.585899999999995</c:v>
                </c:pt>
                <c:pt idx="195">
                  <c:v>94.794399999999996</c:v>
                </c:pt>
                <c:pt idx="196">
                  <c:v>96.368200000000002</c:v>
                </c:pt>
                <c:pt idx="197">
                  <c:v>97.572199999999995</c:v>
                </c:pt>
                <c:pt idx="198">
                  <c:v>98.721599999999995</c:v>
                </c:pt>
                <c:pt idx="199">
                  <c:v>99.8155</c:v>
                </c:pt>
                <c:pt idx="200">
                  <c:v>101.26600000000001</c:v>
                </c:pt>
                <c:pt idx="201">
                  <c:v>102.2726</c:v>
                </c:pt>
                <c:pt idx="202">
                  <c:v>103.88500000000001</c:v>
                </c:pt>
                <c:pt idx="203">
                  <c:v>105.1075</c:v>
                </c:pt>
                <c:pt idx="204">
                  <c:v>106.7773</c:v>
                </c:pt>
                <c:pt idx="205">
                  <c:v>107.9898</c:v>
                </c:pt>
                <c:pt idx="206">
                  <c:v>109.69629999999999</c:v>
                </c:pt>
                <c:pt idx="207">
                  <c:v>110.93729999999999</c:v>
                </c:pt>
                <c:pt idx="208">
                  <c:v>112.473</c:v>
                </c:pt>
                <c:pt idx="209">
                  <c:v>113.6835</c:v>
                </c:pt>
                <c:pt idx="210">
                  <c:v>116.092</c:v>
                </c:pt>
                <c:pt idx="211">
                  <c:v>117.86620000000001</c:v>
                </c:pt>
                <c:pt idx="212">
                  <c:v>119.07729999999999</c:v>
                </c:pt>
                <c:pt idx="213">
                  <c:v>120.2127</c:v>
                </c:pt>
                <c:pt idx="214">
                  <c:v>121.97069999999999</c:v>
                </c:pt>
                <c:pt idx="215">
                  <c:v>123.64060000000001</c:v>
                </c:pt>
                <c:pt idx="216">
                  <c:v>124.8973</c:v>
                </c:pt>
                <c:pt idx="217">
                  <c:v>126.143</c:v>
                </c:pt>
                <c:pt idx="218">
                  <c:v>127.8497</c:v>
                </c:pt>
                <c:pt idx="219">
                  <c:v>129.0883</c:v>
                </c:pt>
                <c:pt idx="220">
                  <c:v>130.80539999999999</c:v>
                </c:pt>
                <c:pt idx="221">
                  <c:v>132.24600000000001</c:v>
                </c:pt>
                <c:pt idx="222">
                  <c:v>133.94980000000001</c:v>
                </c:pt>
                <c:pt idx="223">
                  <c:v>135.2724</c:v>
                </c:pt>
                <c:pt idx="224">
                  <c:v>137.08690000000001</c:v>
                </c:pt>
                <c:pt idx="225">
                  <c:v>138.434</c:v>
                </c:pt>
                <c:pt idx="226">
                  <c:v>140.2253</c:v>
                </c:pt>
                <c:pt idx="227">
                  <c:v>141.22130000000001</c:v>
                </c:pt>
                <c:pt idx="228">
                  <c:v>142.95400000000001</c:v>
                </c:pt>
                <c:pt idx="229">
                  <c:v>144.3477</c:v>
                </c:pt>
                <c:pt idx="230">
                  <c:v>146.1858</c:v>
                </c:pt>
                <c:pt idx="231">
                  <c:v>147.54599999999999</c:v>
                </c:pt>
                <c:pt idx="232">
                  <c:v>149.44049999999999</c:v>
                </c:pt>
                <c:pt idx="233">
                  <c:v>152.22980000000001</c:v>
                </c:pt>
                <c:pt idx="234">
                  <c:v>153.62379999999999</c:v>
                </c:pt>
                <c:pt idx="235">
                  <c:v>155.51679999999999</c:v>
                </c:pt>
                <c:pt idx="236">
                  <c:v>156.47749999999999</c:v>
                </c:pt>
                <c:pt idx="237">
                  <c:v>158.3914</c:v>
                </c:pt>
                <c:pt idx="238">
                  <c:v>159.8424</c:v>
                </c:pt>
                <c:pt idx="239">
                  <c:v>161.8152</c:v>
                </c:pt>
                <c:pt idx="240">
                  <c:v>163.27180000000001</c:v>
                </c:pt>
                <c:pt idx="241">
                  <c:v>165.21270000000001</c:v>
                </c:pt>
                <c:pt idx="242">
                  <c:v>166.66210000000001</c:v>
                </c:pt>
                <c:pt idx="243">
                  <c:v>168.6908</c:v>
                </c:pt>
                <c:pt idx="244">
                  <c:v>170.16130000000001</c:v>
                </c:pt>
                <c:pt idx="245">
                  <c:v>171.60669999999999</c:v>
                </c:pt>
                <c:pt idx="246">
                  <c:v>173.49440000000001</c:v>
                </c:pt>
                <c:pt idx="247">
                  <c:v>174.93430000000001</c:v>
                </c:pt>
                <c:pt idx="248">
                  <c:v>176.9385</c:v>
                </c:pt>
                <c:pt idx="249">
                  <c:v>178.38310000000001</c:v>
                </c:pt>
                <c:pt idx="250">
                  <c:v>180.32</c:v>
                </c:pt>
                <c:pt idx="251">
                  <c:v>183.33969999999999</c:v>
                </c:pt>
                <c:pt idx="252">
                  <c:v>184.8854</c:v>
                </c:pt>
                <c:pt idx="253">
                  <c:v>186.38550000000001</c:v>
                </c:pt>
                <c:pt idx="254">
                  <c:v>188.36250000000001</c:v>
                </c:pt>
                <c:pt idx="255">
                  <c:v>189.8304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57-4A25-BFB6-2D865083C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941920"/>
        <c:axId val="1995942400"/>
      </c:lineChart>
      <c:catAx>
        <c:axId val="199594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5942400"/>
        <c:crosses val="autoZero"/>
        <c:auto val="1"/>
        <c:lblAlgn val="ctr"/>
        <c:lblOffset val="100"/>
        <c:noMultiLvlLbl val="0"/>
      </c:catAx>
      <c:valAx>
        <c:axId val="19959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594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Gamma1.8_6500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'Gamma 1.8  6500K'!$C$16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1.8 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1.8  6500K'!$C$17:$C$272</c:f>
              <c:numCache>
                <c:formatCode>0.00_ </c:formatCode>
                <c:ptCount val="256"/>
                <c:pt idx="0">
                  <c:v>9.4696846300447121E-4</c:v>
                </c:pt>
                <c:pt idx="1">
                  <c:v>1.5109827600791515E-2</c:v>
                </c:pt>
                <c:pt idx="2">
                  <c:v>4.2891015843979911E-2</c:v>
                </c:pt>
                <c:pt idx="3">
                  <c:v>8.2672036839827684E-2</c:v>
                </c:pt>
                <c:pt idx="4">
                  <c:v>0.13358517628581387</c:v>
                </c:pt>
                <c:pt idx="5">
                  <c:v>0.1950440208634984</c:v>
                </c:pt>
                <c:pt idx="6">
                  <c:v>0.26661039663002661</c:v>
                </c:pt>
                <c:pt idx="7">
                  <c:v>0.34793721343374473</c:v>
                </c:pt>
                <c:pt idx="8">
                  <c:v>0.43873872581372914</c:v>
                </c:pt>
                <c:pt idx="9">
                  <c:v>0.53877314036350499</c:v>
                </c:pt>
                <c:pt idx="10">
                  <c:v>0.64783159632626286</c:v>
                </c:pt>
                <c:pt idx="11">
                  <c:v>0.76573076242948124</c:v>
                </c:pt>
                <c:pt idx="12">
                  <c:v>0.89230763439126626</c:v>
                </c:pt>
                <c:pt idx="13">
                  <c:v>1.0274157461520255</c:v>
                </c:pt>
                <c:pt idx="14">
                  <c:v>1.1709223294162259</c:v>
                </c:pt>
                <c:pt idx="15">
                  <c:v>1.3227061322175657</c:v>
                </c:pt>
                <c:pt idx="16">
                  <c:v>1.4826557091909291</c:v>
                </c:pt>
                <c:pt idx="17">
                  <c:v>1.6506680580322495</c:v>
                </c:pt>
                <c:pt idx="18">
                  <c:v>1.8266475155480797</c:v>
                </c:pt>
                <c:pt idx="19">
                  <c:v>2.0105048520277387</c:v>
                </c:pt>
                <c:pt idx="20">
                  <c:v>2.2021565196324353</c:v>
                </c:pt>
                <c:pt idx="21">
                  <c:v>2.4015240221383696</c:v>
                </c:pt>
                <c:pt idx="22">
                  <c:v>2.608533381539194</c:v>
                </c:pt>
                <c:pt idx="23">
                  <c:v>2.8231146828567004</c:v>
                </c:pt>
                <c:pt idx="24">
                  <c:v>3.0452016827620967</c:v>
                </c:pt>
                <c:pt idx="25">
                  <c:v>3.2747314707553494</c:v>
                </c:pt>
                <c:pt idx="26">
                  <c:v>3.5116441740086719</c:v>
                </c:pt>
                <c:pt idx="27">
                  <c:v>3.7558826987721052</c:v>
                </c:pt>
                <c:pt idx="28">
                  <c:v>4.0073925026165043</c:v>
                </c:pt>
                <c:pt idx="29">
                  <c:v>4.2661213928593122</c:v>
                </c:pt>
                <c:pt idx="30">
                  <c:v>4.5320193473585455</c:v>
                </c:pt>
                <c:pt idx="31">
                  <c:v>4.805038354525526</c:v>
                </c:pt>
                <c:pt idx="32">
                  <c:v>5.0851322699382404</c:v>
                </c:pt>
                <c:pt idx="33">
                  <c:v>5.3722566873650122</c:v>
                </c:pt>
                <c:pt idx="34">
                  <c:v>5.6663688223552224</c:v>
                </c:pt>
                <c:pt idx="35">
                  <c:v>5.9674274068370003</c:v>
                </c:pt>
                <c:pt idx="36">
                  <c:v>6.2753925933949795</c:v>
                </c:pt>
                <c:pt idx="37">
                  <c:v>6.5902258680934809</c:v>
                </c:pt>
                <c:pt idx="38">
                  <c:v>6.9118899708710266</c:v>
                </c:pt>
                <c:pt idx="39">
                  <c:v>7.2403488226656272</c:v>
                </c:pt>
                <c:pt idx="40">
                  <c:v>7.5755674585431461</c:v>
                </c:pt>
                <c:pt idx="41">
                  <c:v>7.9175119661958213</c:v>
                </c:pt>
                <c:pt idx="42">
                  <c:v>8.2661494292587356</c:v>
                </c:pt>
                <c:pt idx="43">
                  <c:v>8.6214478749605981</c:v>
                </c:pt>
                <c:pt idx="44">
                  <c:v>8.98337622568401</c:v>
                </c:pt>
                <c:pt idx="45">
                  <c:v>9.351904254060603</c:v>
                </c:pt>
                <c:pt idx="46">
                  <c:v>9.7270025412701155</c:v>
                </c:pt>
                <c:pt idx="47">
                  <c:v>10.108642438249754</c:v>
                </c:pt>
                <c:pt idx="48">
                  <c:v>10.49679602955303</c:v>
                </c:pt>
                <c:pt idx="49">
                  <c:v>10.89143609962543</c:v>
                </c:pt>
                <c:pt idx="50">
                  <c:v>11.292536101289157</c:v>
                </c:pt>
                <c:pt idx="51">
                  <c:v>11.700070126250774</c:v>
                </c:pt>
                <c:pt idx="52">
                  <c:v>12.11401287746471</c:v>
                </c:pt>
                <c:pt idx="53">
                  <c:v>12.534339643202227</c:v>
                </c:pt>
                <c:pt idx="54">
                  <c:v>12.961026272690408</c:v>
                </c:pt>
                <c:pt idx="55">
                  <c:v>13.394049153198628</c:v>
                </c:pt>
                <c:pt idx="56">
                  <c:v>13.833385188461683</c:v>
                </c:pt>
                <c:pt idx="57">
                  <c:v>14.279011778339152</c:v>
                </c:pt>
                <c:pt idx="58">
                  <c:v>14.73090679961949</c:v>
                </c:pt>
                <c:pt idx="59">
                  <c:v>15.189048587885912</c:v>
                </c:pt>
                <c:pt idx="60">
                  <c:v>15.653415920368227</c:v>
                </c:pt>
                <c:pt idx="61">
                  <c:v>16.1239879997114</c:v>
                </c:pt>
                <c:pt idx="62">
                  <c:v>16.600744438597616</c:v>
                </c:pt>
                <c:pt idx="63">
                  <c:v>17.083665245163882</c:v>
                </c:pt>
                <c:pt idx="64">
                  <c:v>17.572730809162032</c:v>
                </c:pt>
                <c:pt idx="65">
                  <c:v>18.067921888812194</c:v>
                </c:pt>
                <c:pt idx="66">
                  <c:v>18.569219598304986</c:v>
                </c:pt>
                <c:pt idx="67">
                  <c:v>19.076605395910931</c:v>
                </c:pt>
                <c:pt idx="68">
                  <c:v>19.590061072658937</c:v>
                </c:pt>
                <c:pt idx="69">
                  <c:v>20.109568741548745</c:v>
                </c:pt>
                <c:pt idx="70">
                  <c:v>20.635110827264679</c:v>
                </c:pt>
                <c:pt idx="71">
                  <c:v>21.16667005636052</c:v>
                </c:pt>
                <c:pt idx="72">
                  <c:v>21.704229447887684</c:v>
                </c:pt>
                <c:pt idx="73">
                  <c:v>22.247772304440712</c:v>
                </c:pt>
                <c:pt idx="74">
                  <c:v>22.797282203596065</c:v>
                </c:pt>
                <c:pt idx="75">
                  <c:v>23.352742989721872</c:v>
                </c:pt>
                <c:pt idx="76">
                  <c:v>23.914138766137608</c:v>
                </c:pt>
                <c:pt idx="77">
                  <c:v>24.481453887604786</c:v>
                </c:pt>
                <c:pt idx="78">
                  <c:v>25.054672953130051</c:v>
                </c:pt>
                <c:pt idx="79">
                  <c:v>25.63378079906413</c:v>
                </c:pt>
                <c:pt idx="80">
                  <c:v>26.218762492480877</c:v>
                </c:pt>
                <c:pt idx="81">
                  <c:v>26.809603324821524</c:v>
                </c:pt>
                <c:pt idx="82">
                  <c:v>27.40628880579051</c:v>
                </c:pt>
                <c:pt idx="83">
                  <c:v>28.008804657489975</c:v>
                </c:pt>
                <c:pt idx="84">
                  <c:v>28.617136808780614</c:v>
                </c:pt>
                <c:pt idx="85">
                  <c:v>29.231271389857838</c:v>
                </c:pt>
                <c:pt idx="86">
                  <c:v>29.851194727032521</c:v>
                </c:pt>
                <c:pt idx="87">
                  <c:v>30.476893337706024</c:v>
                </c:pt>
                <c:pt idx="88">
                  <c:v>31.108353925530608</c:v>
                </c:pt>
                <c:pt idx="89">
                  <c:v>31.745563375745935</c:v>
                </c:pt>
                <c:pt idx="90">
                  <c:v>32.388508750683584</c:v>
                </c:pt>
                <c:pt idx="91">
                  <c:v>33.037177285431639</c:v>
                </c:pt>
                <c:pt idx="92">
                  <c:v>33.691556383651871</c:v>
                </c:pt>
                <c:pt idx="93">
                  <c:v>34.351633613542838</c:v>
                </c:pt>
                <c:pt idx="94">
                  <c:v>35.017396703941884</c:v>
                </c:pt>
                <c:pt idx="95">
                  <c:v>35.688833540560104</c:v>
                </c:pt>
                <c:pt idx="96">
                  <c:v>36.36593216234435</c:v>
                </c:pt>
                <c:pt idx="97">
                  <c:v>37.048680757960632</c:v>
                </c:pt>
                <c:pt idx="98">
                  <c:v>37.737067662393727</c:v>
                </c:pt>
                <c:pt idx="99">
                  <c:v>38.431081353657994</c:v>
                </c:pt>
                <c:pt idx="100">
                  <c:v>39.13071044961449</c:v>
                </c:pt>
                <c:pt idx="101">
                  <c:v>39.835943704890347</c:v>
                </c:pt>
                <c:pt idx="102">
                  <c:v>40.546770007895731</c:v>
                </c:pt>
                <c:pt idx="103">
                  <c:v>41.26317837793443</c:v>
                </c:pt>
                <c:pt idx="104">
                  <c:v>41.985157962404486</c:v>
                </c:pt>
                <c:pt idx="105">
                  <c:v>42.712698034085037</c:v>
                </c:pt>
                <c:pt idx="106">
                  <c:v>43.44578798850592</c:v>
                </c:pt>
                <c:pt idx="107">
                  <c:v>44.184417341396738</c:v>
                </c:pt>
                <c:pt idx="108">
                  <c:v>44.928575726212429</c:v>
                </c:pt>
                <c:pt idx="109">
                  <c:v>45.678252891732186</c:v>
                </c:pt>
                <c:pt idx="110">
                  <c:v>46.433438699728917</c:v>
                </c:pt>
                <c:pt idx="111">
                  <c:v>47.19412312270665</c:v>
                </c:pt>
                <c:pt idx="112">
                  <c:v>47.96029624170319</c:v>
                </c:pt>
                <c:pt idx="113">
                  <c:v>48.731948244155724</c:v>
                </c:pt>
                <c:pt idx="114">
                  <c:v>49.509069421826808</c:v>
                </c:pt>
                <c:pt idx="115">
                  <c:v>50.291650168788763</c:v>
                </c:pt>
                <c:pt idx="116">
                  <c:v>51.079680979464143</c:v>
                </c:pt>
                <c:pt idx="117">
                  <c:v>51.873152446720397</c:v>
                </c:pt>
                <c:pt idx="118">
                  <c:v>52.672055260016577</c:v>
                </c:pt>
                <c:pt idx="119">
                  <c:v>53.476380203600542</c:v>
                </c:pt>
                <c:pt idx="120">
                  <c:v>54.286118154754547</c:v>
                </c:pt>
                <c:pt idx="121">
                  <c:v>55.101260082087691</c:v>
                </c:pt>
                <c:pt idx="122">
                  <c:v>55.921797043873696</c:v>
                </c:pt>
                <c:pt idx="123">
                  <c:v>56.747720186432112</c:v>
                </c:pt>
                <c:pt idx="124">
                  <c:v>57.579020742551961</c:v>
                </c:pt>
                <c:pt idx="125">
                  <c:v>58.415690029955798</c:v>
                </c:pt>
                <c:pt idx="126">
                  <c:v>59.25771944980346</c:v>
                </c:pt>
                <c:pt idx="127">
                  <c:v>60.105100485233471</c:v>
                </c:pt>
                <c:pt idx="128">
                  <c:v>60.957824699941746</c:v>
                </c:pt>
                <c:pt idx="129">
                  <c:v>61.815883736795257</c:v>
                </c:pt>
                <c:pt idx="130">
                  <c:v>62.679269316480706</c:v>
                </c:pt>
                <c:pt idx="131">
                  <c:v>63.547973236186074</c:v>
                </c:pt>
                <c:pt idx="132">
                  <c:v>64.421987368314603</c:v>
                </c:pt>
                <c:pt idx="133">
                  <c:v>65.301303659230001</c:v>
                </c:pt>
                <c:pt idx="134">
                  <c:v>66.185914128031726</c:v>
                </c:pt>
                <c:pt idx="135">
                  <c:v>67.07581086535977</c:v>
                </c:pt>
                <c:pt idx="136">
                  <c:v>67.970986032227486</c:v>
                </c:pt>
                <c:pt idx="137">
                  <c:v>68.871431858882204</c:v>
                </c:pt>
                <c:pt idx="138">
                  <c:v>69.777140643692434</c:v>
                </c:pt>
                <c:pt idx="139">
                  <c:v>70.688104752060667</c:v>
                </c:pt>
                <c:pt idx="140">
                  <c:v>71.604316615361583</c:v>
                </c:pt>
                <c:pt idx="141">
                  <c:v>72.525768729904144</c:v>
                </c:pt>
                <c:pt idx="142">
                  <c:v>73.452453655917694</c:v>
                </c:pt>
                <c:pt idx="143">
                  <c:v>74.384364016560625</c:v>
                </c:pt>
                <c:pt idx="144">
                  <c:v>75.321492496951407</c:v>
                </c:pt>
                <c:pt idx="145">
                  <c:v>76.263831843220885</c:v>
                </c:pt>
                <c:pt idx="146">
                  <c:v>77.211374861586052</c:v>
                </c:pt>
                <c:pt idx="147">
                  <c:v>78.16411441744367</c:v>
                </c:pt>
                <c:pt idx="148">
                  <c:v>79.122043434483729</c:v>
                </c:pt>
                <c:pt idx="149">
                  <c:v>80.085154893822292</c:v>
                </c:pt>
                <c:pt idx="150">
                  <c:v>81.053441833152661</c:v>
                </c:pt>
                <c:pt idx="151">
                  <c:v>82.026897345915074</c:v>
                </c:pt>
                <c:pt idx="152">
                  <c:v>83.005514580483649</c:v>
                </c:pt>
                <c:pt idx="153">
                  <c:v>83.989286739370556</c:v>
                </c:pt>
                <c:pt idx="154">
                  <c:v>84.978207078446999</c:v>
                </c:pt>
                <c:pt idx="155">
                  <c:v>85.972268906180261</c:v>
                </c:pt>
                <c:pt idx="156">
                  <c:v>86.971465582886538</c:v>
                </c:pt>
                <c:pt idx="157">
                  <c:v>87.975790519999109</c:v>
                </c:pt>
                <c:pt idx="158">
                  <c:v>88.985237179351415</c:v>
                </c:pt>
                <c:pt idx="159">
                  <c:v>89.999799072474815</c:v>
                </c:pt>
                <c:pt idx="160">
                  <c:v>91.019469759910251</c:v>
                </c:pt>
                <c:pt idx="161">
                  <c:v>92.04424285053382</c:v>
                </c:pt>
                <c:pt idx="162">
                  <c:v>93.074112000895838</c:v>
                </c:pt>
                <c:pt idx="163">
                  <c:v>94.109070914572854</c:v>
                </c:pt>
                <c:pt idx="164">
                  <c:v>95.149113341532384</c:v>
                </c:pt>
                <c:pt idx="165">
                  <c:v>96.19423307751012</c:v>
                </c:pt>
                <c:pt idx="166">
                  <c:v>97.244423963399228</c:v>
                </c:pt>
                <c:pt idx="167">
                  <c:v>98.299679884651397</c:v>
                </c:pt>
                <c:pt idx="168">
                  <c:v>99.359994770689354</c:v>
                </c:pt>
                <c:pt idx="169">
                  <c:v>100.42536259433052</c:v>
                </c:pt>
                <c:pt idx="170">
                  <c:v>101.49577737122189</c:v>
                </c:pt>
                <c:pt idx="171">
                  <c:v>102.57123315928514</c:v>
                </c:pt>
                <c:pt idx="172">
                  <c:v>103.65172405817245</c:v>
                </c:pt>
                <c:pt idx="173">
                  <c:v>104.73724420873219</c:v>
                </c:pt>
                <c:pt idx="174">
                  <c:v>105.82778779248487</c:v>
                </c:pt>
                <c:pt idx="175">
                  <c:v>106.92334903110824</c:v>
                </c:pt>
                <c:pt idx="176">
                  <c:v>108.02392218593229</c:v>
                </c:pt>
                <c:pt idx="177">
                  <c:v>109.12950155744308</c:v>
                </c:pt>
                <c:pt idx="178">
                  <c:v>110.24008148479578</c:v>
                </c:pt>
                <c:pt idx="179">
                  <c:v>111.35565634533641</c:v>
                </c:pt>
                <c:pt idx="180">
                  <c:v>112.47622055413201</c:v>
                </c:pt>
                <c:pt idx="181">
                  <c:v>113.60176856350934</c:v>
                </c:pt>
                <c:pt idx="182">
                  <c:v>114.73229486260172</c:v>
                </c:pt>
                <c:pt idx="183">
                  <c:v>115.8677939769036</c:v>
                </c:pt>
                <c:pt idx="184">
                  <c:v>117.0082604678334</c:v>
                </c:pt>
                <c:pt idx="185">
                  <c:v>118.15368893230342</c:v>
                </c:pt>
                <c:pt idx="186">
                  <c:v>119.30407400229761</c:v>
                </c:pt>
                <c:pt idx="187">
                  <c:v>120.4594103444564</c:v>
                </c:pt>
                <c:pt idx="188">
                  <c:v>121.61969265966869</c:v>
                </c:pt>
                <c:pt idx="189">
                  <c:v>122.78491568267081</c:v>
                </c:pt>
                <c:pt idx="190">
                  <c:v>123.95507418165224</c:v>
                </c:pt>
                <c:pt idx="191">
                  <c:v>125.13016295786802</c:v>
                </c:pt>
                <c:pt idx="192">
                  <c:v>126.31017684525759</c:v>
                </c:pt>
                <c:pt idx="193">
                  <c:v>127.49511071006994</c:v>
                </c:pt>
                <c:pt idx="194">
                  <c:v>128.68495945049528</c:v>
                </c:pt>
                <c:pt idx="195">
                  <c:v>129.87971799630253</c:v>
                </c:pt>
                <c:pt idx="196">
                  <c:v>131.07938130848254</c:v>
                </c:pt>
                <c:pt idx="197">
                  <c:v>132.28394437889779</c:v>
                </c:pt>
                <c:pt idx="198">
                  <c:v>133.49340222993712</c:v>
                </c:pt>
                <c:pt idx="199">
                  <c:v>134.70774991417642</c:v>
                </c:pt>
                <c:pt idx="200">
                  <c:v>135.92698251404482</c:v>
                </c:pt>
                <c:pt idx="201">
                  <c:v>137.15109514149574</c:v>
                </c:pt>
                <c:pt idx="202">
                  <c:v>138.38008293768391</c:v>
                </c:pt>
                <c:pt idx="203">
                  <c:v>139.6139410726469</c:v>
                </c:pt>
                <c:pt idx="204">
                  <c:v>140.85266474499204</c:v>
                </c:pt>
                <c:pt idx="205">
                  <c:v>142.09624918158795</c:v>
                </c:pt>
                <c:pt idx="206">
                  <c:v>143.34468963726127</c:v>
                </c:pt>
                <c:pt idx="207">
                  <c:v>144.59798139449765</c:v>
                </c:pt>
                <c:pt idx="208">
                  <c:v>145.85611976314783</c:v>
                </c:pt>
                <c:pt idx="209">
                  <c:v>147.11910008013786</c:v>
                </c:pt>
                <c:pt idx="210">
                  <c:v>148.38691770918396</c:v>
                </c:pt>
                <c:pt idx="211">
                  <c:v>149.65956804051177</c:v>
                </c:pt>
                <c:pt idx="212">
                  <c:v>150.93704649057969</c:v>
                </c:pt>
                <c:pt idx="213">
                  <c:v>152.21934850180645</c:v>
                </c:pt>
                <c:pt idx="214">
                  <c:v>153.50646954230297</c:v>
                </c:pt>
                <c:pt idx="215">
                  <c:v>154.79840510560786</c:v>
                </c:pt>
                <c:pt idx="216">
                  <c:v>156.0951507104273</c:v>
                </c:pt>
                <c:pt idx="217">
                  <c:v>157.3967019003783</c:v>
                </c:pt>
                <c:pt idx="218">
                  <c:v>158.70305424373629</c:v>
                </c:pt>
                <c:pt idx="219">
                  <c:v>160.01420333318583</c:v>
                </c:pt>
                <c:pt idx="220">
                  <c:v>161.33014478557544</c:v>
                </c:pt>
                <c:pt idx="221">
                  <c:v>162.65087424167581</c:v>
                </c:pt>
                <c:pt idx="222">
                  <c:v>163.97638736594141</c:v>
                </c:pt>
                <c:pt idx="223">
                  <c:v>165.30667984627578</c:v>
                </c:pt>
                <c:pt idx="224">
                  <c:v>166.64174739379996</c:v>
                </c:pt>
                <c:pt idx="225">
                  <c:v>167.98158574262436</c:v>
                </c:pt>
                <c:pt idx="226">
                  <c:v>169.32619064962387</c:v>
                </c:pt>
                <c:pt idx="227">
                  <c:v>170.67555789421615</c:v>
                </c:pt>
                <c:pt idx="228">
                  <c:v>172.02968327814295</c:v>
                </c:pt>
                <c:pt idx="229">
                  <c:v>173.38856262525456</c:v>
                </c:pt>
                <c:pt idx="230">
                  <c:v>174.75219178129751</c:v>
                </c:pt>
                <c:pt idx="231">
                  <c:v>176.12056661370474</c:v>
                </c:pt>
                <c:pt idx="232">
                  <c:v>177.49368301138904</c:v>
                </c:pt>
                <c:pt idx="233">
                  <c:v>178.87153688453935</c:v>
                </c:pt>
                <c:pt idx="234">
                  <c:v>180.25412416441961</c:v>
                </c:pt>
                <c:pt idx="235">
                  <c:v>181.64144080317061</c:v>
                </c:pt>
                <c:pt idx="236">
                  <c:v>183.03348277361434</c:v>
                </c:pt>
                <c:pt idx="237">
                  <c:v>184.4302460690613</c:v>
                </c:pt>
                <c:pt idx="238">
                  <c:v>185.83172670311993</c:v>
                </c:pt>
                <c:pt idx="239">
                  <c:v>187.23792070950901</c:v>
                </c:pt>
                <c:pt idx="240">
                  <c:v>188.64882414187258</c:v>
                </c:pt>
                <c:pt idx="241">
                  <c:v>190.06443307359683</c:v>
                </c:pt>
                <c:pt idx="242">
                  <c:v>191.48474359763023</c:v>
                </c:pt>
                <c:pt idx="243">
                  <c:v>192.90975182630527</c:v>
                </c:pt>
                <c:pt idx="244">
                  <c:v>194.33945389116303</c:v>
                </c:pt>
                <c:pt idx="245">
                  <c:v>195.77384594277981</c:v>
                </c:pt>
                <c:pt idx="246">
                  <c:v>197.21292415059611</c:v>
                </c:pt>
                <c:pt idx="247">
                  <c:v>198.65668470274801</c:v>
                </c:pt>
                <c:pt idx="248">
                  <c:v>200.10512380590029</c:v>
                </c:pt>
                <c:pt idx="249">
                  <c:v>201.55823768508219</c:v>
                </c:pt>
                <c:pt idx="250">
                  <c:v>203.01602258352489</c:v>
                </c:pt>
                <c:pt idx="251">
                  <c:v>204.47847476250152</c:v>
                </c:pt>
                <c:pt idx="252">
                  <c:v>205.94559050116862</c:v>
                </c:pt>
                <c:pt idx="253">
                  <c:v>207.41736609641023</c:v>
                </c:pt>
                <c:pt idx="254">
                  <c:v>208.89379786268339</c:v>
                </c:pt>
                <c:pt idx="255">
                  <c:v>209.96964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3-4A8B-A117-43219AF8EA1B}"/>
            </c:ext>
          </c:extLst>
        </c:ser>
        <c:ser>
          <c:idx val="1"/>
          <c:order val="1"/>
          <c:tx>
            <c:strRef>
              <c:f>'Gamma 1.8  6500K'!$D$16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1.8 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1.8  6500K'!$D$17:$D$272</c:f>
              <c:numCache>
                <c:formatCode>0.00_ </c:formatCode>
                <c:ptCount val="256"/>
                <c:pt idx="0">
                  <c:v>1.0521871811160792E-3</c:v>
                </c:pt>
                <c:pt idx="1">
                  <c:v>1.6788697334212795E-2</c:v>
                </c:pt>
                <c:pt idx="2">
                  <c:v>4.7656684271088788E-2</c:v>
                </c:pt>
                <c:pt idx="3">
                  <c:v>9.185781871091965E-2</c:v>
                </c:pt>
                <c:pt idx="4">
                  <c:v>0.14842797365090429</c:v>
                </c:pt>
                <c:pt idx="5">
                  <c:v>0.21671557873722044</c:v>
                </c:pt>
                <c:pt idx="6">
                  <c:v>0.29623377403336293</c:v>
                </c:pt>
                <c:pt idx="7">
                  <c:v>0.38659690381527195</c:v>
                </c:pt>
                <c:pt idx="8">
                  <c:v>0.4874874731263657</c:v>
                </c:pt>
                <c:pt idx="9">
                  <c:v>0.59863682262611662</c:v>
                </c:pt>
                <c:pt idx="10">
                  <c:v>0.71981288480695871</c:v>
                </c:pt>
                <c:pt idx="11">
                  <c:v>0.85081195825497913</c:v>
                </c:pt>
                <c:pt idx="12">
                  <c:v>0.99145292710140698</c:v>
                </c:pt>
                <c:pt idx="13">
                  <c:v>1.1415730512800282</c:v>
                </c:pt>
                <c:pt idx="14">
                  <c:v>1.3010248104624733</c:v>
                </c:pt>
                <c:pt idx="15">
                  <c:v>1.4696734802417397</c:v>
                </c:pt>
                <c:pt idx="16">
                  <c:v>1.6473952324343657</c:v>
                </c:pt>
                <c:pt idx="17">
                  <c:v>1.8340756200358328</c:v>
                </c:pt>
                <c:pt idx="18">
                  <c:v>2.0296083506089775</c:v>
                </c:pt>
                <c:pt idx="19">
                  <c:v>2.2338942800308206</c:v>
                </c:pt>
                <c:pt idx="20">
                  <c:v>2.4468405773693727</c:v>
                </c:pt>
                <c:pt idx="21">
                  <c:v>2.6683600245981887</c:v>
                </c:pt>
                <c:pt idx="22">
                  <c:v>2.8983704239324379</c:v>
                </c:pt>
                <c:pt idx="23">
                  <c:v>3.1367940920630004</c:v>
                </c:pt>
                <c:pt idx="24">
                  <c:v>3.3835574252912184</c:v>
                </c:pt>
                <c:pt idx="25">
                  <c:v>3.6385905230614997</c:v>
                </c:pt>
                <c:pt idx="26">
                  <c:v>3.9018268600096357</c:v>
                </c:pt>
                <c:pt idx="27">
                  <c:v>4.1732029986356727</c:v>
                </c:pt>
                <c:pt idx="28">
                  <c:v>4.4526583362405603</c:v>
                </c:pt>
                <c:pt idx="29">
                  <c:v>4.7401348809547912</c:v>
                </c:pt>
                <c:pt idx="30">
                  <c:v>5.0355770526206065</c:v>
                </c:pt>
                <c:pt idx="31">
                  <c:v>5.3389315050283619</c:v>
                </c:pt>
                <c:pt idx="32">
                  <c:v>5.6501469665980446</c:v>
                </c:pt>
                <c:pt idx="33">
                  <c:v>5.9691740970722353</c:v>
                </c:pt>
                <c:pt idx="34">
                  <c:v>6.2959653581724693</c:v>
                </c:pt>
                <c:pt idx="35">
                  <c:v>6.6304748964855564</c:v>
                </c:pt>
                <c:pt idx="36">
                  <c:v>6.9726584371055331</c:v>
                </c:pt>
                <c:pt idx="37">
                  <c:v>7.3224731867705346</c:v>
                </c:pt>
                <c:pt idx="38">
                  <c:v>7.6798777454122522</c:v>
                </c:pt>
                <c:pt idx="39">
                  <c:v>8.0448320251840304</c:v>
                </c:pt>
                <c:pt idx="40">
                  <c:v>8.4172971761590514</c:v>
                </c:pt>
                <c:pt idx="41">
                  <c:v>8.7972355179953574</c:v>
                </c:pt>
                <c:pt idx="42">
                  <c:v>9.1846104769541501</c:v>
                </c:pt>
                <c:pt idx="43">
                  <c:v>9.5793865277339982</c:v>
                </c:pt>
                <c:pt idx="44">
                  <c:v>9.9815291396489005</c:v>
                </c:pt>
                <c:pt idx="45">
                  <c:v>10.391004726734003</c:v>
                </c:pt>
                <c:pt idx="46">
                  <c:v>10.80778060141124</c:v>
                </c:pt>
                <c:pt idx="47">
                  <c:v>11.231824931388616</c:v>
                </c:pt>
                <c:pt idx="48">
                  <c:v>11.663106699503366</c:v>
                </c:pt>
                <c:pt idx="49">
                  <c:v>12.101595666250478</c:v>
                </c:pt>
                <c:pt idx="50">
                  <c:v>12.54726233476573</c:v>
                </c:pt>
                <c:pt idx="51">
                  <c:v>13.000077918056416</c:v>
                </c:pt>
                <c:pt idx="52">
                  <c:v>13.460014308294122</c:v>
                </c:pt>
                <c:pt idx="53">
                  <c:v>13.927044048002475</c:v>
                </c:pt>
                <c:pt idx="54">
                  <c:v>14.401140302989342</c:v>
                </c:pt>
                <c:pt idx="55">
                  <c:v>14.882276836887364</c:v>
                </c:pt>
                <c:pt idx="56">
                  <c:v>15.370427987179649</c:v>
                </c:pt>
                <c:pt idx="57">
                  <c:v>15.865568642599058</c:v>
                </c:pt>
                <c:pt idx="58">
                  <c:v>16.367674221799433</c:v>
                </c:pt>
                <c:pt idx="59">
                  <c:v>16.876720653206569</c:v>
                </c:pt>
                <c:pt idx="60">
                  <c:v>17.392684355964697</c:v>
                </c:pt>
                <c:pt idx="61">
                  <c:v>17.915542221901553</c:v>
                </c:pt>
                <c:pt idx="62">
                  <c:v>18.445271598441796</c:v>
                </c:pt>
                <c:pt idx="63">
                  <c:v>18.981850272404312</c:v>
                </c:pt>
                <c:pt idx="64">
                  <c:v>19.525256454624479</c:v>
                </c:pt>
                <c:pt idx="65">
                  <c:v>20.075468765346884</c:v>
                </c:pt>
                <c:pt idx="66">
                  <c:v>20.632466220338873</c:v>
                </c:pt>
                <c:pt idx="67">
                  <c:v>21.196228217678811</c:v>
                </c:pt>
                <c:pt idx="68">
                  <c:v>21.766734525176595</c:v>
                </c:pt>
                <c:pt idx="69">
                  <c:v>22.343965268387496</c:v>
                </c:pt>
                <c:pt idx="70">
                  <c:v>22.927900919182978</c:v>
                </c:pt>
                <c:pt idx="71">
                  <c:v>23.518522284845023</c:v>
                </c:pt>
                <c:pt idx="72">
                  <c:v>24.115810497652983</c:v>
                </c:pt>
                <c:pt idx="73">
                  <c:v>24.719747004934124</c:v>
                </c:pt>
                <c:pt idx="74">
                  <c:v>25.330313559551183</c:v>
                </c:pt>
                <c:pt idx="75">
                  <c:v>25.947492210802078</c:v>
                </c:pt>
                <c:pt idx="76">
                  <c:v>26.571265295708454</c:v>
                </c:pt>
                <c:pt idx="77">
                  <c:v>27.201615430671986</c:v>
                </c:pt>
                <c:pt idx="78">
                  <c:v>27.838525503477836</c:v>
                </c:pt>
                <c:pt idx="79">
                  <c:v>28.481978665626812</c:v>
                </c:pt>
                <c:pt idx="80">
                  <c:v>29.131958324978751</c:v>
                </c:pt>
                <c:pt idx="81">
                  <c:v>29.78844813869058</c:v>
                </c:pt>
                <c:pt idx="82">
                  <c:v>30.451432006433901</c:v>
                </c:pt>
                <c:pt idx="83">
                  <c:v>31.120894063877749</c:v>
                </c:pt>
                <c:pt idx="84">
                  <c:v>31.796818676422905</c:v>
                </c:pt>
                <c:pt idx="85">
                  <c:v>32.479190433175376</c:v>
                </c:pt>
                <c:pt idx="86">
                  <c:v>33.167994141147247</c:v>
                </c:pt>
                <c:pt idx="87">
                  <c:v>33.86321481967336</c:v>
                </c:pt>
                <c:pt idx="88">
                  <c:v>34.564837695034008</c:v>
                </c:pt>
                <c:pt idx="89">
                  <c:v>35.272848195273262</c:v>
                </c:pt>
                <c:pt idx="90">
                  <c:v>35.98723194520398</c:v>
                </c:pt>
                <c:pt idx="91">
                  <c:v>36.707974761590712</c:v>
                </c:pt>
                <c:pt idx="92">
                  <c:v>37.435062648502075</c:v>
                </c:pt>
                <c:pt idx="93">
                  <c:v>38.168481792825375</c:v>
                </c:pt>
                <c:pt idx="94">
                  <c:v>38.908218559935428</c:v>
                </c:pt>
                <c:pt idx="95">
                  <c:v>39.654259489511226</c:v>
                </c:pt>
                <c:pt idx="96">
                  <c:v>40.406591291493719</c:v>
                </c:pt>
                <c:pt idx="97">
                  <c:v>41.165200842178479</c:v>
                </c:pt>
                <c:pt idx="98">
                  <c:v>41.930075180437477</c:v>
                </c:pt>
                <c:pt idx="99">
                  <c:v>42.701201504064436</c:v>
                </c:pt>
                <c:pt idx="100">
                  <c:v>43.478567166238321</c:v>
                </c:pt>
                <c:pt idx="101">
                  <c:v>44.262159672100388</c:v>
                </c:pt>
                <c:pt idx="102">
                  <c:v>45.051966675439701</c:v>
                </c:pt>
                <c:pt idx="103">
                  <c:v>45.847975975482697</c:v>
                </c:pt>
                <c:pt idx="104">
                  <c:v>46.650175513782763</c:v>
                </c:pt>
                <c:pt idx="105">
                  <c:v>47.458553371205596</c:v>
                </c:pt>
                <c:pt idx="106">
                  <c:v>48.273097765006575</c:v>
                </c:pt>
                <c:pt idx="107">
                  <c:v>49.093797045996375</c:v>
                </c:pt>
                <c:pt idx="108">
                  <c:v>49.920639695791586</c:v>
                </c:pt>
                <c:pt idx="109">
                  <c:v>50.753614324146874</c:v>
                </c:pt>
                <c:pt idx="110">
                  <c:v>51.592709666365465</c:v>
                </c:pt>
                <c:pt idx="111">
                  <c:v>52.437914580785169</c:v>
                </c:pt>
                <c:pt idx="112">
                  <c:v>53.289218046336877</c:v>
                </c:pt>
                <c:pt idx="113">
                  <c:v>54.146609160173028</c:v>
                </c:pt>
                <c:pt idx="114">
                  <c:v>55.010077135363119</c:v>
                </c:pt>
                <c:pt idx="115">
                  <c:v>55.879611298654183</c:v>
                </c:pt>
                <c:pt idx="116">
                  <c:v>56.755201088293489</c:v>
                </c:pt>
                <c:pt idx="117">
                  <c:v>57.636836051911551</c:v>
                </c:pt>
                <c:pt idx="118">
                  <c:v>58.524505844462865</c:v>
                </c:pt>
                <c:pt idx="119">
                  <c:v>59.418200226222822</c:v>
                </c:pt>
                <c:pt idx="120">
                  <c:v>60.317909060838382</c:v>
                </c:pt>
                <c:pt idx="121">
                  <c:v>61.223622313430766</c:v>
                </c:pt>
                <c:pt idx="122">
                  <c:v>62.13533004874855</c:v>
                </c:pt>
                <c:pt idx="123">
                  <c:v>63.053022429369015</c:v>
                </c:pt>
                <c:pt idx="124">
                  <c:v>63.97668971394662</c:v>
                </c:pt>
                <c:pt idx="125">
                  <c:v>64.906322255506439</c:v>
                </c:pt>
                <c:pt idx="126">
                  <c:v>65.841910499781619</c:v>
                </c:pt>
                <c:pt idx="127">
                  <c:v>66.783444983592744</c:v>
                </c:pt>
                <c:pt idx="128">
                  <c:v>67.73091633326861</c:v>
                </c:pt>
                <c:pt idx="129">
                  <c:v>68.684315263105844</c:v>
                </c:pt>
                <c:pt idx="130">
                  <c:v>69.64363257386745</c:v>
                </c:pt>
                <c:pt idx="131">
                  <c:v>70.608859151317859</c:v>
                </c:pt>
                <c:pt idx="132">
                  <c:v>71.579985964794005</c:v>
                </c:pt>
                <c:pt idx="133">
                  <c:v>72.557004065811114</c:v>
                </c:pt>
                <c:pt idx="134">
                  <c:v>73.539904586701923</c:v>
                </c:pt>
                <c:pt idx="135">
                  <c:v>74.528678739288637</c:v>
                </c:pt>
                <c:pt idx="136">
                  <c:v>75.52331781358609</c:v>
                </c:pt>
                <c:pt idx="137">
                  <c:v>76.523813176535782</c:v>
                </c:pt>
                <c:pt idx="138">
                  <c:v>77.530156270769368</c:v>
                </c:pt>
                <c:pt idx="139">
                  <c:v>78.542338613400744</c:v>
                </c:pt>
                <c:pt idx="140">
                  <c:v>79.560351794846198</c:v>
                </c:pt>
                <c:pt idx="141">
                  <c:v>80.584187477671264</c:v>
                </c:pt>
                <c:pt idx="142">
                  <c:v>81.613837395464103</c:v>
                </c:pt>
                <c:pt idx="143">
                  <c:v>82.64929335173403</c:v>
                </c:pt>
                <c:pt idx="144">
                  <c:v>83.690547218834894</c:v>
                </c:pt>
                <c:pt idx="145">
                  <c:v>84.737590936912099</c:v>
                </c:pt>
                <c:pt idx="146">
                  <c:v>85.790416512873392</c:v>
                </c:pt>
                <c:pt idx="147">
                  <c:v>86.84901601938185</c:v>
                </c:pt>
                <c:pt idx="148">
                  <c:v>87.91338159387081</c:v>
                </c:pt>
                <c:pt idx="149">
                  <c:v>88.98350543758032</c:v>
                </c:pt>
                <c:pt idx="150">
                  <c:v>90.059379814614061</c:v>
                </c:pt>
                <c:pt idx="151">
                  <c:v>91.140997051016754</c:v>
                </c:pt>
                <c:pt idx="152">
                  <c:v>92.228349533870727</c:v>
                </c:pt>
                <c:pt idx="153">
                  <c:v>93.321429710411721</c:v>
                </c:pt>
                <c:pt idx="154">
                  <c:v>94.420230087163333</c:v>
                </c:pt>
                <c:pt idx="155">
                  <c:v>95.524743229089182</c:v>
                </c:pt>
                <c:pt idx="156">
                  <c:v>96.634961758762813</c:v>
                </c:pt>
                <c:pt idx="157">
                  <c:v>97.750878355554562</c:v>
                </c:pt>
                <c:pt idx="158">
                  <c:v>98.872485754834912</c:v>
                </c:pt>
                <c:pt idx="159">
                  <c:v>99.999776747194232</c:v>
                </c:pt>
                <c:pt idx="160">
                  <c:v>101.13274417767806</c:v>
                </c:pt>
                <c:pt idx="161">
                  <c:v>102.27138094503758</c:v>
                </c:pt>
                <c:pt idx="162">
                  <c:v>103.41568000099538</c:v>
                </c:pt>
                <c:pt idx="163">
                  <c:v>104.5656343495254</c:v>
                </c:pt>
                <c:pt idx="164">
                  <c:v>105.7212370461471</c:v>
                </c:pt>
                <c:pt idx="165">
                  <c:v>106.88248119723347</c:v>
                </c:pt>
                <c:pt idx="166">
                  <c:v>108.04935995933248</c:v>
                </c:pt>
                <c:pt idx="167">
                  <c:v>109.22186653850156</c:v>
                </c:pt>
                <c:pt idx="168">
                  <c:v>110.39999418965483</c:v>
                </c:pt>
                <c:pt idx="169">
                  <c:v>111.5837362159228</c:v>
                </c:pt>
                <c:pt idx="170">
                  <c:v>112.77308596802432</c:v>
                </c:pt>
                <c:pt idx="171">
                  <c:v>113.96803684365015</c:v>
                </c:pt>
                <c:pt idx="172">
                  <c:v>115.16858228685827</c:v>
                </c:pt>
                <c:pt idx="173">
                  <c:v>116.37471578748021</c:v>
                </c:pt>
                <c:pt idx="174">
                  <c:v>117.58643088053874</c:v>
                </c:pt>
                <c:pt idx="175">
                  <c:v>118.80372114567584</c:v>
                </c:pt>
                <c:pt idx="176">
                  <c:v>120.02658020659143</c:v>
                </c:pt>
                <c:pt idx="177">
                  <c:v>121.25500173049231</c:v>
                </c:pt>
                <c:pt idx="178">
                  <c:v>122.48897942755087</c:v>
                </c:pt>
                <c:pt idx="179">
                  <c:v>123.72850705037379</c:v>
                </c:pt>
                <c:pt idx="180">
                  <c:v>124.97357839348001</c:v>
                </c:pt>
                <c:pt idx="181">
                  <c:v>126.22418729278816</c:v>
                </c:pt>
                <c:pt idx="182">
                  <c:v>127.48032762511302</c:v>
                </c:pt>
                <c:pt idx="183">
                  <c:v>128.74199330767067</c:v>
                </c:pt>
                <c:pt idx="184">
                  <c:v>130.00917829759265</c:v>
                </c:pt>
                <c:pt idx="185">
                  <c:v>131.28187659144825</c:v>
                </c:pt>
                <c:pt idx="186">
                  <c:v>132.56008222477513</c:v>
                </c:pt>
                <c:pt idx="187">
                  <c:v>133.84378927161822</c:v>
                </c:pt>
                <c:pt idx="188">
                  <c:v>135.13299184407632</c:v>
                </c:pt>
                <c:pt idx="189">
                  <c:v>136.42768409185646</c:v>
                </c:pt>
                <c:pt idx="190">
                  <c:v>137.72786020183582</c:v>
                </c:pt>
                <c:pt idx="191">
                  <c:v>139.03351439763114</c:v>
                </c:pt>
                <c:pt idx="192">
                  <c:v>140.34464093917509</c:v>
                </c:pt>
                <c:pt idx="193">
                  <c:v>141.66123412229993</c:v>
                </c:pt>
                <c:pt idx="194">
                  <c:v>142.9832882783281</c:v>
                </c:pt>
                <c:pt idx="195">
                  <c:v>144.31079777366946</c:v>
                </c:pt>
                <c:pt idx="196">
                  <c:v>145.64375700942506</c:v>
                </c:pt>
                <c:pt idx="197">
                  <c:v>146.98216042099753</c:v>
                </c:pt>
                <c:pt idx="198">
                  <c:v>148.3260024777079</c:v>
                </c:pt>
                <c:pt idx="199">
                  <c:v>149.67527768241825</c:v>
                </c:pt>
                <c:pt idx="200">
                  <c:v>151.02998057116091</c:v>
                </c:pt>
                <c:pt idx="201">
                  <c:v>152.39010571277305</c:v>
                </c:pt>
                <c:pt idx="202">
                  <c:v>153.75564770853768</c:v>
                </c:pt>
                <c:pt idx="203">
                  <c:v>155.12660119182988</c:v>
                </c:pt>
                <c:pt idx="204">
                  <c:v>156.50296082776893</c:v>
                </c:pt>
                <c:pt idx="205">
                  <c:v>157.88472131287551</c:v>
                </c:pt>
                <c:pt idx="206">
                  <c:v>159.27187737473474</c:v>
                </c:pt>
                <c:pt idx="207">
                  <c:v>160.66442377166405</c:v>
                </c:pt>
                <c:pt idx="208">
                  <c:v>162.06235529238648</c:v>
                </c:pt>
                <c:pt idx="209">
                  <c:v>163.46566675570872</c:v>
                </c:pt>
                <c:pt idx="210">
                  <c:v>164.8743530102044</c:v>
                </c:pt>
                <c:pt idx="211">
                  <c:v>166.28840893390196</c:v>
                </c:pt>
                <c:pt idx="212">
                  <c:v>167.70782943397742</c:v>
                </c:pt>
                <c:pt idx="213">
                  <c:v>169.1326094464516</c:v>
                </c:pt>
                <c:pt idx="214">
                  <c:v>170.56274393589217</c:v>
                </c:pt>
                <c:pt idx="215">
                  <c:v>171.99822789511984</c:v>
                </c:pt>
                <c:pt idx="216">
                  <c:v>173.43905634491924</c:v>
                </c:pt>
                <c:pt idx="217">
                  <c:v>174.88522433375368</c:v>
                </c:pt>
                <c:pt idx="218">
                  <c:v>176.33672693748477</c:v>
                </c:pt>
                <c:pt idx="219">
                  <c:v>177.79355925909536</c:v>
                </c:pt>
                <c:pt idx="220">
                  <c:v>179.25571642841717</c:v>
                </c:pt>
                <c:pt idx="221">
                  <c:v>180.72319360186199</c:v>
                </c:pt>
                <c:pt idx="222">
                  <c:v>182.19598596215712</c:v>
                </c:pt>
                <c:pt idx="223">
                  <c:v>183.67408871808419</c:v>
                </c:pt>
                <c:pt idx="224">
                  <c:v>185.15749710422219</c:v>
                </c:pt>
                <c:pt idx="225">
                  <c:v>186.64620638069374</c:v>
                </c:pt>
                <c:pt idx="226">
                  <c:v>188.14021183291541</c:v>
                </c:pt>
                <c:pt idx="227">
                  <c:v>189.63950877135127</c:v>
                </c:pt>
                <c:pt idx="228">
                  <c:v>191.14409253126993</c:v>
                </c:pt>
                <c:pt idx="229">
                  <c:v>192.65395847250508</c:v>
                </c:pt>
                <c:pt idx="230">
                  <c:v>194.16910197921945</c:v>
                </c:pt>
                <c:pt idx="231">
                  <c:v>195.68951845967192</c:v>
                </c:pt>
                <c:pt idx="232">
                  <c:v>197.21520334598782</c:v>
                </c:pt>
                <c:pt idx="233">
                  <c:v>198.74615209393261</c:v>
                </c:pt>
                <c:pt idx="234">
                  <c:v>200.28236018268845</c:v>
                </c:pt>
                <c:pt idx="235">
                  <c:v>201.823823114634</c:v>
                </c:pt>
                <c:pt idx="236">
                  <c:v>203.37053641512705</c:v>
                </c:pt>
                <c:pt idx="237">
                  <c:v>204.92249563229035</c:v>
                </c:pt>
                <c:pt idx="238">
                  <c:v>206.47969633679992</c:v>
                </c:pt>
                <c:pt idx="239">
                  <c:v>208.0421341216767</c:v>
                </c:pt>
                <c:pt idx="240">
                  <c:v>209.60980460208063</c:v>
                </c:pt>
                <c:pt idx="241">
                  <c:v>211.1827034151076</c:v>
                </c:pt>
                <c:pt idx="242">
                  <c:v>212.76082621958915</c:v>
                </c:pt>
                <c:pt idx="243">
                  <c:v>214.34416869589475</c:v>
                </c:pt>
                <c:pt idx="244">
                  <c:v>215.9327265457367</c:v>
                </c:pt>
                <c:pt idx="245">
                  <c:v>217.52649549197756</c:v>
                </c:pt>
                <c:pt idx="246">
                  <c:v>219.12547127844013</c:v>
                </c:pt>
                <c:pt idx="247">
                  <c:v>220.72964966972</c:v>
                </c:pt>
                <c:pt idx="248">
                  <c:v>222.33902645100034</c:v>
                </c:pt>
                <c:pt idx="249">
                  <c:v>223.95359742786908</c:v>
                </c:pt>
                <c:pt idx="250">
                  <c:v>225.57335842613878</c:v>
                </c:pt>
                <c:pt idx="251">
                  <c:v>227.19830529166836</c:v>
                </c:pt>
                <c:pt idx="252">
                  <c:v>228.82843389018737</c:v>
                </c:pt>
                <c:pt idx="253">
                  <c:v>230.46374010712248</c:v>
                </c:pt>
                <c:pt idx="254">
                  <c:v>232.10421984742598</c:v>
                </c:pt>
                <c:pt idx="255">
                  <c:v>233.2996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3-4A8B-A117-43219AF8EA1B}"/>
            </c:ext>
          </c:extLst>
        </c:ser>
        <c:ser>
          <c:idx val="2"/>
          <c:order val="2"/>
          <c:tx>
            <c:strRef>
              <c:f>'Gamma 1.8  6500K'!$E$16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1.8 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1.8  6500K'!$E$17:$E$272</c:f>
              <c:numCache>
                <c:formatCode>0.00_ </c:formatCode>
                <c:ptCount val="256"/>
                <c:pt idx="0">
                  <c:v>1.1574058992276871E-3</c:v>
                </c:pt>
                <c:pt idx="1">
                  <c:v>1.8467567067634073E-2</c:v>
                </c:pt>
                <c:pt idx="2">
                  <c:v>5.2422352698197665E-2</c:v>
                </c:pt>
                <c:pt idx="3">
                  <c:v>0.10104360058201162</c:v>
                </c:pt>
                <c:pt idx="4">
                  <c:v>0.16327077101599471</c:v>
                </c:pt>
                <c:pt idx="5">
                  <c:v>0.23838713661094249</c:v>
                </c:pt>
                <c:pt idx="6">
                  <c:v>0.32585715143669924</c:v>
                </c:pt>
                <c:pt idx="7">
                  <c:v>0.42525659419679918</c:v>
                </c:pt>
                <c:pt idx="8">
                  <c:v>0.53623622043900232</c:v>
                </c:pt>
                <c:pt idx="9">
                  <c:v>0.65850050488872824</c:v>
                </c:pt>
                <c:pt idx="10">
                  <c:v>0.79179417328765456</c:v>
                </c:pt>
                <c:pt idx="11">
                  <c:v>0.93589315408047702</c:v>
                </c:pt>
                <c:pt idx="12">
                  <c:v>1.0905982198115476</c:v>
                </c:pt>
                <c:pt idx="13">
                  <c:v>1.2557303564080309</c:v>
                </c:pt>
                <c:pt idx="14">
                  <c:v>1.4311272915087208</c:v>
                </c:pt>
                <c:pt idx="15">
                  <c:v>1.6166408282659137</c:v>
                </c:pt>
                <c:pt idx="16">
                  <c:v>1.8121347556778022</c:v>
                </c:pt>
                <c:pt idx="17">
                  <c:v>2.0174831820394159</c:v>
                </c:pt>
                <c:pt idx="18">
                  <c:v>2.2325691856698753</c:v>
                </c:pt>
                <c:pt idx="19">
                  <c:v>2.4572837080339025</c:v>
                </c:pt>
                <c:pt idx="20">
                  <c:v>2.69152463510631</c:v>
                </c:pt>
                <c:pt idx="21">
                  <c:v>2.9351960270580078</c:v>
                </c:pt>
                <c:pt idx="22">
                  <c:v>3.1882074663256819</c:v>
                </c:pt>
                <c:pt idx="23">
                  <c:v>3.4504735012693004</c:v>
                </c:pt>
                <c:pt idx="24">
                  <c:v>3.7219131678203401</c:v>
                </c:pt>
                <c:pt idx="25">
                  <c:v>4.0024495753676499</c:v>
                </c:pt>
                <c:pt idx="26">
                  <c:v>4.2920095460105996</c:v>
                </c:pt>
                <c:pt idx="27">
                  <c:v>4.5905232984992397</c:v>
                </c:pt>
                <c:pt idx="28">
                  <c:v>4.8979241698646163</c:v>
                </c:pt>
                <c:pt idx="29">
                  <c:v>5.2141483690502701</c:v>
                </c:pt>
                <c:pt idx="30">
                  <c:v>5.5391347578826675</c:v>
                </c:pt>
                <c:pt idx="31">
                  <c:v>5.8728246555311978</c:v>
                </c:pt>
                <c:pt idx="32">
                  <c:v>6.2151616632578488</c:v>
                </c:pt>
                <c:pt idx="33">
                  <c:v>6.5660915067794585</c:v>
                </c:pt>
                <c:pt idx="34">
                  <c:v>6.9255618939897161</c:v>
                </c:pt>
                <c:pt idx="35">
                  <c:v>7.2935223861341125</c:v>
                </c:pt>
                <c:pt idx="36">
                  <c:v>7.6699242808160868</c:v>
                </c:pt>
                <c:pt idx="37">
                  <c:v>8.0547205054475874</c:v>
                </c:pt>
                <c:pt idx="38">
                  <c:v>8.4478655199534778</c:v>
                </c:pt>
                <c:pt idx="39">
                  <c:v>8.8493152277024336</c:v>
                </c:pt>
                <c:pt idx="40">
                  <c:v>9.2590268937749567</c:v>
                </c:pt>
                <c:pt idx="41">
                  <c:v>9.6769590697948935</c:v>
                </c:pt>
                <c:pt idx="42">
                  <c:v>10.103071524649565</c:v>
                </c:pt>
                <c:pt idx="43">
                  <c:v>10.537325180507398</c:v>
                </c:pt>
                <c:pt idx="44">
                  <c:v>10.979682053613791</c:v>
                </c:pt>
                <c:pt idx="45">
                  <c:v>11.430105199407404</c:v>
                </c:pt>
                <c:pt idx="46">
                  <c:v>11.888558661552365</c:v>
                </c:pt>
                <c:pt idx="47">
                  <c:v>12.355007424527477</c:v>
                </c:pt>
                <c:pt idx="48">
                  <c:v>12.829417369453703</c:v>
                </c:pt>
                <c:pt idx="49">
                  <c:v>13.311755232875527</c:v>
                </c:pt>
                <c:pt idx="50">
                  <c:v>13.801988568242303</c:v>
                </c:pt>
                <c:pt idx="51">
                  <c:v>14.300085709862058</c:v>
                </c:pt>
                <c:pt idx="52">
                  <c:v>14.806015739123534</c:v>
                </c:pt>
                <c:pt idx="53">
                  <c:v>15.319748452802724</c:v>
                </c:pt>
                <c:pt idx="54">
                  <c:v>15.841254333288276</c:v>
                </c:pt>
                <c:pt idx="55">
                  <c:v>16.370504520576102</c:v>
                </c:pt>
                <c:pt idx="56">
                  <c:v>16.907470785897615</c:v>
                </c:pt>
                <c:pt idx="57">
                  <c:v>17.452125506858962</c:v>
                </c:pt>
                <c:pt idx="58">
                  <c:v>18.004441643979376</c:v>
                </c:pt>
                <c:pt idx="59">
                  <c:v>18.564392718527227</c:v>
                </c:pt>
                <c:pt idx="60">
                  <c:v>19.131952791561165</c:v>
                </c:pt>
                <c:pt idx="61">
                  <c:v>19.707096444091707</c:v>
                </c:pt>
                <c:pt idx="62">
                  <c:v>20.289798758285976</c:v>
                </c:pt>
                <c:pt idx="63">
                  <c:v>20.880035299644742</c:v>
                </c:pt>
                <c:pt idx="64">
                  <c:v>21.477782100086927</c:v>
                </c:pt>
                <c:pt idx="65">
                  <c:v>22.083015641881573</c:v>
                </c:pt>
                <c:pt idx="66">
                  <c:v>22.69571284237276</c:v>
                </c:pt>
                <c:pt idx="67">
                  <c:v>23.315851039446692</c:v>
                </c:pt>
                <c:pt idx="68">
                  <c:v>23.943407977694253</c:v>
                </c:pt>
                <c:pt idx="69">
                  <c:v>24.578361795226247</c:v>
                </c:pt>
                <c:pt idx="70">
                  <c:v>25.220691011101277</c:v>
                </c:pt>
                <c:pt idx="71">
                  <c:v>25.870374513329526</c:v>
                </c:pt>
                <c:pt idx="72">
                  <c:v>26.527391547418283</c:v>
                </c:pt>
                <c:pt idx="73">
                  <c:v>27.191721705427536</c:v>
                </c:pt>
                <c:pt idx="74">
                  <c:v>27.8633449155063</c:v>
                </c:pt>
                <c:pt idx="75">
                  <c:v>28.542241431882285</c:v>
                </c:pt>
                <c:pt idx="76">
                  <c:v>29.228391825279299</c:v>
                </c:pt>
                <c:pt idx="77">
                  <c:v>29.921776973739185</c:v>
                </c:pt>
                <c:pt idx="78">
                  <c:v>30.622378053825621</c:v>
                </c:pt>
                <c:pt idx="79">
                  <c:v>31.330176532189494</c:v>
                </c:pt>
                <c:pt idx="80">
                  <c:v>32.045154157476624</c:v>
                </c:pt>
                <c:pt idx="81">
                  <c:v>32.767292952559636</c:v>
                </c:pt>
                <c:pt idx="82">
                  <c:v>33.496575207077292</c:v>
                </c:pt>
                <c:pt idx="83">
                  <c:v>34.232983470265523</c:v>
                </c:pt>
                <c:pt idx="84">
                  <c:v>34.976500544065196</c:v>
                </c:pt>
                <c:pt idx="85">
                  <c:v>35.727109476492913</c:v>
                </c:pt>
                <c:pt idx="86">
                  <c:v>36.484793555261973</c:v>
                </c:pt>
                <c:pt idx="87">
                  <c:v>37.249536301640696</c:v>
                </c:pt>
                <c:pt idx="88">
                  <c:v>38.021321464537408</c:v>
                </c:pt>
                <c:pt idx="89">
                  <c:v>38.800133014800586</c:v>
                </c:pt>
                <c:pt idx="90">
                  <c:v>39.585955139724376</c:v>
                </c:pt>
                <c:pt idx="91">
                  <c:v>40.378772237749786</c:v>
                </c:pt>
                <c:pt idx="92">
                  <c:v>41.178568913352279</c:v>
                </c:pt>
                <c:pt idx="93">
                  <c:v>41.985329972107913</c:v>
                </c:pt>
                <c:pt idx="94">
                  <c:v>42.799040415928971</c:v>
                </c:pt>
                <c:pt idx="95">
                  <c:v>43.619685438462348</c:v>
                </c:pt>
                <c:pt idx="96">
                  <c:v>44.447250420643087</c:v>
                </c:pt>
                <c:pt idx="97">
                  <c:v>45.281720926396325</c:v>
                </c:pt>
                <c:pt idx="98">
                  <c:v>46.123082698481227</c:v>
                </c:pt>
                <c:pt idx="99">
                  <c:v>46.971321654470877</c:v>
                </c:pt>
                <c:pt idx="100">
                  <c:v>47.826423882862152</c:v>
                </c:pt>
                <c:pt idx="101">
                  <c:v>48.688375639310429</c:v>
                </c:pt>
                <c:pt idx="102">
                  <c:v>49.557163342983671</c:v>
                </c:pt>
                <c:pt idx="103">
                  <c:v>50.432773573030964</c:v>
                </c:pt>
                <c:pt idx="104">
                  <c:v>51.31519306516104</c:v>
                </c:pt>
                <c:pt idx="105">
                  <c:v>52.204408708326156</c:v>
                </c:pt>
                <c:pt idx="106">
                  <c:v>53.100407541507231</c:v>
                </c:pt>
                <c:pt idx="107">
                  <c:v>54.003176750596012</c:v>
                </c:pt>
                <c:pt idx="108">
                  <c:v>54.912703665370742</c:v>
                </c:pt>
                <c:pt idx="109">
                  <c:v>55.828975756561562</c:v>
                </c:pt>
                <c:pt idx="110">
                  <c:v>56.751980633002013</c:v>
                </c:pt>
                <c:pt idx="111">
                  <c:v>57.681706038863688</c:v>
                </c:pt>
                <c:pt idx="112">
                  <c:v>58.618139850970564</c:v>
                </c:pt>
                <c:pt idx="113">
                  <c:v>59.561270076190333</c:v>
                </c:pt>
                <c:pt idx="114">
                  <c:v>60.511084848899429</c:v>
                </c:pt>
                <c:pt idx="115">
                  <c:v>61.467572428519603</c:v>
                </c:pt>
                <c:pt idx="116">
                  <c:v>62.430721197122836</c:v>
                </c:pt>
                <c:pt idx="117">
                  <c:v>63.400519657102706</c:v>
                </c:pt>
                <c:pt idx="118">
                  <c:v>64.376956428909153</c:v>
                </c:pt>
                <c:pt idx="119">
                  <c:v>65.360020248845103</c:v>
                </c:pt>
                <c:pt idx="120">
                  <c:v>66.349699966922216</c:v>
                </c:pt>
                <c:pt idx="121">
                  <c:v>67.345984544773842</c:v>
                </c:pt>
                <c:pt idx="122">
                  <c:v>68.348863053623404</c:v>
                </c:pt>
                <c:pt idx="123">
                  <c:v>69.358324672305912</c:v>
                </c:pt>
                <c:pt idx="124">
                  <c:v>70.374358685341278</c:v>
                </c:pt>
                <c:pt idx="125">
                  <c:v>71.39695448105708</c:v>
                </c:pt>
                <c:pt idx="126">
                  <c:v>72.426101549759778</c:v>
                </c:pt>
                <c:pt idx="127">
                  <c:v>73.461789481952025</c:v>
                </c:pt>
                <c:pt idx="128">
                  <c:v>74.504007966595466</c:v>
                </c:pt>
                <c:pt idx="129">
                  <c:v>75.552746789416432</c:v>
                </c:pt>
                <c:pt idx="130">
                  <c:v>76.6079958312542</c:v>
                </c:pt>
                <c:pt idx="131">
                  <c:v>77.66974506644965</c:v>
                </c:pt>
                <c:pt idx="132">
                  <c:v>78.737984561273407</c:v>
                </c:pt>
                <c:pt idx="133">
                  <c:v>79.812704472392227</c:v>
                </c:pt>
                <c:pt idx="134">
                  <c:v>80.893895045372119</c:v>
                </c:pt>
                <c:pt idx="135">
                  <c:v>81.981546613217503</c:v>
                </c:pt>
                <c:pt idx="136">
                  <c:v>83.075649594944693</c:v>
                </c:pt>
                <c:pt idx="137">
                  <c:v>84.17619449418936</c:v>
                </c:pt>
                <c:pt idx="138">
                  <c:v>85.283171897846302</c:v>
                </c:pt>
                <c:pt idx="139">
                  <c:v>86.396572474740822</c:v>
                </c:pt>
                <c:pt idx="140">
                  <c:v>87.516386974330814</c:v>
                </c:pt>
                <c:pt idx="141">
                  <c:v>88.642606225438385</c:v>
                </c:pt>
                <c:pt idx="142">
                  <c:v>89.775221135010511</c:v>
                </c:pt>
                <c:pt idx="143">
                  <c:v>90.914222686907436</c:v>
                </c:pt>
                <c:pt idx="144">
                  <c:v>92.05960194071838</c:v>
                </c:pt>
                <c:pt idx="145">
                  <c:v>93.211350030603313</c:v>
                </c:pt>
                <c:pt idx="146">
                  <c:v>94.369458164160733</c:v>
                </c:pt>
                <c:pt idx="147">
                  <c:v>95.533917621320029</c:v>
                </c:pt>
                <c:pt idx="148">
                  <c:v>96.704719753257891</c:v>
                </c:pt>
                <c:pt idx="149">
                  <c:v>97.881855981338347</c:v>
                </c:pt>
                <c:pt idx="150">
                  <c:v>99.065317796075462</c:v>
                </c:pt>
                <c:pt idx="151">
                  <c:v>100.25509675611843</c:v>
                </c:pt>
                <c:pt idx="152">
                  <c:v>101.45118448725781</c:v>
                </c:pt>
                <c:pt idx="153">
                  <c:v>102.65357268145289</c:v>
                </c:pt>
                <c:pt idx="154">
                  <c:v>103.86225309587967</c:v>
                </c:pt>
                <c:pt idx="155">
                  <c:v>105.0772175519981</c:v>
                </c:pt>
                <c:pt idx="156">
                  <c:v>106.29845793463909</c:v>
                </c:pt>
                <c:pt idx="157">
                  <c:v>107.52596619111002</c:v>
                </c:pt>
                <c:pt idx="158">
                  <c:v>108.75973433031841</c:v>
                </c:pt>
                <c:pt idx="159">
                  <c:v>109.99975442191365</c:v>
                </c:pt>
                <c:pt idx="160">
                  <c:v>111.24601859544588</c:v>
                </c:pt>
                <c:pt idx="161">
                  <c:v>112.49851903954134</c:v>
                </c:pt>
                <c:pt idx="162">
                  <c:v>113.75724800109492</c:v>
                </c:pt>
                <c:pt idx="163">
                  <c:v>115.02219778447794</c:v>
                </c:pt>
                <c:pt idx="164">
                  <c:v>116.29336075076181</c:v>
                </c:pt>
                <c:pt idx="165">
                  <c:v>117.57072931695683</c:v>
                </c:pt>
                <c:pt idx="166">
                  <c:v>118.85429595526573</c:v>
                </c:pt>
                <c:pt idx="167">
                  <c:v>120.14405319235172</c:v>
                </c:pt>
                <c:pt idx="168">
                  <c:v>121.43999360862031</c:v>
                </c:pt>
                <c:pt idx="169">
                  <c:v>122.74210983751507</c:v>
                </c:pt>
                <c:pt idx="170">
                  <c:v>124.05039456482675</c:v>
                </c:pt>
                <c:pt idx="171">
                  <c:v>125.36484052801516</c:v>
                </c:pt>
                <c:pt idx="172">
                  <c:v>126.68544051554409</c:v>
                </c:pt>
                <c:pt idx="173">
                  <c:v>128.01218736622823</c:v>
                </c:pt>
                <c:pt idx="174">
                  <c:v>129.34507396859263</c:v>
                </c:pt>
                <c:pt idx="175">
                  <c:v>130.68409326024343</c:v>
                </c:pt>
                <c:pt idx="176">
                  <c:v>132.02923822725057</c:v>
                </c:pt>
                <c:pt idx="177">
                  <c:v>133.38050190354153</c:v>
                </c:pt>
                <c:pt idx="178">
                  <c:v>134.73787737030597</c:v>
                </c:pt>
                <c:pt idx="179">
                  <c:v>136.10135775541119</c:v>
                </c:pt>
                <c:pt idx="180">
                  <c:v>137.47093623282802</c:v>
                </c:pt>
                <c:pt idx="181">
                  <c:v>138.84660602206696</c:v>
                </c:pt>
                <c:pt idx="182">
                  <c:v>140.22836038762432</c:v>
                </c:pt>
                <c:pt idx="183">
                  <c:v>141.61619263843772</c:v>
                </c:pt>
                <c:pt idx="184">
                  <c:v>143.01009612735191</c:v>
                </c:pt>
                <c:pt idx="185">
                  <c:v>144.41006425059308</c:v>
                </c:pt>
                <c:pt idx="186">
                  <c:v>145.81609044725263</c:v>
                </c:pt>
                <c:pt idx="187">
                  <c:v>147.22816819878005</c:v>
                </c:pt>
                <c:pt idx="188">
                  <c:v>148.64629102848394</c:v>
                </c:pt>
                <c:pt idx="189">
                  <c:v>150.0704525010421</c:v>
                </c:pt>
                <c:pt idx="190">
                  <c:v>151.50064622201941</c:v>
                </c:pt>
                <c:pt idx="191">
                  <c:v>152.93686583739424</c:v>
                </c:pt>
                <c:pt idx="192">
                  <c:v>154.3791050330926</c:v>
                </c:pt>
                <c:pt idx="193">
                  <c:v>155.82735753452994</c:v>
                </c:pt>
                <c:pt idx="194">
                  <c:v>157.28161710616092</c:v>
                </c:pt>
                <c:pt idx="195">
                  <c:v>158.7418775510364</c:v>
                </c:pt>
                <c:pt idx="196">
                  <c:v>160.20813271036758</c:v>
                </c:pt>
                <c:pt idx="197">
                  <c:v>161.68037646309728</c:v>
                </c:pt>
                <c:pt idx="198">
                  <c:v>163.15860272547869</c:v>
                </c:pt>
                <c:pt idx="199">
                  <c:v>164.64280545066009</c:v>
                </c:pt>
                <c:pt idx="200">
                  <c:v>166.13297862827699</c:v>
                </c:pt>
                <c:pt idx="201">
                  <c:v>167.62911628405035</c:v>
                </c:pt>
                <c:pt idx="202">
                  <c:v>169.13121247939145</c:v>
                </c:pt>
                <c:pt idx="203">
                  <c:v>170.63926131101286</c:v>
                </c:pt>
                <c:pt idx="204">
                  <c:v>172.15325691054582</c:v>
                </c:pt>
                <c:pt idx="205">
                  <c:v>173.67319344416308</c:v>
                </c:pt>
                <c:pt idx="206">
                  <c:v>175.19906511220822</c:v>
                </c:pt>
                <c:pt idx="207">
                  <c:v>176.73086614883044</c:v>
                </c:pt>
                <c:pt idx="208">
                  <c:v>178.26859082162514</c:v>
                </c:pt>
                <c:pt idx="209">
                  <c:v>179.81223343127959</c:v>
                </c:pt>
                <c:pt idx="210">
                  <c:v>181.36178831122484</c:v>
                </c:pt>
                <c:pt idx="211">
                  <c:v>182.91724982729215</c:v>
                </c:pt>
                <c:pt idx="212">
                  <c:v>184.47861237737516</c:v>
                </c:pt>
                <c:pt idx="213">
                  <c:v>186.04587039109674</c:v>
                </c:pt>
                <c:pt idx="214">
                  <c:v>187.61901832948138</c:v>
                </c:pt>
                <c:pt idx="215">
                  <c:v>189.19805068463182</c:v>
                </c:pt>
                <c:pt idx="216">
                  <c:v>190.78296197941117</c:v>
                </c:pt>
                <c:pt idx="217">
                  <c:v>192.37374676712906</c:v>
                </c:pt>
                <c:pt idx="218">
                  <c:v>193.97039963123325</c:v>
                </c:pt>
                <c:pt idx="219">
                  <c:v>195.57291518500489</c:v>
                </c:pt>
                <c:pt idx="220">
                  <c:v>197.1812880712589</c:v>
                </c:pt>
                <c:pt idx="221">
                  <c:v>198.79551296204818</c:v>
                </c:pt>
                <c:pt idx="222">
                  <c:v>200.41558455837284</c:v>
                </c:pt>
                <c:pt idx="223">
                  <c:v>202.0414975898926</c:v>
                </c:pt>
                <c:pt idx="224">
                  <c:v>203.67324681464441</c:v>
                </c:pt>
                <c:pt idx="225">
                  <c:v>205.31082701876312</c:v>
                </c:pt>
                <c:pt idx="226">
                  <c:v>206.95423301620696</c:v>
                </c:pt>
                <c:pt idx="227">
                  <c:v>208.60345964848639</c:v>
                </c:pt>
                <c:pt idx="228">
                  <c:v>210.25850178439691</c:v>
                </c:pt>
                <c:pt idx="229">
                  <c:v>211.9193543197556</c:v>
                </c:pt>
                <c:pt idx="230">
                  <c:v>213.58601217714138</c:v>
                </c:pt>
                <c:pt idx="231">
                  <c:v>215.25847030563909</c:v>
                </c:pt>
                <c:pt idx="232">
                  <c:v>216.9367236805866</c:v>
                </c:pt>
                <c:pt idx="233">
                  <c:v>218.62076730332586</c:v>
                </c:pt>
                <c:pt idx="234">
                  <c:v>220.31059620095729</c:v>
                </c:pt>
                <c:pt idx="235">
                  <c:v>222.00620542609738</c:v>
                </c:pt>
                <c:pt idx="236">
                  <c:v>223.70759005663976</c:v>
                </c:pt>
                <c:pt idx="237">
                  <c:v>225.4147451955194</c:v>
                </c:pt>
                <c:pt idx="238">
                  <c:v>227.12766597047991</c:v>
                </c:pt>
                <c:pt idx="239">
                  <c:v>228.84634753384438</c:v>
                </c:pt>
                <c:pt idx="240">
                  <c:v>230.57078506228868</c:v>
                </c:pt>
                <c:pt idx="241">
                  <c:v>232.30097375661836</c:v>
                </c:pt>
                <c:pt idx="242">
                  <c:v>234.03690884154807</c:v>
                </c:pt>
                <c:pt idx="243">
                  <c:v>235.77858556548424</c:v>
                </c:pt>
                <c:pt idx="244">
                  <c:v>237.52599920031037</c:v>
                </c:pt>
                <c:pt idx="245">
                  <c:v>239.2791450411753</c:v>
                </c:pt>
                <c:pt idx="246">
                  <c:v>241.03801840628415</c:v>
                </c:pt>
                <c:pt idx="247">
                  <c:v>242.802614636692</c:v>
                </c:pt>
                <c:pt idx="248">
                  <c:v>244.57292909610038</c:v>
                </c:pt>
                <c:pt idx="249">
                  <c:v>246.34895717065598</c:v>
                </c:pt>
                <c:pt idx="250">
                  <c:v>248.13069426875268</c:v>
                </c:pt>
                <c:pt idx="251">
                  <c:v>249.9181358208352</c:v>
                </c:pt>
                <c:pt idx="252">
                  <c:v>251.71127727920612</c:v>
                </c:pt>
                <c:pt idx="253">
                  <c:v>253.51011411783472</c:v>
                </c:pt>
                <c:pt idx="254">
                  <c:v>255.31464183216858</c:v>
                </c:pt>
                <c:pt idx="255">
                  <c:v>256.62955999999997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33-4A8B-A117-43219AF8EA1B}"/>
            </c:ext>
          </c:extLst>
        </c:ser>
        <c:ser>
          <c:idx val="3"/>
          <c:order val="3"/>
          <c:tx>
            <c:strRef>
              <c:f>'Gamma 1.8  6500K'!$F$16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1.8 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1.8  6500K'!$F$17:$F$272</c:f>
              <c:numCache>
                <c:formatCode>General</c:formatCode>
                <c:ptCount val="256"/>
                <c:pt idx="0">
                  <c:v>0.27329999999999999</c:v>
                </c:pt>
                <c:pt idx="1">
                  <c:v>0.28839999999999999</c:v>
                </c:pt>
                <c:pt idx="2">
                  <c:v>0.30509999999999998</c:v>
                </c:pt>
                <c:pt idx="3">
                  <c:v>0.3196</c:v>
                </c:pt>
                <c:pt idx="4">
                  <c:v>0.34189999999999998</c:v>
                </c:pt>
                <c:pt idx="5">
                  <c:v>0.39660000000000001</c:v>
                </c:pt>
                <c:pt idx="6">
                  <c:v>0.43740000000000001</c:v>
                </c:pt>
                <c:pt idx="7">
                  <c:v>0.47210000000000002</c:v>
                </c:pt>
                <c:pt idx="8">
                  <c:v>0.59279999999999999</c:v>
                </c:pt>
                <c:pt idx="9">
                  <c:v>0.67030000000000001</c:v>
                </c:pt>
                <c:pt idx="10">
                  <c:v>0.81110000000000004</c:v>
                </c:pt>
                <c:pt idx="11">
                  <c:v>0.91539999999999999</c:v>
                </c:pt>
                <c:pt idx="12">
                  <c:v>1.0839000000000001</c:v>
                </c:pt>
                <c:pt idx="13">
                  <c:v>1.1842999999999999</c:v>
                </c:pt>
                <c:pt idx="14">
                  <c:v>1.3471</c:v>
                </c:pt>
                <c:pt idx="15">
                  <c:v>1.4631000000000001</c:v>
                </c:pt>
                <c:pt idx="16">
                  <c:v>1.6202000000000001</c:v>
                </c:pt>
                <c:pt idx="17">
                  <c:v>1.7625999999999999</c:v>
                </c:pt>
                <c:pt idx="18">
                  <c:v>1.9527000000000001</c:v>
                </c:pt>
                <c:pt idx="19">
                  <c:v>2.1049000000000002</c:v>
                </c:pt>
                <c:pt idx="20">
                  <c:v>2.3370000000000002</c:v>
                </c:pt>
                <c:pt idx="21">
                  <c:v>2.5158</c:v>
                </c:pt>
                <c:pt idx="22">
                  <c:v>2.7437</c:v>
                </c:pt>
                <c:pt idx="23">
                  <c:v>2.9607999999999999</c:v>
                </c:pt>
                <c:pt idx="24">
                  <c:v>3.2456999999999998</c:v>
                </c:pt>
                <c:pt idx="25">
                  <c:v>3.3933</c:v>
                </c:pt>
                <c:pt idx="26">
                  <c:v>3.6873</c:v>
                </c:pt>
                <c:pt idx="27">
                  <c:v>3.9908000000000001</c:v>
                </c:pt>
                <c:pt idx="28">
                  <c:v>4.1765999999999996</c:v>
                </c:pt>
                <c:pt idx="29">
                  <c:v>4.4070999999999998</c:v>
                </c:pt>
                <c:pt idx="30">
                  <c:v>4.7946999999999997</c:v>
                </c:pt>
                <c:pt idx="31">
                  <c:v>5.0945</c:v>
                </c:pt>
                <c:pt idx="32">
                  <c:v>5.3512000000000004</c:v>
                </c:pt>
                <c:pt idx="33">
                  <c:v>5.8048999999999999</c:v>
                </c:pt>
                <c:pt idx="34">
                  <c:v>6.1067999999999998</c:v>
                </c:pt>
                <c:pt idx="35">
                  <c:v>6.4303999999999997</c:v>
                </c:pt>
                <c:pt idx="36">
                  <c:v>6.9061000000000003</c:v>
                </c:pt>
                <c:pt idx="37">
                  <c:v>7.2409999999999997</c:v>
                </c:pt>
                <c:pt idx="38">
                  <c:v>7.5622999999999996</c:v>
                </c:pt>
                <c:pt idx="39">
                  <c:v>7.8249000000000004</c:v>
                </c:pt>
                <c:pt idx="40">
                  <c:v>8.4642999999999997</c:v>
                </c:pt>
                <c:pt idx="41">
                  <c:v>8.7612000000000005</c:v>
                </c:pt>
                <c:pt idx="42">
                  <c:v>9.1738</c:v>
                </c:pt>
                <c:pt idx="43">
                  <c:v>9.5451999999999995</c:v>
                </c:pt>
                <c:pt idx="44">
                  <c:v>10.196300000000001</c:v>
                </c:pt>
                <c:pt idx="45">
                  <c:v>10.5791</c:v>
                </c:pt>
                <c:pt idx="46">
                  <c:v>11.0023</c:v>
                </c:pt>
                <c:pt idx="47">
                  <c:v>11.333299999999999</c:v>
                </c:pt>
                <c:pt idx="48">
                  <c:v>11.800700000000001</c:v>
                </c:pt>
                <c:pt idx="49">
                  <c:v>12.283200000000001</c:v>
                </c:pt>
                <c:pt idx="50">
                  <c:v>12.5997</c:v>
                </c:pt>
                <c:pt idx="51">
                  <c:v>13.1166</c:v>
                </c:pt>
                <c:pt idx="52">
                  <c:v>13.8315</c:v>
                </c:pt>
                <c:pt idx="53">
                  <c:v>14.212999999999999</c:v>
                </c:pt>
                <c:pt idx="54">
                  <c:v>14.780200000000001</c:v>
                </c:pt>
                <c:pt idx="55">
                  <c:v>15.3428</c:v>
                </c:pt>
                <c:pt idx="56">
                  <c:v>15.7232</c:v>
                </c:pt>
                <c:pt idx="57">
                  <c:v>16.270099999999999</c:v>
                </c:pt>
                <c:pt idx="58">
                  <c:v>16.733599999999999</c:v>
                </c:pt>
                <c:pt idx="59">
                  <c:v>17.105799999999999</c:v>
                </c:pt>
                <c:pt idx="60">
                  <c:v>17.6934</c:v>
                </c:pt>
                <c:pt idx="61">
                  <c:v>18.171199999999999</c:v>
                </c:pt>
                <c:pt idx="62">
                  <c:v>18.7759</c:v>
                </c:pt>
                <c:pt idx="63">
                  <c:v>19.228300000000001</c:v>
                </c:pt>
                <c:pt idx="64">
                  <c:v>19.801400000000001</c:v>
                </c:pt>
                <c:pt idx="65">
                  <c:v>20.206800000000001</c:v>
                </c:pt>
                <c:pt idx="66">
                  <c:v>20.696300000000001</c:v>
                </c:pt>
                <c:pt idx="67">
                  <c:v>21.375299999999999</c:v>
                </c:pt>
                <c:pt idx="68">
                  <c:v>21.8262</c:v>
                </c:pt>
                <c:pt idx="69">
                  <c:v>22.4877</c:v>
                </c:pt>
                <c:pt idx="70">
                  <c:v>22.986999999999998</c:v>
                </c:pt>
                <c:pt idx="71">
                  <c:v>23.4819</c:v>
                </c:pt>
                <c:pt idx="72">
                  <c:v>23.6191</c:v>
                </c:pt>
                <c:pt idx="73">
                  <c:v>24.388999999999999</c:v>
                </c:pt>
                <c:pt idx="74">
                  <c:v>24.9358</c:v>
                </c:pt>
                <c:pt idx="75">
                  <c:v>25.456900000000001</c:v>
                </c:pt>
                <c:pt idx="76">
                  <c:v>26.039100000000001</c:v>
                </c:pt>
                <c:pt idx="77">
                  <c:v>26.7867</c:v>
                </c:pt>
                <c:pt idx="78">
                  <c:v>27.325299999999999</c:v>
                </c:pt>
                <c:pt idx="79">
                  <c:v>28.0228</c:v>
                </c:pt>
                <c:pt idx="80">
                  <c:v>28.537600000000001</c:v>
                </c:pt>
                <c:pt idx="81">
                  <c:v>29.1494</c:v>
                </c:pt>
                <c:pt idx="82">
                  <c:v>29.894500000000001</c:v>
                </c:pt>
                <c:pt idx="83">
                  <c:v>30.470400000000001</c:v>
                </c:pt>
                <c:pt idx="84">
                  <c:v>31.220800000000001</c:v>
                </c:pt>
                <c:pt idx="85">
                  <c:v>31.7836</c:v>
                </c:pt>
                <c:pt idx="86">
                  <c:v>32.423000000000002</c:v>
                </c:pt>
                <c:pt idx="87">
                  <c:v>33.204000000000001</c:v>
                </c:pt>
                <c:pt idx="88">
                  <c:v>33.871200000000002</c:v>
                </c:pt>
                <c:pt idx="89">
                  <c:v>34.668300000000002</c:v>
                </c:pt>
                <c:pt idx="90">
                  <c:v>35.3735</c:v>
                </c:pt>
                <c:pt idx="91">
                  <c:v>36.310299999999998</c:v>
                </c:pt>
                <c:pt idx="92">
                  <c:v>37</c:v>
                </c:pt>
                <c:pt idx="93">
                  <c:v>37.909999999999997</c:v>
                </c:pt>
                <c:pt idx="94">
                  <c:v>38.568600000000004</c:v>
                </c:pt>
                <c:pt idx="95">
                  <c:v>39.178899999999999</c:v>
                </c:pt>
                <c:pt idx="96">
                  <c:v>40.046500000000002</c:v>
                </c:pt>
                <c:pt idx="97">
                  <c:v>40.783900000000003</c:v>
                </c:pt>
                <c:pt idx="98">
                  <c:v>41.681800000000003</c:v>
                </c:pt>
                <c:pt idx="99">
                  <c:v>42.566200000000002</c:v>
                </c:pt>
                <c:pt idx="100">
                  <c:v>43.2346</c:v>
                </c:pt>
                <c:pt idx="101">
                  <c:v>44.243600000000001</c:v>
                </c:pt>
                <c:pt idx="102">
                  <c:v>44.944299999999998</c:v>
                </c:pt>
                <c:pt idx="103">
                  <c:v>45.940399999999997</c:v>
                </c:pt>
                <c:pt idx="104">
                  <c:v>46.658499999999997</c:v>
                </c:pt>
                <c:pt idx="105">
                  <c:v>47.429299999999998</c:v>
                </c:pt>
                <c:pt idx="106">
                  <c:v>48.468800000000002</c:v>
                </c:pt>
                <c:pt idx="107">
                  <c:v>49.228499999999997</c:v>
                </c:pt>
                <c:pt idx="108">
                  <c:v>50.2181</c:v>
                </c:pt>
                <c:pt idx="109">
                  <c:v>50.996299999999998</c:v>
                </c:pt>
                <c:pt idx="110">
                  <c:v>52.005499999999998</c:v>
                </c:pt>
                <c:pt idx="111">
                  <c:v>52.785800000000002</c:v>
                </c:pt>
                <c:pt idx="112">
                  <c:v>53.561399999999999</c:v>
                </c:pt>
                <c:pt idx="113">
                  <c:v>54.669600000000003</c:v>
                </c:pt>
                <c:pt idx="114">
                  <c:v>55.5</c:v>
                </c:pt>
                <c:pt idx="115">
                  <c:v>56.546300000000002</c:v>
                </c:pt>
                <c:pt idx="116">
                  <c:v>57.382800000000003</c:v>
                </c:pt>
                <c:pt idx="117">
                  <c:v>58.232300000000002</c:v>
                </c:pt>
                <c:pt idx="118">
                  <c:v>59.413699999999999</c:v>
                </c:pt>
                <c:pt idx="119">
                  <c:v>60.315899999999999</c:v>
                </c:pt>
                <c:pt idx="120">
                  <c:v>61.4955</c:v>
                </c:pt>
                <c:pt idx="121">
                  <c:v>62.001300000000001</c:v>
                </c:pt>
                <c:pt idx="122">
                  <c:v>62.331499999999998</c:v>
                </c:pt>
                <c:pt idx="123">
                  <c:v>63.438499999999998</c:v>
                </c:pt>
                <c:pt idx="124">
                  <c:v>64.344800000000006</c:v>
                </c:pt>
                <c:pt idx="125">
                  <c:v>65.308400000000006</c:v>
                </c:pt>
                <c:pt idx="126">
                  <c:v>66.656999999999996</c:v>
                </c:pt>
                <c:pt idx="127">
                  <c:v>67.611699999999999</c:v>
                </c:pt>
                <c:pt idx="128">
                  <c:v>68.911900000000003</c:v>
                </c:pt>
                <c:pt idx="129">
                  <c:v>69.502799999999993</c:v>
                </c:pt>
                <c:pt idx="130">
                  <c:v>69.795000000000002</c:v>
                </c:pt>
                <c:pt idx="131">
                  <c:v>70.965500000000006</c:v>
                </c:pt>
                <c:pt idx="132">
                  <c:v>71.903099999999995</c:v>
                </c:pt>
                <c:pt idx="133">
                  <c:v>72.929599999999994</c:v>
                </c:pt>
                <c:pt idx="134">
                  <c:v>74.269499999999994</c:v>
                </c:pt>
                <c:pt idx="135">
                  <c:v>75.265699999999995</c:v>
                </c:pt>
                <c:pt idx="136">
                  <c:v>76.277000000000001</c:v>
                </c:pt>
                <c:pt idx="137">
                  <c:v>76.619799999999998</c:v>
                </c:pt>
                <c:pt idx="138">
                  <c:v>77.594300000000004</c:v>
                </c:pt>
                <c:pt idx="139">
                  <c:v>79.009699999999995</c:v>
                </c:pt>
                <c:pt idx="140">
                  <c:v>80.1233</c:v>
                </c:pt>
                <c:pt idx="141">
                  <c:v>81.144900000000007</c:v>
                </c:pt>
                <c:pt idx="142">
                  <c:v>82.500200000000007</c:v>
                </c:pt>
                <c:pt idx="143">
                  <c:v>82.524000000000001</c:v>
                </c:pt>
                <c:pt idx="144">
                  <c:v>83.520099999999999</c:v>
                </c:pt>
                <c:pt idx="145">
                  <c:v>84.804299999999998</c:v>
                </c:pt>
                <c:pt idx="146">
                  <c:v>85.790599999999998</c:v>
                </c:pt>
                <c:pt idx="147">
                  <c:v>86.890600000000006</c:v>
                </c:pt>
                <c:pt idx="148">
                  <c:v>88.379000000000005</c:v>
                </c:pt>
                <c:pt idx="149">
                  <c:v>89.565299999999993</c:v>
                </c:pt>
                <c:pt idx="150">
                  <c:v>89.9482</c:v>
                </c:pt>
                <c:pt idx="151">
                  <c:v>91.1494</c:v>
                </c:pt>
                <c:pt idx="152">
                  <c:v>92.176699999999997</c:v>
                </c:pt>
                <c:pt idx="153">
                  <c:v>93.579099999999997</c:v>
                </c:pt>
                <c:pt idx="154">
                  <c:v>94.666300000000007</c:v>
                </c:pt>
                <c:pt idx="155">
                  <c:v>95.8947</c:v>
                </c:pt>
                <c:pt idx="156">
                  <c:v>95.938900000000004</c:v>
                </c:pt>
                <c:pt idx="157">
                  <c:v>97.427099999999996</c:v>
                </c:pt>
                <c:pt idx="158">
                  <c:v>98.566000000000003</c:v>
                </c:pt>
                <c:pt idx="159">
                  <c:v>100.1139</c:v>
                </c:pt>
                <c:pt idx="160">
                  <c:v>101.22</c:v>
                </c:pt>
                <c:pt idx="161">
                  <c:v>102.2623</c:v>
                </c:pt>
                <c:pt idx="162">
                  <c:v>102.7098</c:v>
                </c:pt>
                <c:pt idx="163">
                  <c:v>103.9478</c:v>
                </c:pt>
                <c:pt idx="164">
                  <c:v>105.1567</c:v>
                </c:pt>
                <c:pt idx="165">
                  <c:v>106.8289</c:v>
                </c:pt>
                <c:pt idx="166">
                  <c:v>107.9044</c:v>
                </c:pt>
                <c:pt idx="167">
                  <c:v>109.4892</c:v>
                </c:pt>
                <c:pt idx="168">
                  <c:v>109.4015</c:v>
                </c:pt>
                <c:pt idx="169">
                  <c:v>110.6403</c:v>
                </c:pt>
                <c:pt idx="170">
                  <c:v>112.32259999999999</c:v>
                </c:pt>
                <c:pt idx="171">
                  <c:v>113.56699999999999</c:v>
                </c:pt>
                <c:pt idx="172">
                  <c:v>114.8006</c:v>
                </c:pt>
                <c:pt idx="173">
                  <c:v>116.426</c:v>
                </c:pt>
                <c:pt idx="174">
                  <c:v>116.8126</c:v>
                </c:pt>
                <c:pt idx="175">
                  <c:v>117.6386</c:v>
                </c:pt>
                <c:pt idx="176">
                  <c:v>119.1837</c:v>
                </c:pt>
                <c:pt idx="177">
                  <c:v>120.50109999999999</c:v>
                </c:pt>
                <c:pt idx="178">
                  <c:v>121.77</c:v>
                </c:pt>
                <c:pt idx="179">
                  <c:v>123.4401</c:v>
                </c:pt>
                <c:pt idx="180">
                  <c:v>123.8122</c:v>
                </c:pt>
                <c:pt idx="181">
                  <c:v>125.03700000000001</c:v>
                </c:pt>
                <c:pt idx="182">
                  <c:v>126.3326</c:v>
                </c:pt>
                <c:pt idx="183">
                  <c:v>127.5575</c:v>
                </c:pt>
                <c:pt idx="184">
                  <c:v>129.20910000000001</c:v>
                </c:pt>
                <c:pt idx="185">
                  <c:v>130.43510000000001</c:v>
                </c:pt>
                <c:pt idx="186">
                  <c:v>130.8776</c:v>
                </c:pt>
                <c:pt idx="187">
                  <c:v>132.17439999999999</c:v>
                </c:pt>
                <c:pt idx="188">
                  <c:v>133.9196</c:v>
                </c:pt>
                <c:pt idx="189">
                  <c:v>134.86359999999999</c:v>
                </c:pt>
                <c:pt idx="190">
                  <c:v>136.6575</c:v>
                </c:pt>
                <c:pt idx="191">
                  <c:v>138.00129999999999</c:v>
                </c:pt>
                <c:pt idx="192">
                  <c:v>138.3947</c:v>
                </c:pt>
                <c:pt idx="193">
                  <c:v>139.75389999999999</c:v>
                </c:pt>
                <c:pt idx="194">
                  <c:v>141.49080000000001</c:v>
                </c:pt>
                <c:pt idx="195">
                  <c:v>142.8852</c:v>
                </c:pt>
                <c:pt idx="196">
                  <c:v>144.26429999999999</c:v>
                </c:pt>
                <c:pt idx="197">
                  <c:v>145.6728</c:v>
                </c:pt>
                <c:pt idx="198">
                  <c:v>146.13550000000001</c:v>
                </c:pt>
                <c:pt idx="199">
                  <c:v>147.49289999999999</c:v>
                </c:pt>
                <c:pt idx="200">
                  <c:v>149.3742</c:v>
                </c:pt>
                <c:pt idx="201">
                  <c:v>150.7748</c:v>
                </c:pt>
                <c:pt idx="202">
                  <c:v>152.67609999999999</c:v>
                </c:pt>
                <c:pt idx="203">
                  <c:v>154.06780000000001</c:v>
                </c:pt>
                <c:pt idx="204">
                  <c:v>155.47659999999999</c:v>
                </c:pt>
                <c:pt idx="205">
                  <c:v>156.8897</c:v>
                </c:pt>
                <c:pt idx="206">
                  <c:v>157.30869999999999</c:v>
                </c:pt>
                <c:pt idx="207">
                  <c:v>158.74539999999999</c:v>
                </c:pt>
                <c:pt idx="208">
                  <c:v>160.66560000000001</c:v>
                </c:pt>
                <c:pt idx="209">
                  <c:v>162.00800000000001</c:v>
                </c:pt>
                <c:pt idx="210">
                  <c:v>163.84620000000001</c:v>
                </c:pt>
                <c:pt idx="211">
                  <c:v>165.30029999999999</c:v>
                </c:pt>
                <c:pt idx="212">
                  <c:v>166.7602</c:v>
                </c:pt>
                <c:pt idx="213">
                  <c:v>168.6448</c:v>
                </c:pt>
                <c:pt idx="214">
                  <c:v>170.5804</c:v>
                </c:pt>
                <c:pt idx="215">
                  <c:v>170.59460000000001</c:v>
                </c:pt>
                <c:pt idx="216">
                  <c:v>172.62219999999999</c:v>
                </c:pt>
                <c:pt idx="217">
                  <c:v>174.08920000000001</c:v>
                </c:pt>
                <c:pt idx="218">
                  <c:v>175.4539</c:v>
                </c:pt>
                <c:pt idx="219">
                  <c:v>177.44759999999999</c:v>
                </c:pt>
                <c:pt idx="220">
                  <c:v>178.95070000000001</c:v>
                </c:pt>
                <c:pt idx="221">
                  <c:v>180.4255</c:v>
                </c:pt>
                <c:pt idx="222">
                  <c:v>182.3347</c:v>
                </c:pt>
                <c:pt idx="223">
                  <c:v>183.79159999999999</c:v>
                </c:pt>
                <c:pt idx="224">
                  <c:v>183.8023</c:v>
                </c:pt>
                <c:pt idx="225">
                  <c:v>185.8415</c:v>
                </c:pt>
                <c:pt idx="226">
                  <c:v>187.4461</c:v>
                </c:pt>
                <c:pt idx="227">
                  <c:v>189.5994</c:v>
                </c:pt>
                <c:pt idx="228">
                  <c:v>191.21520000000001</c:v>
                </c:pt>
                <c:pt idx="229">
                  <c:v>192.84229999999999</c:v>
                </c:pt>
                <c:pt idx="230">
                  <c:v>195.03229999999999</c:v>
                </c:pt>
                <c:pt idx="231">
                  <c:v>196.61060000000001</c:v>
                </c:pt>
                <c:pt idx="232">
                  <c:v>198.64949999999999</c:v>
                </c:pt>
                <c:pt idx="233">
                  <c:v>199.17429999999999</c:v>
                </c:pt>
                <c:pt idx="234">
                  <c:v>200.21559999999999</c:v>
                </c:pt>
                <c:pt idx="235">
                  <c:v>201.79570000000001</c:v>
                </c:pt>
                <c:pt idx="236">
                  <c:v>203.9177</c:v>
                </c:pt>
                <c:pt idx="237">
                  <c:v>205.5463</c:v>
                </c:pt>
                <c:pt idx="238">
                  <c:v>207.2346</c:v>
                </c:pt>
                <c:pt idx="239">
                  <c:v>209.3603</c:v>
                </c:pt>
                <c:pt idx="240">
                  <c:v>209.6985</c:v>
                </c:pt>
                <c:pt idx="241">
                  <c:v>211.0806</c:v>
                </c:pt>
                <c:pt idx="242">
                  <c:v>213.0119</c:v>
                </c:pt>
                <c:pt idx="243">
                  <c:v>214.12559999999999</c:v>
                </c:pt>
                <c:pt idx="244">
                  <c:v>215.64850000000001</c:v>
                </c:pt>
                <c:pt idx="245">
                  <c:v>217.0265</c:v>
                </c:pt>
                <c:pt idx="246">
                  <c:v>218.75550000000001</c:v>
                </c:pt>
                <c:pt idx="247">
                  <c:v>220.72489999999999</c:v>
                </c:pt>
                <c:pt idx="248">
                  <c:v>221.36080000000001</c:v>
                </c:pt>
                <c:pt idx="249">
                  <c:v>223.00579999999999</c:v>
                </c:pt>
                <c:pt idx="250">
                  <c:v>224.63470000000001</c:v>
                </c:pt>
                <c:pt idx="251">
                  <c:v>226.59610000000001</c:v>
                </c:pt>
                <c:pt idx="252">
                  <c:v>228.018</c:v>
                </c:pt>
                <c:pt idx="253">
                  <c:v>229.98670000000001</c:v>
                </c:pt>
                <c:pt idx="254">
                  <c:v>231.32239999999999</c:v>
                </c:pt>
                <c:pt idx="255">
                  <c:v>233.2996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33-4A8B-A117-43219AF8E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940960"/>
        <c:axId val="1631113664"/>
      </c:lineChart>
      <c:catAx>
        <c:axId val="199594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1113664"/>
        <c:crosses val="autoZero"/>
        <c:auto val="1"/>
        <c:lblAlgn val="ctr"/>
        <c:lblOffset val="100"/>
        <c:noMultiLvlLbl val="0"/>
      </c:catAx>
      <c:valAx>
        <c:axId val="163111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59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Gamma2.0_6500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'Gamma 2.0  6500K'!$C$16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2.0 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2.0  6500K'!$C$17:$C$272</c:f>
              <c:numCache>
                <c:formatCode>0.00_ </c:formatCode>
                <c:ptCount val="256"/>
                <c:pt idx="0">
                  <c:v>1.8595376019313494E-4</c:v>
                </c:pt>
                <c:pt idx="1">
                  <c:v>4.9406757039993634E-3</c:v>
                </c:pt>
                <c:pt idx="2">
                  <c:v>1.6114625329466489E-2</c:v>
                </c:pt>
                <c:pt idx="3">
                  <c:v>3.3707802636594515E-2</c:v>
                </c:pt>
                <c:pt idx="4">
                  <c:v>5.7720207625383449E-2</c:v>
                </c:pt>
                <c:pt idx="5">
                  <c:v>8.815184029583327E-2</c:v>
                </c:pt>
                <c:pt idx="6">
                  <c:v>0.125002700647944</c:v>
                </c:pt>
                <c:pt idx="7">
                  <c:v>0.16827278868171569</c:v>
                </c:pt>
                <c:pt idx="8">
                  <c:v>0.21796210439714817</c:v>
                </c:pt>
                <c:pt idx="9">
                  <c:v>0.27407064779424156</c:v>
                </c:pt>
                <c:pt idx="10">
                  <c:v>0.33659841887299585</c:v>
                </c:pt>
                <c:pt idx="11">
                  <c:v>0.40554541763341106</c:v>
                </c:pt>
                <c:pt idx="12">
                  <c:v>0.4809116440754872</c:v>
                </c:pt>
                <c:pt idx="13">
                  <c:v>0.5626970981992242</c:v>
                </c:pt>
                <c:pt idx="14">
                  <c:v>0.65090178000462218</c:v>
                </c:pt>
                <c:pt idx="15">
                  <c:v>0.74552568949168097</c:v>
                </c:pt>
                <c:pt idx="16">
                  <c:v>0.84656882666040056</c:v>
                </c:pt>
                <c:pt idx="17">
                  <c:v>0.95403119151078131</c:v>
                </c:pt>
                <c:pt idx="18">
                  <c:v>1.0679127840428229</c:v>
                </c:pt>
                <c:pt idx="19">
                  <c:v>1.1882136042565252</c:v>
                </c:pt>
                <c:pt idx="20">
                  <c:v>1.3149336521518886</c:v>
                </c:pt>
                <c:pt idx="21">
                  <c:v>1.4480729277289126</c:v>
                </c:pt>
                <c:pt idx="22">
                  <c:v>1.5876314309875978</c:v>
                </c:pt>
                <c:pt idx="23">
                  <c:v>1.7336091619279439</c:v>
                </c:pt>
                <c:pt idx="24">
                  <c:v>1.886006120549951</c:v>
                </c:pt>
                <c:pt idx="25">
                  <c:v>2.0448223068536189</c:v>
                </c:pt>
                <c:pt idx="26">
                  <c:v>2.2100577208389476</c:v>
                </c:pt>
                <c:pt idx="27">
                  <c:v>2.3817123625059371</c:v>
                </c:pt>
                <c:pt idx="28">
                  <c:v>2.5597862318545874</c:v>
                </c:pt>
                <c:pt idx="29">
                  <c:v>2.7442793288848986</c:v>
                </c:pt>
                <c:pt idx="30">
                  <c:v>2.9351916535968714</c:v>
                </c:pt>
                <c:pt idx="31">
                  <c:v>3.1325232059905046</c:v>
                </c:pt>
                <c:pt idx="32">
                  <c:v>3.3362739860657977</c:v>
                </c:pt>
                <c:pt idx="33">
                  <c:v>3.5464439938227534</c:v>
                </c:pt>
                <c:pt idx="34">
                  <c:v>3.7630332292613686</c:v>
                </c:pt>
                <c:pt idx="35">
                  <c:v>3.986041692381646</c:v>
                </c:pt>
                <c:pt idx="36">
                  <c:v>4.2154693831835832</c:v>
                </c:pt>
                <c:pt idx="37">
                  <c:v>4.4513163016671822</c:v>
                </c:pt>
                <c:pt idx="38">
                  <c:v>4.6935824478324415</c:v>
                </c:pt>
                <c:pt idx="39">
                  <c:v>4.9422678216793621</c:v>
                </c:pt>
                <c:pt idx="40">
                  <c:v>5.197372423207943</c:v>
                </c:pt>
                <c:pt idx="41">
                  <c:v>5.4588962524181861</c:v>
                </c:pt>
                <c:pt idx="42">
                  <c:v>5.7268393093100878</c:v>
                </c:pt>
                <c:pt idx="43">
                  <c:v>6.0012015938836534</c:v>
                </c:pt>
                <c:pt idx="44">
                  <c:v>6.2819831061388776</c:v>
                </c:pt>
                <c:pt idx="45">
                  <c:v>6.569183846075763</c:v>
                </c:pt>
                <c:pt idx="46">
                  <c:v>6.8628038136943097</c:v>
                </c:pt>
                <c:pt idx="47">
                  <c:v>7.1628430089945185</c:v>
                </c:pt>
                <c:pt idx="48">
                  <c:v>7.4693014319763851</c:v>
                </c:pt>
                <c:pt idx="49">
                  <c:v>7.7821790826399155</c:v>
                </c:pt>
                <c:pt idx="50">
                  <c:v>8.1014759609851055</c:v>
                </c:pt>
                <c:pt idx="51">
                  <c:v>8.4271920670119567</c:v>
                </c:pt>
                <c:pt idx="52">
                  <c:v>8.7593274007204673</c:v>
                </c:pt>
                <c:pt idx="53">
                  <c:v>9.0978819621106446</c:v>
                </c:pt>
                <c:pt idx="54">
                  <c:v>9.442855751182476</c:v>
                </c:pt>
                <c:pt idx="55">
                  <c:v>9.7942487679359722</c:v>
                </c:pt>
                <c:pt idx="56">
                  <c:v>10.152061012371126</c:v>
                </c:pt>
                <c:pt idx="57">
                  <c:v>10.516292484487943</c:v>
                </c:pt>
                <c:pt idx="58">
                  <c:v>10.886943184286419</c:v>
                </c:pt>
                <c:pt idx="59">
                  <c:v>11.264013111766559</c:v>
                </c:pt>
                <c:pt idx="60">
                  <c:v>11.647502266928356</c:v>
                </c:pt>
                <c:pt idx="61">
                  <c:v>12.037410649771818</c:v>
                </c:pt>
                <c:pt idx="62">
                  <c:v>12.43373826029694</c:v>
                </c:pt>
                <c:pt idx="63">
                  <c:v>12.836485098503722</c:v>
                </c:pt>
                <c:pt idx="64">
                  <c:v>13.245651164392168</c:v>
                </c:pt>
                <c:pt idx="65">
                  <c:v>13.661236457962271</c:v>
                </c:pt>
                <c:pt idx="66">
                  <c:v>14.083240979214036</c:v>
                </c:pt>
                <c:pt idx="67">
                  <c:v>14.511664728147458</c:v>
                </c:pt>
                <c:pt idx="68">
                  <c:v>14.946507704762549</c:v>
                </c:pt>
                <c:pt idx="69">
                  <c:v>15.387769909059298</c:v>
                </c:pt>
                <c:pt idx="70">
                  <c:v>15.835451341037702</c:v>
                </c:pt>
                <c:pt idx="71">
                  <c:v>16.289552000697771</c:v>
                </c:pt>
                <c:pt idx="72">
                  <c:v>16.750071888039507</c:v>
                </c:pt>
                <c:pt idx="73">
                  <c:v>17.217011003062893</c:v>
                </c:pt>
                <c:pt idx="74">
                  <c:v>17.690369345767945</c:v>
                </c:pt>
                <c:pt idx="75">
                  <c:v>18.170146916154653</c:v>
                </c:pt>
                <c:pt idx="76">
                  <c:v>18.656343714223034</c:v>
                </c:pt>
                <c:pt idx="77">
                  <c:v>19.148959739973069</c:v>
                </c:pt>
                <c:pt idx="78">
                  <c:v>19.647994993404762</c:v>
                </c:pt>
                <c:pt idx="79">
                  <c:v>20.153449474518116</c:v>
                </c:pt>
                <c:pt idx="80">
                  <c:v>20.665323183313138</c:v>
                </c:pt>
                <c:pt idx="81">
                  <c:v>21.183616119789818</c:v>
                </c:pt>
                <c:pt idx="82">
                  <c:v>21.708328283948152</c:v>
                </c:pt>
                <c:pt idx="83">
                  <c:v>22.239459675788151</c:v>
                </c:pt>
                <c:pt idx="84">
                  <c:v>22.777010295309815</c:v>
                </c:pt>
                <c:pt idx="85">
                  <c:v>23.320980142513136</c:v>
                </c:pt>
                <c:pt idx="86">
                  <c:v>23.871369217398119</c:v>
                </c:pt>
                <c:pt idx="87">
                  <c:v>24.428177519964763</c:v>
                </c:pt>
                <c:pt idx="88">
                  <c:v>24.991405050213068</c:v>
                </c:pt>
                <c:pt idx="89">
                  <c:v>25.561051808143031</c:v>
                </c:pt>
                <c:pt idx="90">
                  <c:v>26.137117793754655</c:v>
                </c:pt>
                <c:pt idx="91">
                  <c:v>26.71960300704794</c:v>
                </c:pt>
                <c:pt idx="92">
                  <c:v>27.308507448022894</c:v>
                </c:pt>
                <c:pt idx="93">
                  <c:v>27.903831116679505</c:v>
                </c:pt>
                <c:pt idx="94">
                  <c:v>28.505574013017771</c:v>
                </c:pt>
                <c:pt idx="95">
                  <c:v>29.113736137037701</c:v>
                </c:pt>
                <c:pt idx="96">
                  <c:v>29.728317488739304</c:v>
                </c:pt>
                <c:pt idx="97">
                  <c:v>30.34931806812255</c:v>
                </c:pt>
                <c:pt idx="98">
                  <c:v>30.97673787518746</c:v>
                </c:pt>
                <c:pt idx="99">
                  <c:v>31.610576909934032</c:v>
                </c:pt>
                <c:pt idx="100">
                  <c:v>32.250835172362272</c:v>
                </c:pt>
                <c:pt idx="101">
                  <c:v>32.897512662472174</c:v>
                </c:pt>
                <c:pt idx="102">
                  <c:v>33.550609380263722</c:v>
                </c:pt>
                <c:pt idx="103">
                  <c:v>34.210125325736939</c:v>
                </c:pt>
                <c:pt idx="104">
                  <c:v>34.876060498891825</c:v>
                </c:pt>
                <c:pt idx="105">
                  <c:v>35.548414899728357</c:v>
                </c:pt>
                <c:pt idx="106">
                  <c:v>36.227188528246558</c:v>
                </c:pt>
                <c:pt idx="107">
                  <c:v>36.912381384446419</c:v>
                </c:pt>
                <c:pt idx="108">
                  <c:v>37.60399346832795</c:v>
                </c:pt>
                <c:pt idx="109">
                  <c:v>38.302024779891127</c:v>
                </c:pt>
                <c:pt idx="110">
                  <c:v>39.006475319135973</c:v>
                </c:pt>
                <c:pt idx="111">
                  <c:v>39.717345086062473</c:v>
                </c:pt>
                <c:pt idx="112">
                  <c:v>40.434634080670655</c:v>
                </c:pt>
                <c:pt idx="113">
                  <c:v>41.15834230296047</c:v>
                </c:pt>
                <c:pt idx="114">
                  <c:v>41.888469752931954</c:v>
                </c:pt>
                <c:pt idx="115">
                  <c:v>42.625016430585099</c:v>
                </c:pt>
                <c:pt idx="116">
                  <c:v>43.367982335919919</c:v>
                </c:pt>
                <c:pt idx="117">
                  <c:v>44.117367468936386</c:v>
                </c:pt>
                <c:pt idx="118">
                  <c:v>44.873171829634515</c:v>
                </c:pt>
                <c:pt idx="119">
                  <c:v>45.635395418014305</c:v>
                </c:pt>
                <c:pt idx="120">
                  <c:v>46.40403823407577</c:v>
                </c:pt>
                <c:pt idx="121">
                  <c:v>47.179100277818875</c:v>
                </c:pt>
                <c:pt idx="122">
                  <c:v>47.960581549243649</c:v>
                </c:pt>
                <c:pt idx="123">
                  <c:v>48.748482048350091</c:v>
                </c:pt>
                <c:pt idx="124">
                  <c:v>49.542801775138194</c:v>
                </c:pt>
                <c:pt idx="125">
                  <c:v>50.343540729607952</c:v>
                </c:pt>
                <c:pt idx="126">
                  <c:v>51.150698911759363</c:v>
                </c:pt>
                <c:pt idx="127">
                  <c:v>51.964276321592436</c:v>
                </c:pt>
                <c:pt idx="128">
                  <c:v>52.784272959107177</c:v>
                </c:pt>
                <c:pt idx="129">
                  <c:v>53.610688824303573</c:v>
                </c:pt>
                <c:pt idx="130">
                  <c:v>54.443523917181658</c:v>
                </c:pt>
                <c:pt idx="131">
                  <c:v>55.282778237741383</c:v>
                </c:pt>
                <c:pt idx="132">
                  <c:v>56.128451785982755</c:v>
                </c:pt>
                <c:pt idx="133">
                  <c:v>56.980544561905802</c:v>
                </c:pt>
                <c:pt idx="134">
                  <c:v>57.839056565510504</c:v>
                </c:pt>
                <c:pt idx="135">
                  <c:v>58.703987796796874</c:v>
                </c:pt>
                <c:pt idx="136">
                  <c:v>59.575338255764891</c:v>
                </c:pt>
                <c:pt idx="137">
                  <c:v>60.453107942414576</c:v>
                </c:pt>
                <c:pt idx="138">
                  <c:v>61.337296856745951</c:v>
                </c:pt>
                <c:pt idx="139">
                  <c:v>62.227904998758959</c:v>
                </c:pt>
                <c:pt idx="140">
                  <c:v>63.124932368453614</c:v>
                </c:pt>
                <c:pt idx="141">
                  <c:v>64.028378965829944</c:v>
                </c:pt>
                <c:pt idx="142">
                  <c:v>64.938244790887936</c:v>
                </c:pt>
                <c:pt idx="143">
                  <c:v>65.854529843627603</c:v>
                </c:pt>
                <c:pt idx="144">
                  <c:v>66.777234124048903</c:v>
                </c:pt>
                <c:pt idx="145">
                  <c:v>67.706357632151878</c:v>
                </c:pt>
                <c:pt idx="146">
                  <c:v>68.641900367936543</c:v>
                </c:pt>
                <c:pt idx="147">
                  <c:v>69.583862331402827</c:v>
                </c:pt>
                <c:pt idx="148">
                  <c:v>70.532243522550786</c:v>
                </c:pt>
                <c:pt idx="149">
                  <c:v>71.487043941380392</c:v>
                </c:pt>
                <c:pt idx="150">
                  <c:v>72.448263587891674</c:v>
                </c:pt>
                <c:pt idx="151">
                  <c:v>73.415902462084617</c:v>
                </c:pt>
                <c:pt idx="152">
                  <c:v>74.389960563959221</c:v>
                </c:pt>
                <c:pt idx="153">
                  <c:v>75.370437893515486</c:v>
                </c:pt>
                <c:pt idx="154">
                  <c:v>76.357334450753427</c:v>
                </c:pt>
                <c:pt idx="155">
                  <c:v>77.350650235673015</c:v>
                </c:pt>
                <c:pt idx="156">
                  <c:v>78.35038524827425</c:v>
                </c:pt>
                <c:pt idx="157">
                  <c:v>79.356539488557146</c:v>
                </c:pt>
                <c:pt idx="158">
                  <c:v>80.369112956521718</c:v>
                </c:pt>
                <c:pt idx="159">
                  <c:v>81.388105652167951</c:v>
                </c:pt>
                <c:pt idx="160">
                  <c:v>82.413517575495831</c:v>
                </c:pt>
                <c:pt idx="161">
                  <c:v>83.445348726505372</c:v>
                </c:pt>
                <c:pt idx="162">
                  <c:v>84.483599105196618</c:v>
                </c:pt>
                <c:pt idx="163">
                  <c:v>85.528268711569481</c:v>
                </c:pt>
                <c:pt idx="164">
                  <c:v>86.579357545624006</c:v>
                </c:pt>
                <c:pt idx="165">
                  <c:v>87.636865607360207</c:v>
                </c:pt>
                <c:pt idx="166">
                  <c:v>88.70079289677804</c:v>
                </c:pt>
                <c:pt idx="167">
                  <c:v>89.771139413877563</c:v>
                </c:pt>
                <c:pt idx="168">
                  <c:v>90.847905158658733</c:v>
                </c:pt>
                <c:pt idx="169">
                  <c:v>91.931090131121564</c:v>
                </c:pt>
                <c:pt idx="170">
                  <c:v>93.0206943312661</c:v>
                </c:pt>
                <c:pt idx="171">
                  <c:v>94.116717759092239</c:v>
                </c:pt>
                <c:pt idx="172">
                  <c:v>95.219160414600054</c:v>
                </c:pt>
                <c:pt idx="173">
                  <c:v>96.328022297789545</c:v>
                </c:pt>
                <c:pt idx="174">
                  <c:v>97.443303408660682</c:v>
                </c:pt>
                <c:pt idx="175">
                  <c:v>98.565003747213481</c:v>
                </c:pt>
                <c:pt idx="176">
                  <c:v>99.693123313447927</c:v>
                </c:pt>
                <c:pt idx="177">
                  <c:v>100.82766210736406</c:v>
                </c:pt>
                <c:pt idx="178">
                  <c:v>101.96862012896187</c:v>
                </c:pt>
                <c:pt idx="179">
                  <c:v>103.1159973782413</c:v>
                </c:pt>
                <c:pt idx="180">
                  <c:v>104.26979385520242</c:v>
                </c:pt>
                <c:pt idx="181">
                  <c:v>105.43000955984517</c:v>
                </c:pt>
                <c:pt idx="182">
                  <c:v>106.5966444921696</c:v>
                </c:pt>
                <c:pt idx="183">
                  <c:v>107.76969865217569</c:v>
                </c:pt>
                <c:pt idx="184">
                  <c:v>108.94917203986343</c:v>
                </c:pt>
                <c:pt idx="185">
                  <c:v>110.13506465523285</c:v>
                </c:pt>
                <c:pt idx="186">
                  <c:v>111.32737649828395</c:v>
                </c:pt>
                <c:pt idx="187">
                  <c:v>112.52610756901669</c:v>
                </c:pt>
                <c:pt idx="188">
                  <c:v>113.73125786743105</c:v>
                </c:pt>
                <c:pt idx="189">
                  <c:v>114.94282739352712</c:v>
                </c:pt>
                <c:pt idx="190">
                  <c:v>116.16081614730481</c:v>
                </c:pt>
                <c:pt idx="191">
                  <c:v>117.38522412876421</c:v>
                </c:pt>
                <c:pt idx="192">
                  <c:v>118.61605133790523</c:v>
                </c:pt>
                <c:pt idx="193">
                  <c:v>119.85329777472792</c:v>
                </c:pt>
                <c:pt idx="194">
                  <c:v>121.09696343923231</c:v>
                </c:pt>
                <c:pt idx="195">
                  <c:v>122.34704833141834</c:v>
                </c:pt>
                <c:pt idx="196">
                  <c:v>123.60355245128602</c:v>
                </c:pt>
                <c:pt idx="197">
                  <c:v>124.86647579883535</c:v>
                </c:pt>
                <c:pt idx="198">
                  <c:v>126.13581837406635</c:v>
                </c:pt>
                <c:pt idx="199">
                  <c:v>127.41158017697902</c:v>
                </c:pt>
                <c:pt idx="200">
                  <c:v>128.69376120757332</c:v>
                </c:pt>
                <c:pt idx="201">
                  <c:v>129.98236146584932</c:v>
                </c:pt>
                <c:pt idx="202">
                  <c:v>131.277380951807</c:v>
                </c:pt>
                <c:pt idx="203">
                  <c:v>132.57881966544628</c:v>
                </c:pt>
                <c:pt idx="204">
                  <c:v>133.88667760676725</c:v>
                </c:pt>
                <c:pt idx="205">
                  <c:v>135.20095477576987</c:v>
                </c:pt>
                <c:pt idx="206">
                  <c:v>136.52165117245417</c:v>
                </c:pt>
                <c:pt idx="207">
                  <c:v>137.84876679682009</c:v>
                </c:pt>
                <c:pt idx="208">
                  <c:v>139.18230164886771</c:v>
                </c:pt>
                <c:pt idx="209">
                  <c:v>140.52225572859697</c:v>
                </c:pt>
                <c:pt idx="210">
                  <c:v>141.86862903600797</c:v>
                </c:pt>
                <c:pt idx="211">
                  <c:v>143.22142157110054</c:v>
                </c:pt>
                <c:pt idx="212">
                  <c:v>144.5806333338748</c:v>
                </c:pt>
                <c:pt idx="213">
                  <c:v>145.94626432433068</c:v>
                </c:pt>
                <c:pt idx="214">
                  <c:v>147.31831454246827</c:v>
                </c:pt>
                <c:pt idx="215">
                  <c:v>148.69678398828751</c:v>
                </c:pt>
                <c:pt idx="216">
                  <c:v>150.08167266178842</c:v>
                </c:pt>
                <c:pt idx="217">
                  <c:v>151.47298056297097</c:v>
                </c:pt>
                <c:pt idx="218">
                  <c:v>152.87070769183521</c:v>
                </c:pt>
                <c:pt idx="219">
                  <c:v>154.27485404838112</c:v>
                </c:pt>
                <c:pt idx="220">
                  <c:v>155.68541963260864</c:v>
                </c:pt>
                <c:pt idx="221">
                  <c:v>157.10240444451784</c:v>
                </c:pt>
                <c:pt idx="222">
                  <c:v>158.52580848410872</c:v>
                </c:pt>
                <c:pt idx="223">
                  <c:v>159.95563175138122</c:v>
                </c:pt>
                <c:pt idx="224">
                  <c:v>161.39187424633539</c:v>
                </c:pt>
                <c:pt idx="225">
                  <c:v>162.83453596897127</c:v>
                </c:pt>
                <c:pt idx="226">
                  <c:v>164.28361691928879</c:v>
                </c:pt>
                <c:pt idx="227">
                  <c:v>165.73911709728793</c:v>
                </c:pt>
                <c:pt idx="228">
                  <c:v>167.20103650296878</c:v>
                </c:pt>
                <c:pt idx="229">
                  <c:v>168.6693751363313</c:v>
                </c:pt>
                <c:pt idx="230">
                  <c:v>170.14413299737544</c:v>
                </c:pt>
                <c:pt idx="231">
                  <c:v>171.62531008610122</c:v>
                </c:pt>
                <c:pt idx="232">
                  <c:v>173.11290640250871</c:v>
                </c:pt>
                <c:pt idx="233">
                  <c:v>174.60692194659785</c:v>
                </c:pt>
                <c:pt idx="234">
                  <c:v>176.10735671836866</c:v>
                </c:pt>
                <c:pt idx="235">
                  <c:v>177.61421071782112</c:v>
                </c:pt>
                <c:pt idx="236">
                  <c:v>179.12748394495523</c:v>
                </c:pt>
                <c:pt idx="237">
                  <c:v>180.64717639977098</c:v>
                </c:pt>
                <c:pt idx="238">
                  <c:v>182.17328808226841</c:v>
                </c:pt>
                <c:pt idx="239">
                  <c:v>183.70581899244752</c:v>
                </c:pt>
                <c:pt idx="240">
                  <c:v>185.24476913030827</c:v>
                </c:pt>
                <c:pt idx="241">
                  <c:v>186.79013849585075</c:v>
                </c:pt>
                <c:pt idx="242">
                  <c:v>188.34192708907483</c:v>
                </c:pt>
                <c:pt idx="243">
                  <c:v>189.90013490998055</c:v>
                </c:pt>
                <c:pt idx="244">
                  <c:v>191.46476195856795</c:v>
                </c:pt>
                <c:pt idx="245">
                  <c:v>193.03580823483702</c:v>
                </c:pt>
                <c:pt idx="246">
                  <c:v>194.61327373878774</c:v>
                </c:pt>
                <c:pt idx="247">
                  <c:v>196.19715847042011</c:v>
                </c:pt>
                <c:pt idx="248">
                  <c:v>197.78746242973415</c:v>
                </c:pt>
                <c:pt idx="249">
                  <c:v>199.38418561672989</c:v>
                </c:pt>
                <c:pt idx="250">
                  <c:v>200.98732803140729</c:v>
                </c:pt>
                <c:pt idx="251">
                  <c:v>202.5968896737663</c:v>
                </c:pt>
                <c:pt idx="252">
                  <c:v>204.21287054380699</c:v>
                </c:pt>
                <c:pt idx="253">
                  <c:v>205.83527064152932</c:v>
                </c:pt>
                <c:pt idx="254">
                  <c:v>207.46408996693333</c:v>
                </c:pt>
                <c:pt idx="255">
                  <c:v>208.70514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D1-4D48-A6E2-0B6B305AEDDC}"/>
            </c:ext>
          </c:extLst>
        </c:ser>
        <c:ser>
          <c:idx val="1"/>
          <c:order val="1"/>
          <c:tx>
            <c:strRef>
              <c:f>'Gamma 2.0  6500K'!$D$16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2.0 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2.0  6500K'!$D$17:$D$272</c:f>
              <c:numCache>
                <c:formatCode>0.00_ </c:formatCode>
                <c:ptCount val="256"/>
                <c:pt idx="0">
                  <c:v>2.0661528910348326E-4</c:v>
                </c:pt>
                <c:pt idx="1">
                  <c:v>5.4896396711104035E-3</c:v>
                </c:pt>
                <c:pt idx="2">
                  <c:v>1.7905139254962767E-2</c:v>
                </c:pt>
                <c:pt idx="3">
                  <c:v>3.7453114040660575E-2</c:v>
                </c:pt>
                <c:pt idx="4">
                  <c:v>6.4133564028203832E-2</c:v>
                </c:pt>
                <c:pt idx="5">
                  <c:v>9.7946489217592525E-2</c:v>
                </c:pt>
                <c:pt idx="6">
                  <c:v>0.13889188960882667</c:v>
                </c:pt>
                <c:pt idx="7">
                  <c:v>0.18696976520190631</c:v>
                </c:pt>
                <c:pt idx="8">
                  <c:v>0.24218011599683129</c:v>
                </c:pt>
                <c:pt idx="9">
                  <c:v>0.30452294199360175</c:v>
                </c:pt>
                <c:pt idx="10">
                  <c:v>0.37399824319221764</c:v>
                </c:pt>
                <c:pt idx="11">
                  <c:v>0.45060601959267899</c:v>
                </c:pt>
                <c:pt idx="12">
                  <c:v>0.53434627119498579</c:v>
                </c:pt>
                <c:pt idx="13">
                  <c:v>0.62521899799913805</c:v>
                </c:pt>
                <c:pt idx="14">
                  <c:v>0.72322420000513576</c:v>
                </c:pt>
                <c:pt idx="15">
                  <c:v>0.82836187721297883</c:v>
                </c:pt>
                <c:pt idx="16">
                  <c:v>0.94063202962266734</c:v>
                </c:pt>
                <c:pt idx="17">
                  <c:v>1.0600346572342014</c:v>
                </c:pt>
                <c:pt idx="18">
                  <c:v>1.1865697600475809</c:v>
                </c:pt>
                <c:pt idx="19">
                  <c:v>1.3202373380628059</c:v>
                </c:pt>
                <c:pt idx="20">
                  <c:v>1.4610373912798762</c:v>
                </c:pt>
                <c:pt idx="21">
                  <c:v>1.6089699196987919</c:v>
                </c:pt>
                <c:pt idx="22">
                  <c:v>1.7640349233195531</c:v>
                </c:pt>
                <c:pt idx="23">
                  <c:v>1.92623240214216</c:v>
                </c:pt>
                <c:pt idx="24">
                  <c:v>2.0955623561666123</c:v>
                </c:pt>
                <c:pt idx="25">
                  <c:v>2.2720247853929099</c:v>
                </c:pt>
                <c:pt idx="26">
                  <c:v>2.4556196898210527</c:v>
                </c:pt>
                <c:pt idx="27">
                  <c:v>2.6463470694510414</c:v>
                </c:pt>
                <c:pt idx="28">
                  <c:v>2.8442069242828749</c:v>
                </c:pt>
                <c:pt idx="29">
                  <c:v>3.0491992543165543</c:v>
                </c:pt>
                <c:pt idx="30">
                  <c:v>3.2613240595520794</c:v>
                </c:pt>
                <c:pt idx="31">
                  <c:v>3.4805813399894494</c:v>
                </c:pt>
                <c:pt idx="32">
                  <c:v>3.7069710956286643</c:v>
                </c:pt>
                <c:pt idx="33">
                  <c:v>3.9404933264697259</c:v>
                </c:pt>
                <c:pt idx="34">
                  <c:v>4.181148032512632</c:v>
                </c:pt>
                <c:pt idx="35">
                  <c:v>4.4289352137573843</c:v>
                </c:pt>
                <c:pt idx="36">
                  <c:v>4.6838548702039811</c:v>
                </c:pt>
                <c:pt idx="37">
                  <c:v>4.9459070018524249</c:v>
                </c:pt>
                <c:pt idx="38">
                  <c:v>5.2150916087027124</c:v>
                </c:pt>
                <c:pt idx="39">
                  <c:v>5.4914086907548469</c:v>
                </c:pt>
                <c:pt idx="40">
                  <c:v>5.774858248008826</c:v>
                </c:pt>
                <c:pt idx="41">
                  <c:v>6.0654402804646512</c:v>
                </c:pt>
                <c:pt idx="42">
                  <c:v>6.36315478812232</c:v>
                </c:pt>
                <c:pt idx="43">
                  <c:v>6.6680017709818369</c:v>
                </c:pt>
                <c:pt idx="44">
                  <c:v>6.9799812290431973</c:v>
                </c:pt>
                <c:pt idx="45">
                  <c:v>7.2990931623064039</c:v>
                </c:pt>
                <c:pt idx="46">
                  <c:v>7.625337570771455</c:v>
                </c:pt>
                <c:pt idx="47">
                  <c:v>7.9587144544383541</c:v>
                </c:pt>
                <c:pt idx="48">
                  <c:v>8.2992238133070941</c:v>
                </c:pt>
                <c:pt idx="49">
                  <c:v>8.6468656473776839</c:v>
                </c:pt>
                <c:pt idx="50">
                  <c:v>9.0016399566501164</c:v>
                </c:pt>
                <c:pt idx="51">
                  <c:v>9.3635467411243969</c:v>
                </c:pt>
                <c:pt idx="52">
                  <c:v>9.7325860008005201</c:v>
                </c:pt>
                <c:pt idx="53">
                  <c:v>10.108757735678493</c:v>
                </c:pt>
                <c:pt idx="54">
                  <c:v>10.492061945758307</c:v>
                </c:pt>
                <c:pt idx="55">
                  <c:v>10.882498631039969</c:v>
                </c:pt>
                <c:pt idx="56">
                  <c:v>11.280067791523473</c:v>
                </c:pt>
                <c:pt idx="57">
                  <c:v>11.684769427208826</c:v>
                </c:pt>
                <c:pt idx="58">
                  <c:v>12.096603538096021</c:v>
                </c:pt>
                <c:pt idx="59">
                  <c:v>12.515570124185066</c:v>
                </c:pt>
                <c:pt idx="60">
                  <c:v>12.941669185475952</c:v>
                </c:pt>
                <c:pt idx="61">
                  <c:v>13.374900721968688</c:v>
                </c:pt>
                <c:pt idx="62">
                  <c:v>13.815264733663266</c:v>
                </c:pt>
                <c:pt idx="63">
                  <c:v>14.262761220559691</c:v>
                </c:pt>
                <c:pt idx="64">
                  <c:v>14.717390182657965</c:v>
                </c:pt>
                <c:pt idx="65">
                  <c:v>15.17915161995808</c:v>
                </c:pt>
                <c:pt idx="66">
                  <c:v>15.64804553246004</c:v>
                </c:pt>
                <c:pt idx="67">
                  <c:v>16.124071920163843</c:v>
                </c:pt>
                <c:pt idx="68">
                  <c:v>16.6072307830695</c:v>
                </c:pt>
                <c:pt idx="69">
                  <c:v>17.097522121176997</c:v>
                </c:pt>
                <c:pt idx="70">
                  <c:v>17.594945934486336</c:v>
                </c:pt>
                <c:pt idx="71">
                  <c:v>18.099502222997522</c:v>
                </c:pt>
                <c:pt idx="72">
                  <c:v>18.611190986710564</c:v>
                </c:pt>
                <c:pt idx="73">
                  <c:v>19.130012225625435</c:v>
                </c:pt>
                <c:pt idx="74">
                  <c:v>19.65596593974216</c:v>
                </c:pt>
                <c:pt idx="75">
                  <c:v>20.189052129060727</c:v>
                </c:pt>
                <c:pt idx="76">
                  <c:v>20.729270793581151</c:v>
                </c:pt>
                <c:pt idx="77">
                  <c:v>21.27662193330341</c:v>
                </c:pt>
                <c:pt idx="78">
                  <c:v>21.831105548227512</c:v>
                </c:pt>
                <c:pt idx="79">
                  <c:v>22.392721638353461</c:v>
                </c:pt>
                <c:pt idx="80">
                  <c:v>22.961470203681266</c:v>
                </c:pt>
                <c:pt idx="81">
                  <c:v>23.537351244210907</c:v>
                </c:pt>
                <c:pt idx="82">
                  <c:v>24.12036475994239</c:v>
                </c:pt>
                <c:pt idx="83">
                  <c:v>24.710510750875724</c:v>
                </c:pt>
                <c:pt idx="84">
                  <c:v>25.307789217010907</c:v>
                </c:pt>
                <c:pt idx="85">
                  <c:v>25.912200158347929</c:v>
                </c:pt>
                <c:pt idx="86">
                  <c:v>26.523743574886797</c:v>
                </c:pt>
                <c:pt idx="87">
                  <c:v>27.142419466627512</c:v>
                </c:pt>
                <c:pt idx="88">
                  <c:v>27.768227833570077</c:v>
                </c:pt>
                <c:pt idx="89">
                  <c:v>28.40116867571448</c:v>
                </c:pt>
                <c:pt idx="90">
                  <c:v>29.04124199306073</c:v>
                </c:pt>
                <c:pt idx="91">
                  <c:v>29.688447785608822</c:v>
                </c:pt>
                <c:pt idx="92">
                  <c:v>30.342786053358772</c:v>
                </c:pt>
                <c:pt idx="93">
                  <c:v>31.004256796310564</c:v>
                </c:pt>
                <c:pt idx="94">
                  <c:v>31.672860014464192</c:v>
                </c:pt>
                <c:pt idx="95">
                  <c:v>32.348595707819669</c:v>
                </c:pt>
                <c:pt idx="96">
                  <c:v>33.031463876377003</c:v>
                </c:pt>
                <c:pt idx="97">
                  <c:v>33.721464520136166</c:v>
                </c:pt>
                <c:pt idx="98">
                  <c:v>34.418597639097179</c:v>
                </c:pt>
                <c:pt idx="99">
                  <c:v>35.122863233260034</c:v>
                </c:pt>
                <c:pt idx="100">
                  <c:v>35.834261302624746</c:v>
                </c:pt>
                <c:pt idx="101">
                  <c:v>36.552791847191301</c:v>
                </c:pt>
                <c:pt idx="102">
                  <c:v>37.278454866959692</c:v>
                </c:pt>
                <c:pt idx="103">
                  <c:v>38.011250361929932</c:v>
                </c:pt>
                <c:pt idx="104">
                  <c:v>38.751178332102029</c:v>
                </c:pt>
                <c:pt idx="105">
                  <c:v>39.498238777475954</c:v>
                </c:pt>
                <c:pt idx="106">
                  <c:v>40.25243169805173</c:v>
                </c:pt>
                <c:pt idx="107">
                  <c:v>41.013757093829355</c:v>
                </c:pt>
                <c:pt idx="108">
                  <c:v>41.78221496480883</c:v>
                </c:pt>
                <c:pt idx="109">
                  <c:v>42.55780531099014</c:v>
                </c:pt>
                <c:pt idx="110">
                  <c:v>43.340528132373301</c:v>
                </c:pt>
                <c:pt idx="111">
                  <c:v>44.130383428958304</c:v>
                </c:pt>
                <c:pt idx="112">
                  <c:v>44.927371200745171</c:v>
                </c:pt>
                <c:pt idx="113">
                  <c:v>45.731491447733859</c:v>
                </c:pt>
                <c:pt idx="114">
                  <c:v>46.542744169924397</c:v>
                </c:pt>
                <c:pt idx="115">
                  <c:v>47.361129367316778</c:v>
                </c:pt>
                <c:pt idx="116">
                  <c:v>48.186647039911023</c:v>
                </c:pt>
                <c:pt idx="117">
                  <c:v>49.019297187707096</c:v>
                </c:pt>
                <c:pt idx="118">
                  <c:v>49.859079810705019</c:v>
                </c:pt>
                <c:pt idx="119">
                  <c:v>50.705994908904785</c:v>
                </c:pt>
                <c:pt idx="120">
                  <c:v>51.560042482306407</c:v>
                </c:pt>
                <c:pt idx="121">
                  <c:v>52.421222530909866</c:v>
                </c:pt>
                <c:pt idx="122">
                  <c:v>53.289535054715166</c:v>
                </c:pt>
                <c:pt idx="123">
                  <c:v>54.164980053722324</c:v>
                </c:pt>
                <c:pt idx="124">
                  <c:v>55.047557527931325</c:v>
                </c:pt>
                <c:pt idx="125">
                  <c:v>55.937267477342168</c:v>
                </c:pt>
                <c:pt idx="126">
                  <c:v>56.834109901954847</c:v>
                </c:pt>
                <c:pt idx="127">
                  <c:v>57.738084801769375</c:v>
                </c:pt>
                <c:pt idx="128">
                  <c:v>58.649192176785753</c:v>
                </c:pt>
                <c:pt idx="129">
                  <c:v>59.567432027003967</c:v>
                </c:pt>
                <c:pt idx="130">
                  <c:v>60.492804352424066</c:v>
                </c:pt>
                <c:pt idx="131">
                  <c:v>61.42530915304598</c:v>
                </c:pt>
                <c:pt idx="132">
                  <c:v>62.364946428869729</c:v>
                </c:pt>
                <c:pt idx="133">
                  <c:v>63.311716179895335</c:v>
                </c:pt>
                <c:pt idx="134">
                  <c:v>64.265618406122783</c:v>
                </c:pt>
                <c:pt idx="135">
                  <c:v>65.226653107552082</c:v>
                </c:pt>
                <c:pt idx="136">
                  <c:v>66.194820284183209</c:v>
                </c:pt>
                <c:pt idx="137">
                  <c:v>67.170119936016192</c:v>
                </c:pt>
                <c:pt idx="138">
                  <c:v>68.152552063051061</c:v>
                </c:pt>
                <c:pt idx="139">
                  <c:v>69.14211666528773</c:v>
                </c:pt>
                <c:pt idx="140">
                  <c:v>70.138813742726242</c:v>
                </c:pt>
                <c:pt idx="141">
                  <c:v>71.142643295366611</c:v>
                </c:pt>
                <c:pt idx="142">
                  <c:v>72.153605323208822</c:v>
                </c:pt>
                <c:pt idx="143">
                  <c:v>73.17169982625289</c:v>
                </c:pt>
                <c:pt idx="144">
                  <c:v>74.196926804498787</c:v>
                </c:pt>
                <c:pt idx="145">
                  <c:v>75.229286257946526</c:v>
                </c:pt>
                <c:pt idx="146">
                  <c:v>76.268778186596165</c:v>
                </c:pt>
                <c:pt idx="147">
                  <c:v>77.31540259044759</c:v>
                </c:pt>
                <c:pt idx="148">
                  <c:v>78.369159469500872</c:v>
                </c:pt>
                <c:pt idx="149">
                  <c:v>79.430048823755996</c:v>
                </c:pt>
                <c:pt idx="150">
                  <c:v>80.498070653212977</c:v>
                </c:pt>
                <c:pt idx="151">
                  <c:v>81.573224957871801</c:v>
                </c:pt>
                <c:pt idx="152">
                  <c:v>82.655511737732468</c:v>
                </c:pt>
                <c:pt idx="153">
                  <c:v>83.744930992794977</c:v>
                </c:pt>
                <c:pt idx="154">
                  <c:v>84.841482723059357</c:v>
                </c:pt>
                <c:pt idx="155">
                  <c:v>85.945166928525566</c:v>
                </c:pt>
                <c:pt idx="156">
                  <c:v>87.055983609193603</c:v>
                </c:pt>
                <c:pt idx="157">
                  <c:v>88.173932765063498</c:v>
                </c:pt>
                <c:pt idx="158">
                  <c:v>89.299014396135235</c:v>
                </c:pt>
                <c:pt idx="159">
                  <c:v>90.431228502408828</c:v>
                </c:pt>
                <c:pt idx="160">
                  <c:v>91.57057508388425</c:v>
                </c:pt>
                <c:pt idx="161">
                  <c:v>92.71705414056153</c:v>
                </c:pt>
                <c:pt idx="162">
                  <c:v>93.87066567244068</c:v>
                </c:pt>
                <c:pt idx="163">
                  <c:v>95.031409679521644</c:v>
                </c:pt>
                <c:pt idx="164">
                  <c:v>96.199286161804451</c:v>
                </c:pt>
                <c:pt idx="165">
                  <c:v>97.374295119289116</c:v>
                </c:pt>
                <c:pt idx="166">
                  <c:v>98.556436551975608</c:v>
                </c:pt>
                <c:pt idx="167">
                  <c:v>99.745710459863957</c:v>
                </c:pt>
                <c:pt idx="168">
                  <c:v>100.94211684295415</c:v>
                </c:pt>
                <c:pt idx="169">
                  <c:v>102.14565570124618</c:v>
                </c:pt>
                <c:pt idx="170">
                  <c:v>103.3563270347401</c:v>
                </c:pt>
                <c:pt idx="171">
                  <c:v>104.57413084343582</c:v>
                </c:pt>
                <c:pt idx="172">
                  <c:v>105.7990671273334</c:v>
                </c:pt>
                <c:pt idx="173">
                  <c:v>107.03113588643282</c:v>
                </c:pt>
                <c:pt idx="174">
                  <c:v>108.2703371207341</c:v>
                </c:pt>
                <c:pt idx="175">
                  <c:v>109.5166708302372</c:v>
                </c:pt>
                <c:pt idx="176">
                  <c:v>110.77013701494215</c:v>
                </c:pt>
                <c:pt idx="177">
                  <c:v>112.03073567484896</c:v>
                </c:pt>
                <c:pt idx="178">
                  <c:v>113.29846680995763</c:v>
                </c:pt>
                <c:pt idx="179">
                  <c:v>114.57333042026812</c:v>
                </c:pt>
                <c:pt idx="180">
                  <c:v>115.85532650578047</c:v>
                </c:pt>
                <c:pt idx="181">
                  <c:v>117.14445506649464</c:v>
                </c:pt>
                <c:pt idx="182">
                  <c:v>118.44071610241068</c:v>
                </c:pt>
                <c:pt idx="183">
                  <c:v>119.74410961352855</c:v>
                </c:pt>
                <c:pt idx="184">
                  <c:v>121.05463559984825</c:v>
                </c:pt>
                <c:pt idx="185">
                  <c:v>122.37229406136984</c:v>
                </c:pt>
                <c:pt idx="186">
                  <c:v>123.69708499809329</c:v>
                </c:pt>
                <c:pt idx="187">
                  <c:v>125.02900841001853</c:v>
                </c:pt>
                <c:pt idx="188">
                  <c:v>126.36806429714562</c:v>
                </c:pt>
                <c:pt idx="189">
                  <c:v>127.71425265947458</c:v>
                </c:pt>
                <c:pt idx="190">
                  <c:v>129.06757349700536</c:v>
                </c:pt>
                <c:pt idx="191">
                  <c:v>130.42802680973801</c:v>
                </c:pt>
                <c:pt idx="192">
                  <c:v>131.79561259767249</c:v>
                </c:pt>
                <c:pt idx="193">
                  <c:v>133.1703308608088</c:v>
                </c:pt>
                <c:pt idx="194">
                  <c:v>134.55218159914702</c:v>
                </c:pt>
                <c:pt idx="195">
                  <c:v>135.94116481268705</c:v>
                </c:pt>
                <c:pt idx="196">
                  <c:v>137.33728050142892</c:v>
                </c:pt>
                <c:pt idx="197">
                  <c:v>138.74052866537261</c:v>
                </c:pt>
                <c:pt idx="198">
                  <c:v>140.15090930451817</c:v>
                </c:pt>
                <c:pt idx="199">
                  <c:v>141.56842241886557</c:v>
                </c:pt>
                <c:pt idx="200">
                  <c:v>142.99306800841481</c:v>
                </c:pt>
                <c:pt idx="201">
                  <c:v>144.42484607316592</c:v>
                </c:pt>
                <c:pt idx="202">
                  <c:v>145.86375661311888</c:v>
                </c:pt>
                <c:pt idx="203">
                  <c:v>147.30979962827365</c:v>
                </c:pt>
                <c:pt idx="204">
                  <c:v>148.76297511863029</c:v>
                </c:pt>
                <c:pt idx="205">
                  <c:v>150.22328308418875</c:v>
                </c:pt>
                <c:pt idx="206">
                  <c:v>151.69072352494908</c:v>
                </c:pt>
                <c:pt idx="207">
                  <c:v>153.16529644091122</c:v>
                </c:pt>
                <c:pt idx="208">
                  <c:v>154.64700183207523</c:v>
                </c:pt>
                <c:pt idx="209">
                  <c:v>156.13583969844109</c:v>
                </c:pt>
                <c:pt idx="210">
                  <c:v>157.63181004000884</c:v>
                </c:pt>
                <c:pt idx="211">
                  <c:v>159.13491285677839</c:v>
                </c:pt>
                <c:pt idx="212">
                  <c:v>160.64514814874977</c:v>
                </c:pt>
                <c:pt idx="213">
                  <c:v>162.162515915923</c:v>
                </c:pt>
                <c:pt idx="214">
                  <c:v>163.68701615829809</c:v>
                </c:pt>
                <c:pt idx="215">
                  <c:v>165.218648875875</c:v>
                </c:pt>
                <c:pt idx="216">
                  <c:v>166.75741406865379</c:v>
                </c:pt>
                <c:pt idx="217">
                  <c:v>168.30331173663441</c:v>
                </c:pt>
                <c:pt idx="218">
                  <c:v>169.85634187981691</c:v>
                </c:pt>
                <c:pt idx="219">
                  <c:v>171.41650449820125</c:v>
                </c:pt>
                <c:pt idx="220">
                  <c:v>172.98379959178737</c:v>
                </c:pt>
                <c:pt idx="221">
                  <c:v>174.5582271605754</c:v>
                </c:pt>
                <c:pt idx="222">
                  <c:v>176.13978720456524</c:v>
                </c:pt>
                <c:pt idx="223">
                  <c:v>177.72847972375692</c:v>
                </c:pt>
                <c:pt idx="224">
                  <c:v>179.32430471815044</c:v>
                </c:pt>
                <c:pt idx="225">
                  <c:v>180.92726218774584</c:v>
                </c:pt>
                <c:pt idx="226">
                  <c:v>182.53735213254311</c:v>
                </c:pt>
                <c:pt idx="227">
                  <c:v>184.15457455254216</c:v>
                </c:pt>
                <c:pt idx="228">
                  <c:v>185.77892944774308</c:v>
                </c:pt>
                <c:pt idx="229">
                  <c:v>187.41041681814588</c:v>
                </c:pt>
                <c:pt idx="230">
                  <c:v>189.04903666375048</c:v>
                </c:pt>
                <c:pt idx="231">
                  <c:v>190.69478898455691</c:v>
                </c:pt>
                <c:pt idx="232">
                  <c:v>192.34767378056523</c:v>
                </c:pt>
                <c:pt idx="233">
                  <c:v>194.0076910517754</c:v>
                </c:pt>
                <c:pt idx="234">
                  <c:v>195.6748407981874</c:v>
                </c:pt>
                <c:pt idx="235">
                  <c:v>197.34912301980125</c:v>
                </c:pt>
                <c:pt idx="236">
                  <c:v>199.03053771661692</c:v>
                </c:pt>
                <c:pt idx="237">
                  <c:v>200.71908488863443</c:v>
                </c:pt>
                <c:pt idx="238">
                  <c:v>202.41476453585381</c:v>
                </c:pt>
                <c:pt idx="239">
                  <c:v>204.11757665827503</c:v>
                </c:pt>
                <c:pt idx="240">
                  <c:v>205.82752125589806</c:v>
                </c:pt>
                <c:pt idx="241">
                  <c:v>207.54459832872305</c:v>
                </c:pt>
                <c:pt idx="242">
                  <c:v>209.2688078767498</c:v>
                </c:pt>
                <c:pt idx="243">
                  <c:v>211.0001498999784</c:v>
                </c:pt>
                <c:pt idx="244">
                  <c:v>212.73862439840883</c:v>
                </c:pt>
                <c:pt idx="245">
                  <c:v>214.48423137204114</c:v>
                </c:pt>
                <c:pt idx="246">
                  <c:v>216.23697082087526</c:v>
                </c:pt>
                <c:pt idx="247">
                  <c:v>217.99684274491122</c:v>
                </c:pt>
                <c:pt idx="248">
                  <c:v>219.76384714414905</c:v>
                </c:pt>
                <c:pt idx="249">
                  <c:v>221.53798401858879</c:v>
                </c:pt>
                <c:pt idx="250">
                  <c:v>223.31925336823031</c:v>
                </c:pt>
                <c:pt idx="251">
                  <c:v>225.10765519307367</c:v>
                </c:pt>
                <c:pt idx="252">
                  <c:v>226.90318949311887</c:v>
                </c:pt>
                <c:pt idx="253">
                  <c:v>228.70585626836592</c:v>
                </c:pt>
                <c:pt idx="254">
                  <c:v>230.51565551881481</c:v>
                </c:pt>
                <c:pt idx="255">
                  <c:v>231.8946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D1-4D48-A6E2-0B6B305AEDDC}"/>
            </c:ext>
          </c:extLst>
        </c:ser>
        <c:ser>
          <c:idx val="2"/>
          <c:order val="2"/>
          <c:tx>
            <c:strRef>
              <c:f>'Gamma 2.0  6500K'!$E$16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2.0 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2.0  6500K'!$E$17:$E$272</c:f>
              <c:numCache>
                <c:formatCode>0.00_ </c:formatCode>
                <c:ptCount val="256"/>
                <c:pt idx="0">
                  <c:v>2.2727681801383158E-4</c:v>
                </c:pt>
                <c:pt idx="1">
                  <c:v>6.0386036382214436E-3</c:v>
                </c:pt>
                <c:pt idx="2">
                  <c:v>1.9695653180459044E-2</c:v>
                </c:pt>
                <c:pt idx="3">
                  <c:v>4.1198425444726634E-2</c:v>
                </c:pt>
                <c:pt idx="4">
                  <c:v>7.0546920431024215E-2</c:v>
                </c:pt>
                <c:pt idx="5">
                  <c:v>0.10774113813935178</c:v>
                </c:pt>
                <c:pt idx="6">
                  <c:v>0.15278107856970935</c:v>
                </c:pt>
                <c:pt idx="7">
                  <c:v>0.20566674172209692</c:v>
                </c:pt>
                <c:pt idx="8">
                  <c:v>0.26639812759651443</c:v>
                </c:pt>
                <c:pt idx="9">
                  <c:v>0.33497523619296193</c:v>
                </c:pt>
                <c:pt idx="10">
                  <c:v>0.41139806751143942</c:v>
                </c:pt>
                <c:pt idx="11">
                  <c:v>0.49566662155194691</c:v>
                </c:pt>
                <c:pt idx="12">
                  <c:v>0.58778089831448432</c:v>
                </c:pt>
                <c:pt idx="13">
                  <c:v>0.6877408977990519</c:v>
                </c:pt>
                <c:pt idx="14">
                  <c:v>0.79554662000564935</c:v>
                </c:pt>
                <c:pt idx="15">
                  <c:v>0.91119806493427669</c:v>
                </c:pt>
                <c:pt idx="16">
                  <c:v>1.0346952325849341</c:v>
                </c:pt>
                <c:pt idx="17">
                  <c:v>1.1660381229576215</c:v>
                </c:pt>
                <c:pt idx="18">
                  <c:v>1.3052267360523389</c:v>
                </c:pt>
                <c:pt idx="19">
                  <c:v>1.4522610718690865</c:v>
                </c:pt>
                <c:pt idx="20">
                  <c:v>1.6071411304078638</c:v>
                </c:pt>
                <c:pt idx="21">
                  <c:v>1.7698669116686712</c:v>
                </c:pt>
                <c:pt idx="22">
                  <c:v>1.9404384156515084</c:v>
                </c:pt>
                <c:pt idx="23">
                  <c:v>2.118855642356376</c:v>
                </c:pt>
                <c:pt idx="24">
                  <c:v>2.3051185917832737</c:v>
                </c:pt>
                <c:pt idx="25">
                  <c:v>2.4992272639322008</c:v>
                </c:pt>
                <c:pt idx="26">
                  <c:v>2.7011816588031579</c:v>
                </c:pt>
                <c:pt idx="27">
                  <c:v>2.9109817763961456</c:v>
                </c:pt>
                <c:pt idx="28">
                  <c:v>3.1286276167111624</c:v>
                </c:pt>
                <c:pt idx="29">
                  <c:v>3.3541191797482099</c:v>
                </c:pt>
                <c:pt idx="30">
                  <c:v>3.5874564655072874</c:v>
                </c:pt>
                <c:pt idx="31">
                  <c:v>3.8286394739883942</c:v>
                </c:pt>
                <c:pt idx="32">
                  <c:v>4.0776682051915305</c:v>
                </c:pt>
                <c:pt idx="33">
                  <c:v>4.3345426591166989</c:v>
                </c:pt>
                <c:pt idx="34">
                  <c:v>4.5992628357638949</c:v>
                </c:pt>
                <c:pt idx="35">
                  <c:v>4.8718287351331231</c:v>
                </c:pt>
                <c:pt idx="36">
                  <c:v>5.1522403572243789</c:v>
                </c:pt>
                <c:pt idx="37">
                  <c:v>5.4404977020376677</c:v>
                </c:pt>
                <c:pt idx="38">
                  <c:v>5.7366007695729833</c:v>
                </c:pt>
                <c:pt idx="39">
                  <c:v>6.0405495598303318</c:v>
                </c:pt>
                <c:pt idx="40">
                  <c:v>6.3523440728097089</c:v>
                </c:pt>
                <c:pt idx="41">
                  <c:v>6.6719843085111163</c:v>
                </c:pt>
                <c:pt idx="42">
                  <c:v>6.9994702669345523</c:v>
                </c:pt>
                <c:pt idx="43">
                  <c:v>7.3348019480800204</c:v>
                </c:pt>
                <c:pt idx="44">
                  <c:v>7.677979351947517</c:v>
                </c:pt>
                <c:pt idx="45">
                  <c:v>8.0290024785370449</c:v>
                </c:pt>
                <c:pt idx="46">
                  <c:v>8.3878713278486003</c:v>
                </c:pt>
                <c:pt idx="47">
                  <c:v>8.7545858998821888</c:v>
                </c:pt>
                <c:pt idx="48">
                  <c:v>9.1291461946378032</c:v>
                </c:pt>
                <c:pt idx="49">
                  <c:v>9.5115522121154523</c:v>
                </c:pt>
                <c:pt idx="50">
                  <c:v>9.9018039523151273</c:v>
                </c:pt>
                <c:pt idx="51">
                  <c:v>10.299901415236837</c:v>
                </c:pt>
                <c:pt idx="52">
                  <c:v>10.705844600880573</c:v>
                </c:pt>
                <c:pt idx="53">
                  <c:v>11.119633509246341</c:v>
                </c:pt>
                <c:pt idx="54">
                  <c:v>11.541268140334138</c:v>
                </c:pt>
                <c:pt idx="55">
                  <c:v>11.970748494143965</c:v>
                </c:pt>
                <c:pt idx="56">
                  <c:v>12.40807457067582</c:v>
                </c:pt>
                <c:pt idx="57">
                  <c:v>12.853246369929709</c:v>
                </c:pt>
                <c:pt idx="58">
                  <c:v>13.306263891905623</c:v>
                </c:pt>
                <c:pt idx="59">
                  <c:v>13.767127136603573</c:v>
                </c:pt>
                <c:pt idx="60">
                  <c:v>14.235836104023548</c:v>
                </c:pt>
                <c:pt idx="61">
                  <c:v>14.712390794165557</c:v>
                </c:pt>
                <c:pt idx="62">
                  <c:v>15.196791207029593</c:v>
                </c:pt>
                <c:pt idx="63">
                  <c:v>15.689037342615659</c:v>
                </c:pt>
                <c:pt idx="64">
                  <c:v>16.189129200923762</c:v>
                </c:pt>
                <c:pt idx="65">
                  <c:v>16.69706678195389</c:v>
                </c:pt>
                <c:pt idx="66">
                  <c:v>17.212850085706044</c:v>
                </c:pt>
                <c:pt idx="67">
                  <c:v>17.736479112180227</c:v>
                </c:pt>
                <c:pt idx="68">
                  <c:v>18.267953861376451</c:v>
                </c:pt>
                <c:pt idx="69">
                  <c:v>18.807274333294696</c:v>
                </c:pt>
                <c:pt idx="70">
                  <c:v>19.354440527934969</c:v>
                </c:pt>
                <c:pt idx="71">
                  <c:v>19.909452445297273</c:v>
                </c:pt>
                <c:pt idx="72">
                  <c:v>20.472310085381622</c:v>
                </c:pt>
                <c:pt idx="73">
                  <c:v>21.043013448187978</c:v>
                </c:pt>
                <c:pt idx="74">
                  <c:v>21.621562533716375</c:v>
                </c:pt>
                <c:pt idx="75">
                  <c:v>22.2079573419668</c:v>
                </c:pt>
                <c:pt idx="76">
                  <c:v>22.802197872939267</c:v>
                </c:pt>
                <c:pt idx="77">
                  <c:v>23.404284126633751</c:v>
                </c:pt>
                <c:pt idx="78">
                  <c:v>24.014216103050263</c:v>
                </c:pt>
                <c:pt idx="79">
                  <c:v>24.631993802188806</c:v>
                </c:pt>
                <c:pt idx="80">
                  <c:v>25.257617224049394</c:v>
                </c:pt>
                <c:pt idx="81">
                  <c:v>25.891086368631996</c:v>
                </c:pt>
                <c:pt idx="82">
                  <c:v>26.532401235936629</c:v>
                </c:pt>
                <c:pt idx="83">
                  <c:v>27.181561825963296</c:v>
                </c:pt>
                <c:pt idx="84">
                  <c:v>27.838568138711999</c:v>
                </c:pt>
                <c:pt idx="85">
                  <c:v>28.503420174182722</c:v>
                </c:pt>
                <c:pt idx="86">
                  <c:v>29.176117932375476</c:v>
                </c:pt>
                <c:pt idx="87">
                  <c:v>29.856661413290261</c:v>
                </c:pt>
                <c:pt idx="88">
                  <c:v>30.545050616927085</c:v>
                </c:pt>
                <c:pt idx="89">
                  <c:v>31.24128554328593</c:v>
                </c:pt>
                <c:pt idx="90">
                  <c:v>31.945366192366805</c:v>
                </c:pt>
                <c:pt idx="91">
                  <c:v>32.657292564169708</c:v>
                </c:pt>
                <c:pt idx="92">
                  <c:v>33.37706465869465</c:v>
                </c:pt>
                <c:pt idx="93">
                  <c:v>34.104682475941622</c:v>
                </c:pt>
                <c:pt idx="94">
                  <c:v>34.840146015910612</c:v>
                </c:pt>
                <c:pt idx="95">
                  <c:v>35.583455278601633</c:v>
                </c:pt>
                <c:pt idx="96">
                  <c:v>36.334610264014707</c:v>
                </c:pt>
                <c:pt idx="97">
                  <c:v>37.093610972149783</c:v>
                </c:pt>
                <c:pt idx="98">
                  <c:v>37.860457403006897</c:v>
                </c:pt>
                <c:pt idx="99">
                  <c:v>38.635149556586036</c:v>
                </c:pt>
                <c:pt idx="100">
                  <c:v>39.41768743288722</c:v>
                </c:pt>
                <c:pt idx="101">
                  <c:v>40.208071031910428</c:v>
                </c:pt>
                <c:pt idx="102">
                  <c:v>41.006300353655661</c:v>
                </c:pt>
                <c:pt idx="103">
                  <c:v>41.812375398122924</c:v>
                </c:pt>
                <c:pt idx="104">
                  <c:v>42.626296165312233</c:v>
                </c:pt>
                <c:pt idx="105">
                  <c:v>43.448062655223552</c:v>
                </c:pt>
                <c:pt idx="106">
                  <c:v>44.277674867856902</c:v>
                </c:pt>
                <c:pt idx="107">
                  <c:v>45.11513280321229</c:v>
                </c:pt>
                <c:pt idx="108">
                  <c:v>45.96043646128971</c:v>
                </c:pt>
                <c:pt idx="109">
                  <c:v>46.813585842089154</c:v>
                </c:pt>
                <c:pt idx="110">
                  <c:v>47.674580945610629</c:v>
                </c:pt>
                <c:pt idx="111">
                  <c:v>48.543421771854135</c:v>
                </c:pt>
                <c:pt idx="112">
                  <c:v>49.420108320819686</c:v>
                </c:pt>
                <c:pt idx="113">
                  <c:v>50.304640592507248</c:v>
                </c:pt>
                <c:pt idx="114">
                  <c:v>51.19701858691684</c:v>
                </c:pt>
                <c:pt idx="115">
                  <c:v>52.097242304048457</c:v>
                </c:pt>
                <c:pt idx="116">
                  <c:v>53.005311743902126</c:v>
                </c:pt>
                <c:pt idx="117">
                  <c:v>53.921226906477806</c:v>
                </c:pt>
                <c:pt idx="118">
                  <c:v>54.844987791775523</c:v>
                </c:pt>
                <c:pt idx="119">
                  <c:v>55.776594399795265</c:v>
                </c:pt>
                <c:pt idx="120">
                  <c:v>56.716046730537045</c:v>
                </c:pt>
                <c:pt idx="121">
                  <c:v>57.663344784000856</c:v>
                </c:pt>
                <c:pt idx="122">
                  <c:v>58.618488560186684</c:v>
                </c:pt>
                <c:pt idx="123">
                  <c:v>59.581478059094557</c:v>
                </c:pt>
                <c:pt idx="124">
                  <c:v>60.552313280724455</c:v>
                </c:pt>
                <c:pt idx="125">
                  <c:v>61.530994225076384</c:v>
                </c:pt>
                <c:pt idx="126">
                  <c:v>62.51752089215033</c:v>
                </c:pt>
                <c:pt idx="127">
                  <c:v>63.511893281946314</c:v>
                </c:pt>
                <c:pt idx="128">
                  <c:v>64.514111394464322</c:v>
                </c:pt>
                <c:pt idx="129">
                  <c:v>65.524175229704369</c:v>
                </c:pt>
                <c:pt idx="130">
                  <c:v>66.542084787666468</c:v>
                </c:pt>
                <c:pt idx="131">
                  <c:v>67.567840068350577</c:v>
                </c:pt>
                <c:pt idx="132">
                  <c:v>68.601441071756696</c:v>
                </c:pt>
                <c:pt idx="133">
                  <c:v>69.642887797884867</c:v>
                </c:pt>
                <c:pt idx="134">
                  <c:v>70.692180246735063</c:v>
                </c:pt>
                <c:pt idx="135">
                  <c:v>71.749318418307297</c:v>
                </c:pt>
                <c:pt idx="136">
                  <c:v>72.814302312601527</c:v>
                </c:pt>
                <c:pt idx="137">
                  <c:v>73.887131929617809</c:v>
                </c:pt>
                <c:pt idx="138">
                  <c:v>74.967807269356172</c:v>
                </c:pt>
                <c:pt idx="139">
                  <c:v>76.056328331816502</c:v>
                </c:pt>
                <c:pt idx="140">
                  <c:v>77.152695116998871</c:v>
                </c:pt>
                <c:pt idx="141">
                  <c:v>78.256907624903278</c:v>
                </c:pt>
                <c:pt idx="142">
                  <c:v>79.368965855529709</c:v>
                </c:pt>
                <c:pt idx="143">
                  <c:v>80.488869808878178</c:v>
                </c:pt>
                <c:pt idx="144">
                  <c:v>81.616619484948671</c:v>
                </c:pt>
                <c:pt idx="145">
                  <c:v>82.752214883741175</c:v>
                </c:pt>
                <c:pt idx="146">
                  <c:v>83.895656005255788</c:v>
                </c:pt>
                <c:pt idx="147">
                  <c:v>85.046942849492353</c:v>
                </c:pt>
                <c:pt idx="148">
                  <c:v>86.206075416450958</c:v>
                </c:pt>
                <c:pt idx="149">
                  <c:v>87.3730537061316</c:v>
                </c:pt>
                <c:pt idx="150">
                  <c:v>88.547877718534281</c:v>
                </c:pt>
                <c:pt idx="151">
                  <c:v>89.730547453658986</c:v>
                </c:pt>
                <c:pt idx="152">
                  <c:v>90.921062911505715</c:v>
                </c:pt>
                <c:pt idx="153">
                  <c:v>92.119424092074468</c:v>
                </c:pt>
                <c:pt idx="154">
                  <c:v>93.325630995365287</c:v>
                </c:pt>
                <c:pt idx="155">
                  <c:v>94.539683621378117</c:v>
                </c:pt>
                <c:pt idx="156">
                  <c:v>95.761581970112957</c:v>
                </c:pt>
                <c:pt idx="157">
                  <c:v>96.991326041569849</c:v>
                </c:pt>
                <c:pt idx="158">
                  <c:v>98.228915835748751</c:v>
                </c:pt>
                <c:pt idx="159">
                  <c:v>99.474351352649705</c:v>
                </c:pt>
                <c:pt idx="160">
                  <c:v>100.72763259227267</c:v>
                </c:pt>
                <c:pt idx="161">
                  <c:v>101.98875955461769</c:v>
                </c:pt>
                <c:pt idx="162">
                  <c:v>103.25773223968474</c:v>
                </c:pt>
                <c:pt idx="163">
                  <c:v>104.53455064747381</c:v>
                </c:pt>
                <c:pt idx="164">
                  <c:v>105.8192147779849</c:v>
                </c:pt>
                <c:pt idx="165">
                  <c:v>107.11172463121802</c:v>
                </c:pt>
                <c:pt idx="166">
                  <c:v>108.41208020717318</c:v>
                </c:pt>
                <c:pt idx="167">
                  <c:v>109.72028150585035</c:v>
                </c:pt>
                <c:pt idx="168">
                  <c:v>111.03632852724957</c:v>
                </c:pt>
                <c:pt idx="169">
                  <c:v>112.3602212713708</c:v>
                </c:pt>
                <c:pt idx="170">
                  <c:v>113.69195973821411</c:v>
                </c:pt>
                <c:pt idx="171">
                  <c:v>115.03154392777941</c:v>
                </c:pt>
                <c:pt idx="172">
                  <c:v>116.37897384006675</c:v>
                </c:pt>
                <c:pt idx="173">
                  <c:v>117.7342494750761</c:v>
                </c:pt>
                <c:pt idx="174">
                  <c:v>119.09737083280751</c:v>
                </c:pt>
                <c:pt idx="175">
                  <c:v>120.46833791326092</c:v>
                </c:pt>
                <c:pt idx="176">
                  <c:v>121.84715071643637</c:v>
                </c:pt>
                <c:pt idx="177">
                  <c:v>123.23380924233385</c:v>
                </c:pt>
                <c:pt idx="178">
                  <c:v>124.62831349095339</c:v>
                </c:pt>
                <c:pt idx="179">
                  <c:v>126.03066346229494</c:v>
                </c:pt>
                <c:pt idx="180">
                  <c:v>127.44085915635851</c:v>
                </c:pt>
                <c:pt idx="181">
                  <c:v>128.8589005731441</c:v>
                </c:pt>
                <c:pt idx="182">
                  <c:v>130.28478771265173</c:v>
                </c:pt>
                <c:pt idx="183">
                  <c:v>131.71852057488141</c:v>
                </c:pt>
                <c:pt idx="184">
                  <c:v>133.16009915983307</c:v>
                </c:pt>
                <c:pt idx="185">
                  <c:v>134.60952346750682</c:v>
                </c:pt>
                <c:pt idx="186">
                  <c:v>136.06679349790261</c:v>
                </c:pt>
                <c:pt idx="187">
                  <c:v>137.53190925102038</c:v>
                </c:pt>
                <c:pt idx="188">
                  <c:v>139.00487072686019</c:v>
                </c:pt>
                <c:pt idx="189">
                  <c:v>140.48567792542204</c:v>
                </c:pt>
                <c:pt idx="190">
                  <c:v>141.9743308467059</c:v>
                </c:pt>
                <c:pt idx="191">
                  <c:v>143.47082949071182</c:v>
                </c:pt>
                <c:pt idx="192">
                  <c:v>144.97517385743973</c:v>
                </c:pt>
                <c:pt idx="193">
                  <c:v>146.48736394688967</c:v>
                </c:pt>
                <c:pt idx="194">
                  <c:v>148.00739975906171</c:v>
                </c:pt>
                <c:pt idx="195">
                  <c:v>149.53528129395576</c:v>
                </c:pt>
                <c:pt idx="196">
                  <c:v>151.07100855157182</c:v>
                </c:pt>
                <c:pt idx="197">
                  <c:v>152.61458153190986</c:v>
                </c:pt>
                <c:pt idx="198">
                  <c:v>154.16600023496997</c:v>
                </c:pt>
                <c:pt idx="199">
                  <c:v>155.72526466075212</c:v>
                </c:pt>
                <c:pt idx="200">
                  <c:v>157.2923748092563</c:v>
                </c:pt>
                <c:pt idx="201">
                  <c:v>158.86733068048252</c:v>
                </c:pt>
                <c:pt idx="202">
                  <c:v>160.45013227443076</c:v>
                </c:pt>
                <c:pt idx="203">
                  <c:v>162.04077959110103</c:v>
                </c:pt>
                <c:pt idx="204">
                  <c:v>163.63927263049334</c:v>
                </c:pt>
                <c:pt idx="205">
                  <c:v>165.24561139260763</c:v>
                </c:pt>
                <c:pt idx="206">
                  <c:v>166.85979587744399</c:v>
                </c:pt>
                <c:pt idx="207">
                  <c:v>168.48182608500235</c:v>
                </c:pt>
                <c:pt idx="208">
                  <c:v>170.11170201528276</c:v>
                </c:pt>
                <c:pt idx="209">
                  <c:v>171.7494236682852</c:v>
                </c:pt>
                <c:pt idx="210">
                  <c:v>173.39499104400971</c:v>
                </c:pt>
                <c:pt idx="211">
                  <c:v>175.04840414245623</c:v>
                </c:pt>
                <c:pt idx="212">
                  <c:v>176.70966296362474</c:v>
                </c:pt>
                <c:pt idx="213">
                  <c:v>178.37876750751531</c:v>
                </c:pt>
                <c:pt idx="214">
                  <c:v>180.05571777412791</c:v>
                </c:pt>
                <c:pt idx="215">
                  <c:v>181.7405137634625</c:v>
                </c:pt>
                <c:pt idx="216">
                  <c:v>183.43315547551916</c:v>
                </c:pt>
                <c:pt idx="217">
                  <c:v>185.13364291029785</c:v>
                </c:pt>
                <c:pt idx="218">
                  <c:v>186.84197606779861</c:v>
                </c:pt>
                <c:pt idx="219">
                  <c:v>188.55815494802138</c:v>
                </c:pt>
                <c:pt idx="220">
                  <c:v>190.28217955096611</c:v>
                </c:pt>
                <c:pt idx="221">
                  <c:v>192.01404987663295</c:v>
                </c:pt>
                <c:pt idx="222">
                  <c:v>193.75376592502175</c:v>
                </c:pt>
                <c:pt idx="223">
                  <c:v>195.50132769613262</c:v>
                </c:pt>
                <c:pt idx="224">
                  <c:v>197.2567351899655</c:v>
                </c:pt>
                <c:pt idx="225">
                  <c:v>199.01998840652041</c:v>
                </c:pt>
                <c:pt idx="226">
                  <c:v>200.79108734579742</c:v>
                </c:pt>
                <c:pt idx="227">
                  <c:v>202.57003200779639</c:v>
                </c:pt>
                <c:pt idx="228">
                  <c:v>204.35682239251739</c:v>
                </c:pt>
                <c:pt idx="229">
                  <c:v>206.15145849996046</c:v>
                </c:pt>
                <c:pt idx="230">
                  <c:v>207.95394033012553</c:v>
                </c:pt>
                <c:pt idx="231">
                  <c:v>209.76426788301259</c:v>
                </c:pt>
                <c:pt idx="232">
                  <c:v>211.58244115862175</c:v>
                </c:pt>
                <c:pt idx="233">
                  <c:v>213.40846015695294</c:v>
                </c:pt>
                <c:pt idx="234">
                  <c:v>215.24232487800614</c:v>
                </c:pt>
                <c:pt idx="235">
                  <c:v>217.08403532178139</c:v>
                </c:pt>
                <c:pt idx="236">
                  <c:v>218.93359148827861</c:v>
                </c:pt>
                <c:pt idx="237">
                  <c:v>220.79099337749787</c:v>
                </c:pt>
                <c:pt idx="238">
                  <c:v>222.6562409894392</c:v>
                </c:pt>
                <c:pt idx="239">
                  <c:v>224.52933432410254</c:v>
                </c:pt>
                <c:pt idx="240">
                  <c:v>226.41027338148785</c:v>
                </c:pt>
                <c:pt idx="241">
                  <c:v>228.29905816159535</c:v>
                </c:pt>
                <c:pt idx="242">
                  <c:v>230.19568866442478</c:v>
                </c:pt>
                <c:pt idx="243">
                  <c:v>232.10016488997624</c:v>
                </c:pt>
                <c:pt idx="244">
                  <c:v>234.01248683824971</c:v>
                </c:pt>
                <c:pt idx="245">
                  <c:v>235.93265450924525</c:v>
                </c:pt>
                <c:pt idx="246">
                  <c:v>237.86066790296277</c:v>
                </c:pt>
                <c:pt idx="247">
                  <c:v>239.79652701940233</c:v>
                </c:pt>
                <c:pt idx="248">
                  <c:v>241.74023185856396</c:v>
                </c:pt>
                <c:pt idx="249">
                  <c:v>243.69178242044768</c:v>
                </c:pt>
                <c:pt idx="250">
                  <c:v>245.65117870505333</c:v>
                </c:pt>
                <c:pt idx="251">
                  <c:v>247.61842071238104</c:v>
                </c:pt>
                <c:pt idx="252">
                  <c:v>249.59350844243076</c:v>
                </c:pt>
                <c:pt idx="253">
                  <c:v>251.57644189520252</c:v>
                </c:pt>
                <c:pt idx="254">
                  <c:v>253.56722107069629</c:v>
                </c:pt>
                <c:pt idx="255">
                  <c:v>255.08405999999999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D1-4D48-A6E2-0B6B305AEDDC}"/>
            </c:ext>
          </c:extLst>
        </c:ser>
        <c:ser>
          <c:idx val="3"/>
          <c:order val="3"/>
          <c:tx>
            <c:strRef>
              <c:f>'Gamma 2.0  6500K'!$F$16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2.0 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2.0  6500K'!$F$17:$F$272</c:f>
              <c:numCache>
                <c:formatCode>General</c:formatCode>
                <c:ptCount val="256"/>
                <c:pt idx="0">
                  <c:v>0.2407</c:v>
                </c:pt>
                <c:pt idx="1">
                  <c:v>0.24060000000000001</c:v>
                </c:pt>
                <c:pt idx="2">
                  <c:v>0.24410000000000001</c:v>
                </c:pt>
                <c:pt idx="3">
                  <c:v>0.26100000000000001</c:v>
                </c:pt>
                <c:pt idx="4">
                  <c:v>0.27489999999999998</c:v>
                </c:pt>
                <c:pt idx="5">
                  <c:v>0.29360000000000003</c:v>
                </c:pt>
                <c:pt idx="6">
                  <c:v>0.31330000000000002</c:v>
                </c:pt>
                <c:pt idx="7">
                  <c:v>0.37069999999999997</c:v>
                </c:pt>
                <c:pt idx="8">
                  <c:v>0.437</c:v>
                </c:pt>
                <c:pt idx="9">
                  <c:v>0.50229999999999997</c:v>
                </c:pt>
                <c:pt idx="10">
                  <c:v>0.5595</c:v>
                </c:pt>
                <c:pt idx="11">
                  <c:v>0.63949999999999996</c:v>
                </c:pt>
                <c:pt idx="12">
                  <c:v>0.72340000000000004</c:v>
                </c:pt>
                <c:pt idx="13">
                  <c:v>0.79749999999999999</c:v>
                </c:pt>
                <c:pt idx="14">
                  <c:v>0.9113</c:v>
                </c:pt>
                <c:pt idx="15">
                  <c:v>1.0524</c:v>
                </c:pt>
                <c:pt idx="16">
                  <c:v>1.1551</c:v>
                </c:pt>
                <c:pt idx="17">
                  <c:v>1.2663</c:v>
                </c:pt>
                <c:pt idx="18">
                  <c:v>1.3677999999999999</c:v>
                </c:pt>
                <c:pt idx="19">
                  <c:v>1.5362</c:v>
                </c:pt>
                <c:pt idx="20">
                  <c:v>1.6116999999999999</c:v>
                </c:pt>
                <c:pt idx="21">
                  <c:v>1.7310000000000001</c:v>
                </c:pt>
                <c:pt idx="22">
                  <c:v>1.8487</c:v>
                </c:pt>
                <c:pt idx="23">
                  <c:v>2.0651999999999999</c:v>
                </c:pt>
                <c:pt idx="24">
                  <c:v>2.1812999999999998</c:v>
                </c:pt>
                <c:pt idx="25">
                  <c:v>2.3763000000000001</c:v>
                </c:pt>
                <c:pt idx="26">
                  <c:v>2.5143</c:v>
                </c:pt>
                <c:pt idx="27">
                  <c:v>2.7566000000000002</c:v>
                </c:pt>
                <c:pt idx="28">
                  <c:v>2.9073000000000002</c:v>
                </c:pt>
                <c:pt idx="29">
                  <c:v>3.1112000000000002</c:v>
                </c:pt>
                <c:pt idx="30">
                  <c:v>3.3317000000000001</c:v>
                </c:pt>
                <c:pt idx="31">
                  <c:v>3.6389999999999998</c:v>
                </c:pt>
                <c:pt idx="32">
                  <c:v>3.8523999999999998</c:v>
                </c:pt>
                <c:pt idx="33">
                  <c:v>4.0330000000000004</c:v>
                </c:pt>
                <c:pt idx="34">
                  <c:v>4.2610999999999999</c:v>
                </c:pt>
                <c:pt idx="35">
                  <c:v>4.5178000000000003</c:v>
                </c:pt>
                <c:pt idx="36">
                  <c:v>4.6928000000000001</c:v>
                </c:pt>
                <c:pt idx="37">
                  <c:v>5.1189999999999998</c:v>
                </c:pt>
                <c:pt idx="38">
                  <c:v>5.4111000000000002</c:v>
                </c:pt>
                <c:pt idx="39">
                  <c:v>5.6227999999999998</c:v>
                </c:pt>
                <c:pt idx="40">
                  <c:v>5.9420000000000002</c:v>
                </c:pt>
                <c:pt idx="41">
                  <c:v>6.2521000000000004</c:v>
                </c:pt>
                <c:pt idx="42">
                  <c:v>6.4778000000000002</c:v>
                </c:pt>
                <c:pt idx="43">
                  <c:v>6.7655000000000003</c:v>
                </c:pt>
                <c:pt idx="44">
                  <c:v>7.0465</c:v>
                </c:pt>
                <c:pt idx="45">
                  <c:v>7.5312000000000001</c:v>
                </c:pt>
                <c:pt idx="46">
                  <c:v>7.8559999999999999</c:v>
                </c:pt>
                <c:pt idx="47">
                  <c:v>8.2561</c:v>
                </c:pt>
                <c:pt idx="48">
                  <c:v>8.5411000000000001</c:v>
                </c:pt>
                <c:pt idx="49">
                  <c:v>8.9178999999999995</c:v>
                </c:pt>
                <c:pt idx="50">
                  <c:v>9.2615999999999996</c:v>
                </c:pt>
                <c:pt idx="51">
                  <c:v>9.6113999999999997</c:v>
                </c:pt>
                <c:pt idx="52">
                  <c:v>9.9387000000000008</c:v>
                </c:pt>
                <c:pt idx="53">
                  <c:v>10.3504</c:v>
                </c:pt>
                <c:pt idx="54">
                  <c:v>10.688700000000001</c:v>
                </c:pt>
                <c:pt idx="55">
                  <c:v>10.9596</c:v>
                </c:pt>
                <c:pt idx="56">
                  <c:v>11.4695</c:v>
                </c:pt>
                <c:pt idx="57">
                  <c:v>11.775600000000001</c:v>
                </c:pt>
                <c:pt idx="58">
                  <c:v>12.2765</c:v>
                </c:pt>
                <c:pt idx="59">
                  <c:v>12.7545</c:v>
                </c:pt>
                <c:pt idx="60">
                  <c:v>13.416700000000001</c:v>
                </c:pt>
                <c:pt idx="61">
                  <c:v>13.854200000000001</c:v>
                </c:pt>
                <c:pt idx="62">
                  <c:v>14.3927</c:v>
                </c:pt>
                <c:pt idx="63">
                  <c:v>14.760999999999999</c:v>
                </c:pt>
                <c:pt idx="64">
                  <c:v>15.3474</c:v>
                </c:pt>
                <c:pt idx="65">
                  <c:v>15.789</c:v>
                </c:pt>
                <c:pt idx="66">
                  <c:v>16.339300000000001</c:v>
                </c:pt>
                <c:pt idx="67">
                  <c:v>16.696300000000001</c:v>
                </c:pt>
                <c:pt idx="68">
                  <c:v>17.165099999999999</c:v>
                </c:pt>
                <c:pt idx="69">
                  <c:v>17.774799999999999</c:v>
                </c:pt>
                <c:pt idx="70">
                  <c:v>18.229399999999998</c:v>
                </c:pt>
                <c:pt idx="71">
                  <c:v>18.785900000000002</c:v>
                </c:pt>
                <c:pt idx="72">
                  <c:v>19.201000000000001</c:v>
                </c:pt>
                <c:pt idx="73">
                  <c:v>19.699400000000001</c:v>
                </c:pt>
                <c:pt idx="74">
                  <c:v>20.331499999999998</c:v>
                </c:pt>
                <c:pt idx="75">
                  <c:v>20.8</c:v>
                </c:pt>
                <c:pt idx="76">
                  <c:v>21.406099999999999</c:v>
                </c:pt>
                <c:pt idx="77">
                  <c:v>21.8066</c:v>
                </c:pt>
                <c:pt idx="78">
                  <c:v>22.4953</c:v>
                </c:pt>
                <c:pt idx="79">
                  <c:v>23.064299999999999</c:v>
                </c:pt>
                <c:pt idx="80">
                  <c:v>23.225999999999999</c:v>
                </c:pt>
                <c:pt idx="81">
                  <c:v>23.748899999999999</c:v>
                </c:pt>
                <c:pt idx="82">
                  <c:v>24.234400000000001</c:v>
                </c:pt>
                <c:pt idx="83">
                  <c:v>24.7715</c:v>
                </c:pt>
                <c:pt idx="84">
                  <c:v>25.488600000000002</c:v>
                </c:pt>
                <c:pt idx="85">
                  <c:v>26.055700000000002</c:v>
                </c:pt>
                <c:pt idx="86">
                  <c:v>26.831600000000002</c:v>
                </c:pt>
                <c:pt idx="87">
                  <c:v>27.402999999999999</c:v>
                </c:pt>
                <c:pt idx="88">
                  <c:v>27.907</c:v>
                </c:pt>
                <c:pt idx="89">
                  <c:v>28.647400000000001</c:v>
                </c:pt>
                <c:pt idx="90">
                  <c:v>29.2437</c:v>
                </c:pt>
                <c:pt idx="91">
                  <c:v>30.021799999999999</c:v>
                </c:pt>
                <c:pt idx="92">
                  <c:v>30.582899999999999</c:v>
                </c:pt>
                <c:pt idx="93">
                  <c:v>31.163900000000002</c:v>
                </c:pt>
                <c:pt idx="94">
                  <c:v>31.977499999999999</c:v>
                </c:pt>
                <c:pt idx="95">
                  <c:v>32.571399999999997</c:v>
                </c:pt>
                <c:pt idx="96">
                  <c:v>32.7684</c:v>
                </c:pt>
                <c:pt idx="97">
                  <c:v>33.5807</c:v>
                </c:pt>
                <c:pt idx="98">
                  <c:v>34.197699999999998</c:v>
                </c:pt>
                <c:pt idx="99">
                  <c:v>34.8262</c:v>
                </c:pt>
                <c:pt idx="100">
                  <c:v>35.686</c:v>
                </c:pt>
                <c:pt idx="101">
                  <c:v>36.39</c:v>
                </c:pt>
                <c:pt idx="102">
                  <c:v>37.282899999999998</c:v>
                </c:pt>
                <c:pt idx="103">
                  <c:v>37.919899999999998</c:v>
                </c:pt>
                <c:pt idx="104">
                  <c:v>38.811</c:v>
                </c:pt>
                <c:pt idx="105">
                  <c:v>39.511000000000003</c:v>
                </c:pt>
                <c:pt idx="106">
                  <c:v>40.167700000000004</c:v>
                </c:pt>
                <c:pt idx="107">
                  <c:v>40.931399999999996</c:v>
                </c:pt>
                <c:pt idx="108">
                  <c:v>41.7684</c:v>
                </c:pt>
                <c:pt idx="109">
                  <c:v>42.701000000000001</c:v>
                </c:pt>
                <c:pt idx="110">
                  <c:v>43.383499999999998</c:v>
                </c:pt>
                <c:pt idx="111">
                  <c:v>44.108699999999999</c:v>
                </c:pt>
                <c:pt idx="112">
                  <c:v>45.113999999999997</c:v>
                </c:pt>
                <c:pt idx="113">
                  <c:v>45.774500000000003</c:v>
                </c:pt>
                <c:pt idx="114">
                  <c:v>46.806800000000003</c:v>
                </c:pt>
                <c:pt idx="115">
                  <c:v>47.581400000000002</c:v>
                </c:pt>
                <c:pt idx="116">
                  <c:v>48.526000000000003</c:v>
                </c:pt>
                <c:pt idx="117">
                  <c:v>49.333100000000002</c:v>
                </c:pt>
                <c:pt idx="118">
                  <c:v>50.122399999999999</c:v>
                </c:pt>
                <c:pt idx="119">
                  <c:v>51.168799999999997</c:v>
                </c:pt>
                <c:pt idx="120">
                  <c:v>51.955500000000001</c:v>
                </c:pt>
                <c:pt idx="121">
                  <c:v>52.992100000000001</c:v>
                </c:pt>
                <c:pt idx="122">
                  <c:v>53.786999999999999</c:v>
                </c:pt>
                <c:pt idx="123">
                  <c:v>54.773699999999998</c:v>
                </c:pt>
                <c:pt idx="124">
                  <c:v>55.602699999999999</c:v>
                </c:pt>
                <c:pt idx="125">
                  <c:v>56.737900000000003</c:v>
                </c:pt>
                <c:pt idx="126">
                  <c:v>57.610199999999999</c:v>
                </c:pt>
                <c:pt idx="127">
                  <c:v>58.488</c:v>
                </c:pt>
                <c:pt idx="128">
                  <c:v>59.655200000000001</c:v>
                </c:pt>
                <c:pt idx="129">
                  <c:v>60.557699999999997</c:v>
                </c:pt>
                <c:pt idx="130">
                  <c:v>61.799799999999998</c:v>
                </c:pt>
                <c:pt idx="131">
                  <c:v>62.665599999999998</c:v>
                </c:pt>
                <c:pt idx="132">
                  <c:v>63.7789</c:v>
                </c:pt>
                <c:pt idx="133">
                  <c:v>64.599100000000007</c:v>
                </c:pt>
                <c:pt idx="134">
                  <c:v>65.241799999999998</c:v>
                </c:pt>
                <c:pt idx="135">
                  <c:v>65.631299999999996</c:v>
                </c:pt>
                <c:pt idx="136">
                  <c:v>66.915800000000004</c:v>
                </c:pt>
                <c:pt idx="137">
                  <c:v>67.8703</c:v>
                </c:pt>
                <c:pt idx="138">
                  <c:v>69.128200000000007</c:v>
                </c:pt>
                <c:pt idx="139">
                  <c:v>70.054199999999994</c:v>
                </c:pt>
                <c:pt idx="140">
                  <c:v>71.262200000000007</c:v>
                </c:pt>
                <c:pt idx="141">
                  <c:v>72.156599999999997</c:v>
                </c:pt>
                <c:pt idx="142">
                  <c:v>73.119500000000002</c:v>
                </c:pt>
                <c:pt idx="143">
                  <c:v>74.527900000000002</c:v>
                </c:pt>
                <c:pt idx="144">
                  <c:v>75.543300000000002</c:v>
                </c:pt>
                <c:pt idx="145">
                  <c:v>76.8874</c:v>
                </c:pt>
                <c:pt idx="146">
                  <c:v>78.021699999999996</c:v>
                </c:pt>
                <c:pt idx="147">
                  <c:v>78.039699999999996</c:v>
                </c:pt>
                <c:pt idx="148">
                  <c:v>79.456800000000001</c:v>
                </c:pt>
                <c:pt idx="149">
                  <c:v>80.455699999999993</c:v>
                </c:pt>
                <c:pt idx="150">
                  <c:v>81.457899999999995</c:v>
                </c:pt>
                <c:pt idx="151">
                  <c:v>82.704599999999999</c:v>
                </c:pt>
                <c:pt idx="152">
                  <c:v>83.706599999999995</c:v>
                </c:pt>
                <c:pt idx="153">
                  <c:v>85.138499999999993</c:v>
                </c:pt>
                <c:pt idx="154">
                  <c:v>86.279300000000006</c:v>
                </c:pt>
                <c:pt idx="155">
                  <c:v>87.351699999999994</c:v>
                </c:pt>
                <c:pt idx="156">
                  <c:v>88.756799999999998</c:v>
                </c:pt>
                <c:pt idx="157">
                  <c:v>89.202200000000005</c:v>
                </c:pt>
                <c:pt idx="158">
                  <c:v>89.661000000000001</c:v>
                </c:pt>
                <c:pt idx="159">
                  <c:v>91.323599999999999</c:v>
                </c:pt>
                <c:pt idx="160">
                  <c:v>92.472499999999997</c:v>
                </c:pt>
                <c:pt idx="161">
                  <c:v>94.006100000000004</c:v>
                </c:pt>
                <c:pt idx="162">
                  <c:v>95.168199999999999</c:v>
                </c:pt>
                <c:pt idx="163">
                  <c:v>96.242900000000006</c:v>
                </c:pt>
                <c:pt idx="164">
                  <c:v>96.665300000000002</c:v>
                </c:pt>
                <c:pt idx="165">
                  <c:v>98.220299999999995</c:v>
                </c:pt>
                <c:pt idx="166">
                  <c:v>98.958200000000005</c:v>
                </c:pt>
                <c:pt idx="167">
                  <c:v>100.5179</c:v>
                </c:pt>
                <c:pt idx="168">
                  <c:v>101.5459</c:v>
                </c:pt>
                <c:pt idx="169">
                  <c:v>102.7401</c:v>
                </c:pt>
                <c:pt idx="170">
                  <c:v>104.3065</c:v>
                </c:pt>
                <c:pt idx="171">
                  <c:v>105.53919999999999</c:v>
                </c:pt>
                <c:pt idx="172">
                  <c:v>107.0911</c:v>
                </c:pt>
                <c:pt idx="173">
                  <c:v>107.49939999999999</c:v>
                </c:pt>
                <c:pt idx="174">
                  <c:v>108.723</c:v>
                </c:pt>
                <c:pt idx="175">
                  <c:v>110.3527</c:v>
                </c:pt>
                <c:pt idx="176">
                  <c:v>111.4268</c:v>
                </c:pt>
                <c:pt idx="177">
                  <c:v>112.6665</c:v>
                </c:pt>
                <c:pt idx="178">
                  <c:v>114.2848</c:v>
                </c:pt>
                <c:pt idx="179">
                  <c:v>115.5488</c:v>
                </c:pt>
                <c:pt idx="180">
                  <c:v>116.78830000000001</c:v>
                </c:pt>
                <c:pt idx="181">
                  <c:v>118.4588</c:v>
                </c:pt>
                <c:pt idx="182">
                  <c:v>119.7197</c:v>
                </c:pt>
                <c:pt idx="183">
                  <c:v>120.9581</c:v>
                </c:pt>
                <c:pt idx="184">
                  <c:v>122.1801</c:v>
                </c:pt>
                <c:pt idx="185">
                  <c:v>123.8424</c:v>
                </c:pt>
                <c:pt idx="186">
                  <c:v>124.27370000000001</c:v>
                </c:pt>
                <c:pt idx="187">
                  <c:v>125.504</c:v>
                </c:pt>
                <c:pt idx="188">
                  <c:v>127.0793</c:v>
                </c:pt>
                <c:pt idx="189">
                  <c:v>128.34809999999999</c:v>
                </c:pt>
                <c:pt idx="190">
                  <c:v>129.60640000000001</c:v>
                </c:pt>
                <c:pt idx="191">
                  <c:v>131.28790000000001</c:v>
                </c:pt>
                <c:pt idx="192">
                  <c:v>132.5977</c:v>
                </c:pt>
                <c:pt idx="193">
                  <c:v>134.34970000000001</c:v>
                </c:pt>
                <c:pt idx="194">
                  <c:v>135.68029999999999</c:v>
                </c:pt>
                <c:pt idx="195">
                  <c:v>137.48230000000001</c:v>
                </c:pt>
                <c:pt idx="196">
                  <c:v>138.82509999999999</c:v>
                </c:pt>
                <c:pt idx="197">
                  <c:v>140.17420000000001</c:v>
                </c:pt>
                <c:pt idx="198">
                  <c:v>140.15600000000001</c:v>
                </c:pt>
                <c:pt idx="199">
                  <c:v>141.96250000000001</c:v>
                </c:pt>
                <c:pt idx="200">
                  <c:v>143.30889999999999</c:v>
                </c:pt>
                <c:pt idx="201">
                  <c:v>145.10079999999999</c:v>
                </c:pt>
                <c:pt idx="202">
                  <c:v>146.57759999999999</c:v>
                </c:pt>
                <c:pt idx="203">
                  <c:v>148.39109999999999</c:v>
                </c:pt>
                <c:pt idx="204">
                  <c:v>149.80600000000001</c:v>
                </c:pt>
                <c:pt idx="205">
                  <c:v>151.20609999999999</c:v>
                </c:pt>
                <c:pt idx="206">
                  <c:v>153.1052</c:v>
                </c:pt>
                <c:pt idx="207">
                  <c:v>154.48670000000001</c:v>
                </c:pt>
                <c:pt idx="208">
                  <c:v>155.88069999999999</c:v>
                </c:pt>
                <c:pt idx="209">
                  <c:v>157.73699999999999</c:v>
                </c:pt>
                <c:pt idx="210">
                  <c:v>159.15350000000001</c:v>
                </c:pt>
                <c:pt idx="211">
                  <c:v>161.0719</c:v>
                </c:pt>
                <c:pt idx="212">
                  <c:v>161.3913</c:v>
                </c:pt>
                <c:pt idx="213">
                  <c:v>162.7655</c:v>
                </c:pt>
                <c:pt idx="214">
                  <c:v>164.2047</c:v>
                </c:pt>
                <c:pt idx="215">
                  <c:v>166.1541</c:v>
                </c:pt>
                <c:pt idx="216">
                  <c:v>167.62090000000001</c:v>
                </c:pt>
                <c:pt idx="217">
                  <c:v>169.56559999999999</c:v>
                </c:pt>
                <c:pt idx="218">
                  <c:v>171.00460000000001</c:v>
                </c:pt>
                <c:pt idx="219">
                  <c:v>173.0318</c:v>
                </c:pt>
                <c:pt idx="220">
                  <c:v>174.4075</c:v>
                </c:pt>
                <c:pt idx="221">
                  <c:v>175.88480000000001</c:v>
                </c:pt>
                <c:pt idx="222">
                  <c:v>177.43770000000001</c:v>
                </c:pt>
                <c:pt idx="223">
                  <c:v>178.92099999999999</c:v>
                </c:pt>
                <c:pt idx="224">
                  <c:v>180.8322</c:v>
                </c:pt>
                <c:pt idx="225">
                  <c:v>182.3126</c:v>
                </c:pt>
                <c:pt idx="226">
                  <c:v>184.3109</c:v>
                </c:pt>
                <c:pt idx="227">
                  <c:v>185.79849999999999</c:v>
                </c:pt>
                <c:pt idx="228">
                  <c:v>186.28319999999999</c:v>
                </c:pt>
                <c:pt idx="229">
                  <c:v>187.86539999999999</c:v>
                </c:pt>
                <c:pt idx="230">
                  <c:v>190.0017</c:v>
                </c:pt>
                <c:pt idx="231">
                  <c:v>191.63339999999999</c:v>
                </c:pt>
                <c:pt idx="232">
                  <c:v>193.2938</c:v>
                </c:pt>
                <c:pt idx="233">
                  <c:v>195.3903</c:v>
                </c:pt>
                <c:pt idx="234">
                  <c:v>197.01740000000001</c:v>
                </c:pt>
                <c:pt idx="235">
                  <c:v>199.03450000000001</c:v>
                </c:pt>
                <c:pt idx="236">
                  <c:v>200.6208</c:v>
                </c:pt>
                <c:pt idx="237">
                  <c:v>202.1909</c:v>
                </c:pt>
                <c:pt idx="238">
                  <c:v>204.31440000000001</c:v>
                </c:pt>
                <c:pt idx="239">
                  <c:v>204.95480000000001</c:v>
                </c:pt>
                <c:pt idx="240">
                  <c:v>205.96190000000001</c:v>
                </c:pt>
                <c:pt idx="241">
                  <c:v>208.16909999999999</c:v>
                </c:pt>
                <c:pt idx="242">
                  <c:v>209.7226</c:v>
                </c:pt>
                <c:pt idx="243">
                  <c:v>211.60990000000001</c:v>
                </c:pt>
                <c:pt idx="244">
                  <c:v>213.06100000000001</c:v>
                </c:pt>
                <c:pt idx="245">
                  <c:v>214.52879999999999</c:v>
                </c:pt>
                <c:pt idx="246">
                  <c:v>216.3982</c:v>
                </c:pt>
                <c:pt idx="247">
                  <c:v>217.77809999999999</c:v>
                </c:pt>
                <c:pt idx="248">
                  <c:v>219.58109999999999</c:v>
                </c:pt>
                <c:pt idx="249">
                  <c:v>221.02619999999999</c:v>
                </c:pt>
                <c:pt idx="250">
                  <c:v>222.5351</c:v>
                </c:pt>
                <c:pt idx="251">
                  <c:v>224.80789999999999</c:v>
                </c:pt>
                <c:pt idx="252">
                  <c:v>226.36789999999999</c:v>
                </c:pt>
                <c:pt idx="253">
                  <c:v>227.8228</c:v>
                </c:pt>
                <c:pt idx="254">
                  <c:v>230.2482</c:v>
                </c:pt>
                <c:pt idx="255">
                  <c:v>231.8946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D1-4D48-A6E2-0B6B305AE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938560"/>
        <c:axId val="1995941440"/>
      </c:lineChart>
      <c:catAx>
        <c:axId val="199593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5941440"/>
        <c:crosses val="autoZero"/>
        <c:auto val="1"/>
        <c:lblAlgn val="ctr"/>
        <c:lblOffset val="100"/>
        <c:noMultiLvlLbl val="0"/>
      </c:catAx>
      <c:valAx>
        <c:axId val="199594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593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Gamma2.2_6500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'Gamma 2.2  6500K'!$C$16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2.2 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 6500K'!$C$17:$C$272</c:f>
              <c:numCache>
                <c:formatCode>0.00_ </c:formatCode>
                <c:ptCount val="256"/>
                <c:pt idx="0">
                  <c:v>5.7261645989197023E-5</c:v>
                </c:pt>
                <c:pt idx="1">
                  <c:v>1.7954724732310774E-3</c:v>
                </c:pt>
                <c:pt idx="2">
                  <c:v>6.4723697299628666E-3</c:v>
                </c:pt>
                <c:pt idx="3">
                  <c:v>1.4473898366469434E-2</c:v>
                </c:pt>
                <c:pt idx="4">
                  <c:v>2.605751640225891E-2</c:v>
                </c:pt>
                <c:pt idx="5">
                  <c:v>4.142191049510973E-2</c:v>
                </c:pt>
                <c:pt idx="6">
                  <c:v>6.0730804811474838E-2</c:v>
                </c:pt>
                <c:pt idx="7">
                  <c:v>8.412440909867544E-2</c:v>
                </c:pt>
                <c:pt idx="8">
                  <c:v>0.11172590142037656</c:v>
                </c:pt>
                <c:pt idx="9">
                  <c:v>0.14364548851239373</c:v>
                </c:pt>
                <c:pt idx="10">
                  <c:v>0.17998313158545781</c:v>
                </c:pt>
                <c:pt idx="11">
                  <c:v>0.22083047190784513</c:v>
                </c:pt>
                <c:pt idx="12">
                  <c:v>0.26627224543107869</c:v>
                </c:pt>
                <c:pt idx="13">
                  <c:v>0.31638735487308184</c:v>
                </c:pt>
                <c:pt idx="14">
                  <c:v>0.37124970304181393</c:v>
                </c:pt>
                <c:pt idx="15">
                  <c:v>0.43092885434314721</c:v>
                </c:pt>
                <c:pt idx="16">
                  <c:v>0.49549056930892027</c:v>
                </c:pt>
                <c:pt idx="17">
                  <c:v>0.56499724313648558</c:v>
                </c:pt>
                <c:pt idx="18">
                  <c:v>0.63950827024459467</c:v>
                </c:pt>
                <c:pt idx="19">
                  <c:v>0.71908035083580946</c:v>
                </c:pt>
                <c:pt idx="20">
                  <c:v>0.80376775132193745</c:v>
                </c:pt>
                <c:pt idx="21">
                  <c:v>0.89362252756137073</c:v>
                </c:pt>
                <c:pt idx="22">
                  <c:v>0.98869471776985207</c:v>
                </c:pt>
                <c:pt idx="23">
                  <c:v>1.0890325104402196</c:v>
                </c:pt>
                <c:pt idx="24">
                  <c:v>1.1946823914727631</c:v>
                </c:pt>
                <c:pt idx="25">
                  <c:v>1.3056892738629797</c:v>
                </c:pt>
                <c:pt idx="26">
                  <c:v>1.4220966126402825</c:v>
                </c:pt>
                <c:pt idx="27">
                  <c:v>1.5439465072461176</c:v>
                </c:pt>
                <c:pt idx="28">
                  <c:v>1.6712797931450785</c:v>
                </c:pt>
                <c:pt idx="29">
                  <c:v>1.8041361241506357</c:v>
                </c:pt>
                <c:pt idx="30">
                  <c:v>1.94255404669854</c:v>
                </c:pt>
                <c:pt idx="31">
                  <c:v>2.0865710671010245</c:v>
                </c:pt>
                <c:pt idx="32">
                  <c:v>2.236223712652893</c:v>
                </c:pt>
                <c:pt idx="33">
                  <c:v>2.3915475873283718</c:v>
                </c:pt>
                <c:pt idx="34">
                  <c:v>2.552577422698818</c:v>
                </c:pt>
                <c:pt idx="35">
                  <c:v>2.7193471246113403</c:v>
                </c:pt>
                <c:pt idx="36">
                  <c:v>2.8918898160936783</c:v>
                </c:pt>
                <c:pt idx="37">
                  <c:v>3.0702378768877385</c:v>
                </c:pt>
                <c:pt idx="38">
                  <c:v>3.2544229799616442</c:v>
                </c:pt>
                <c:pt idx="39">
                  <c:v>3.4444761253054006</c:v>
                </c:pt>
                <c:pt idx="40">
                  <c:v>3.6404276712773935</c:v>
                </c:pt>
                <c:pt idx="41">
                  <c:v>3.8423073637365532</c:v>
                </c:pt>
                <c:pt idx="42">
                  <c:v>4.0501443631673117</c:v>
                </c:pt>
                <c:pt idx="43">
                  <c:v>4.2639672699805224</c:v>
                </c:pt>
                <c:pt idx="44">
                  <c:v>4.4838041481529594</c:v>
                </c:pt>
                <c:pt idx="45">
                  <c:v>4.7096825473500648</c:v>
                </c:pt>
                <c:pt idx="46">
                  <c:v>4.9416295236610956</c:v>
                </c:pt>
                <c:pt idx="47">
                  <c:v>5.1796716590622047</c:v>
                </c:pt>
                <c:pt idx="48">
                  <c:v>5.4238350797110986</c:v>
                </c:pt>
                <c:pt idx="49">
                  <c:v>5.6741454731664982</c:v>
                </c:pt>
                <c:pt idx="50">
                  <c:v>5.9306281046164084</c:v>
                </c:pt>
                <c:pt idx="51">
                  <c:v>6.1933078321910333</c:v>
                </c:pt>
                <c:pt idx="52">
                  <c:v>6.4622091214291295</c:v>
                </c:pt>
                <c:pt idx="53">
                  <c:v>6.7373560589599357</c:v>
                </c:pt>
                <c:pt idx="54">
                  <c:v>7.0187723654575054</c:v>
                </c:pt>
                <c:pt idx="55">
                  <c:v>7.3064814079187741</c:v>
                </c:pt>
                <c:pt idx="56">
                  <c:v>7.6005062113126129</c:v>
                </c:pt>
                <c:pt idx="57">
                  <c:v>7.9008694696426058</c:v>
                </c:pt>
                <c:pt idx="58">
                  <c:v>8.2075935564630793</c:v>
                </c:pt>
                <c:pt idx="59">
                  <c:v>8.5207005348842948</c:v>
                </c:pt>
                <c:pt idx="60">
                  <c:v>8.8402121670999758</c:v>
                </c:pt>
                <c:pt idx="61">
                  <c:v>9.1661499234675823</c:v>
                </c:pt>
                <c:pt idx="62">
                  <c:v>9.4985349911693469</c:v>
                </c:pt>
                <c:pt idx="63">
                  <c:v>9.8373882824799281</c:v>
                </c:pt>
                <c:pt idx="64">
                  <c:v>10.182730442664568</c:v>
                </c:pt>
                <c:pt idx="65">
                  <c:v>10.534581857529769</c:v>
                </c:pt>
                <c:pt idx="66">
                  <c:v>10.892962660646955</c:v>
                </c:pt>
                <c:pt idx="67">
                  <c:v>11.257892740267994</c:v>
                </c:pt>
                <c:pt idx="68">
                  <c:v>11.629391745950279</c:v>
                </c:pt>
                <c:pt idx="69">
                  <c:v>12.007479094907479</c:v>
                </c:pt>
                <c:pt idx="70">
                  <c:v>12.392173978101342</c:v>
                </c:pt>
                <c:pt idx="71">
                  <c:v>12.783495366088573</c:v>
                </c:pt>
                <c:pt idx="72">
                  <c:v>13.181462014635983</c:v>
                </c:pt>
                <c:pt idx="73">
                  <c:v>13.58609247011622</c:v>
                </c:pt>
                <c:pt idx="74">
                  <c:v>13.9974050746955</c:v>
                </c:pt>
                <c:pt idx="75">
                  <c:v>14.415417971324187</c:v>
                </c:pt>
                <c:pt idx="76">
                  <c:v>14.840149108540093</c:v>
                </c:pt>
                <c:pt idx="77">
                  <c:v>15.271616245094085</c:v>
                </c:pt>
                <c:pt idx="78">
                  <c:v>15.709836954406656</c:v>
                </c:pt>
                <c:pt idx="79">
                  <c:v>16.154828628863825</c:v>
                </c:pt>
                <c:pt idx="80">
                  <c:v>16.606608483960095</c:v>
                </c:pt>
                <c:pt idx="81">
                  <c:v>17.065193562295796</c:v>
                </c:pt>
                <c:pt idx="82">
                  <c:v>17.530600737435584</c:v>
                </c:pt>
                <c:pt idx="83">
                  <c:v>18.002846717634725</c:v>
                </c:pt>
                <c:pt idx="84">
                  <c:v>18.481948049439069</c:v>
                </c:pt>
                <c:pt idx="85">
                  <c:v>18.967921121164501</c:v>
                </c:pt>
                <c:pt idx="86">
                  <c:v>19.460782166261399</c:v>
                </c:pt>
                <c:pt idx="87">
                  <c:v>19.960547266569026</c:v>
                </c:pt>
                <c:pt idx="88">
                  <c:v>20.467232355464795</c:v>
                </c:pt>
                <c:pt idx="89">
                  <c:v>20.980853220912969</c:v>
                </c:pt>
                <c:pt idx="90">
                  <c:v>21.501425508416919</c:v>
                </c:pt>
                <c:pt idx="91">
                  <c:v>22.028964723879401</c:v>
                </c:pt>
                <c:pt idx="92">
                  <c:v>22.563486236374349</c:v>
                </c:pt>
                <c:pt idx="93">
                  <c:v>23.105005280833961</c:v>
                </c:pt>
                <c:pt idx="94">
                  <c:v>23.653536960654677</c:v>
                </c:pt>
                <c:pt idx="95">
                  <c:v>24.209096250225208</c:v>
                </c:pt>
                <c:pt idx="96">
                  <c:v>24.771697997379746</c:v>
                </c:pt>
                <c:pt idx="97">
                  <c:v>25.341356925779451</c:v>
                </c:pt>
                <c:pt idx="98">
                  <c:v>25.918087637224765</c:v>
                </c:pt>
                <c:pt idx="99">
                  <c:v>26.501904613901715</c:v>
                </c:pt>
                <c:pt idx="100">
                  <c:v>27.092822220564141</c:v>
                </c:pt>
                <c:pt idx="101">
                  <c:v>27.690854706654882</c:v>
                </c:pt>
                <c:pt idx="102">
                  <c:v>28.296016208367746</c:v>
                </c:pt>
                <c:pt idx="103">
                  <c:v>28.908320750652852</c:v>
                </c:pt>
                <c:pt idx="104">
                  <c:v>29.527782249167114</c:v>
                </c:pt>
                <c:pt idx="105">
                  <c:v>30.15441451217221</c:v>
                </c:pt>
                <c:pt idx="106">
                  <c:v>30.788231242381574</c:v>
                </c:pt>
                <c:pt idx="107">
                  <c:v>31.429246038758656</c:v>
                </c:pt>
                <c:pt idx="108">
                  <c:v>32.077472398267801</c:v>
                </c:pt>
                <c:pt idx="109">
                  <c:v>32.732923717579624</c:v>
                </c:pt>
                <c:pt idx="110">
                  <c:v>33.395613294732527</c:v>
                </c:pt>
                <c:pt idx="111">
                  <c:v>34.065554330751709</c:v>
                </c:pt>
                <c:pt idx="112">
                  <c:v>34.742759931227198</c:v>
                </c:pt>
                <c:pt idx="113">
                  <c:v>35.42724310785237</c:v>
                </c:pt>
                <c:pt idx="114">
                  <c:v>36.119016779924173</c:v>
                </c:pt>
                <c:pt idx="115">
                  <c:v>36.818093775806432</c:v>
                </c:pt>
                <c:pt idx="116">
                  <c:v>37.524486834357397</c:v>
                </c:pt>
                <c:pt idx="117">
                  <c:v>38.238208606322765</c:v>
                </c:pt>
                <c:pt idx="118">
                  <c:v>38.959271655695161</c:v>
                </c:pt>
                <c:pt idx="119">
                  <c:v>39.687688461041425</c:v>
                </c:pt>
                <c:pt idx="120">
                  <c:v>40.423471416798449</c:v>
                </c:pt>
                <c:pt idx="121">
                  <c:v>41.166632834538746</c:v>
                </c:pt>
                <c:pt idx="122">
                  <c:v>41.917184944206625</c:v>
                </c:pt>
                <c:pt idx="123">
                  <c:v>42.675139895325962</c:v>
                </c:pt>
                <c:pt idx="124">
                  <c:v>43.440509758180369</c:v>
                </c:pt>
                <c:pt idx="125">
                  <c:v>44.213306524966576</c:v>
                </c:pt>
                <c:pt idx="126">
                  <c:v>44.993542110922</c:v>
                </c:pt>
                <c:pt idx="127">
                  <c:v>45.781228355427231</c:v>
                </c:pt>
                <c:pt idx="128">
                  <c:v>46.576377023083971</c:v>
                </c:pt>
                <c:pt idx="129">
                  <c:v>47.378999804769393</c:v>
                </c:pt>
                <c:pt idx="130">
                  <c:v>48.189108318667792</c:v>
                </c:pt>
                <c:pt idx="131">
                  <c:v>49.006714111279507</c:v>
                </c:pt>
                <c:pt idx="132">
                  <c:v>49.831828658408639</c:v>
                </c:pt>
                <c:pt idx="133">
                  <c:v>50.664463366129517</c:v>
                </c:pt>
                <c:pt idx="134">
                  <c:v>51.50462957173287</c:v>
                </c:pt>
                <c:pt idx="135">
                  <c:v>52.352338544652149</c:v>
                </c:pt>
                <c:pt idx="136">
                  <c:v>53.207601487370489</c:v>
                </c:pt>
                <c:pt idx="137">
                  <c:v>54.070429536309248</c:v>
                </c:pt>
                <c:pt idx="138">
                  <c:v>54.94083376269792</c:v>
                </c:pt>
                <c:pt idx="139">
                  <c:v>55.81882517342676</c:v>
                </c:pt>
                <c:pt idx="140">
                  <c:v>56.704414711881867</c:v>
                </c:pt>
                <c:pt idx="141">
                  <c:v>57.597613258763758</c:v>
                </c:pt>
                <c:pt idx="142">
                  <c:v>58.498431632889449</c:v>
                </c:pt>
                <c:pt idx="143">
                  <c:v>59.406880591978954</c:v>
                </c:pt>
                <c:pt idx="144">
                  <c:v>60.322970833425885</c:v>
                </c:pt>
                <c:pt idx="145">
                  <c:v>61.246712995053691</c:v>
                </c:pt>
                <c:pt idx="146">
                  <c:v>62.178117655856632</c:v>
                </c:pt>
                <c:pt idx="147">
                  <c:v>63.117195336726837</c:v>
                </c:pt>
                <c:pt idx="148">
                  <c:v>64.063956501167439</c:v>
                </c:pt>
                <c:pt idx="149">
                  <c:v>65.018411555992145</c:v>
                </c:pt>
                <c:pt idx="150">
                  <c:v>65.980570852011653</c:v>
                </c:pt>
                <c:pt idx="151">
                  <c:v>66.950444684707236</c:v>
                </c:pt>
                <c:pt idx="152">
                  <c:v>67.92804329489168</c:v>
                </c:pt>
                <c:pt idx="153">
                  <c:v>68.91337686935826</c:v>
                </c:pt>
                <c:pt idx="154">
                  <c:v>69.906455541517715</c:v>
                </c:pt>
                <c:pt idx="155">
                  <c:v>70.907289392023443</c:v>
                </c:pt>
                <c:pt idx="156">
                  <c:v>71.915888449385577</c:v>
                </c:pt>
                <c:pt idx="157">
                  <c:v>72.932262690573921</c:v>
                </c:pt>
                <c:pt idx="158">
                  <c:v>73.956422041610367</c:v>
                </c:pt>
                <c:pt idx="159">
                  <c:v>74.98837637815015</c:v>
                </c:pt>
                <c:pt idx="160">
                  <c:v>76.028135526053632</c:v>
                </c:pt>
                <c:pt idx="161">
                  <c:v>77.07570926194748</c:v>
                </c:pt>
                <c:pt idx="162">
                  <c:v>78.131107313776482</c:v>
                </c:pt>
                <c:pt idx="163">
                  <c:v>79.194339361345342</c:v>
                </c:pt>
                <c:pt idx="164">
                  <c:v>80.265415036851522</c:v>
                </c:pt>
                <c:pt idx="165">
                  <c:v>81.344343925408907</c:v>
                </c:pt>
                <c:pt idx="166">
                  <c:v>82.431135565562428</c:v>
                </c:pt>
                <c:pt idx="167">
                  <c:v>83.525799449794036</c:v>
                </c:pt>
                <c:pt idx="168">
                  <c:v>84.628345025020295</c:v>
                </c:pt>
                <c:pt idx="169">
                  <c:v>85.738781693081549</c:v>
                </c:pt>
                <c:pt idx="170">
                  <c:v>86.857118811222904</c:v>
                </c:pt>
                <c:pt idx="171">
                  <c:v>87.983365692567517</c:v>
                </c:pt>
                <c:pt idx="172">
                  <c:v>89.117531606581792</c:v>
                </c:pt>
                <c:pt idx="173">
                  <c:v>90.259625779533295</c:v>
                </c:pt>
                <c:pt idx="174">
                  <c:v>91.409657394941092</c:v>
                </c:pt>
                <c:pt idx="175">
                  <c:v>92.567635594018654</c:v>
                </c:pt>
                <c:pt idx="176">
                  <c:v>93.733569476110191</c:v>
                </c:pt>
                <c:pt idx="177">
                  <c:v>94.90746809911937</c:v>
                </c:pt>
                <c:pt idx="178">
                  <c:v>96.089340479931721</c:v>
                </c:pt>
                <c:pt idx="179">
                  <c:v>97.279195594830213</c:v>
                </c:pt>
                <c:pt idx="180">
                  <c:v>98.477042379904276</c:v>
                </c:pt>
                <c:pt idx="181">
                  <c:v>99.682889731452477</c:v>
                </c:pt>
                <c:pt idx="182">
                  <c:v>100.89674650637915</c:v>
                </c:pt>
                <c:pt idx="183">
                  <c:v>102.11862152258438</c:v>
                </c:pt>
                <c:pt idx="184">
                  <c:v>103.34852355934881</c:v>
                </c:pt>
                <c:pt idx="185">
                  <c:v>104.58646135771181</c:v>
                </c:pt>
                <c:pt idx="186">
                  <c:v>105.83244362084437</c:v>
                </c:pt>
                <c:pt idx="187">
                  <c:v>107.08647901441624</c:v>
                </c:pt>
                <c:pt idx="188">
                  <c:v>108.34857616695753</c:v>
                </c:pt>
                <c:pt idx="189">
                  <c:v>109.61874367021497</c:v>
                </c:pt>
                <c:pt idx="190">
                  <c:v>110.89699007950281</c:v>
                </c:pt>
                <c:pt idx="191">
                  <c:v>112.18332391404866</c:v>
                </c:pt>
                <c:pt idx="192">
                  <c:v>113.47775365733409</c:v>
                </c:pt>
                <c:pt idx="193">
                  <c:v>114.7802877574305</c:v>
                </c:pt>
                <c:pt idx="194">
                  <c:v>116.09093462732979</c:v>
                </c:pt>
                <c:pt idx="195">
                  <c:v>117.40970264527046</c:v>
                </c:pt>
                <c:pt idx="196">
                  <c:v>118.73660015505905</c:v>
                </c:pt>
                <c:pt idx="197">
                  <c:v>120.07163546638671</c:v>
                </c:pt>
                <c:pt idx="198">
                  <c:v>121.41481685514181</c:v>
                </c:pt>
                <c:pt idx="199">
                  <c:v>122.7661525637172</c:v>
                </c:pt>
                <c:pt idx="200">
                  <c:v>124.12565080131432</c:v>
                </c:pt>
                <c:pt idx="201">
                  <c:v>125.49331974424206</c:v>
                </c:pt>
                <c:pt idx="202">
                  <c:v>126.86916753621186</c:v>
                </c:pt>
                <c:pt idx="203">
                  <c:v>128.25320228862878</c:v>
                </c:pt>
                <c:pt idx="204">
                  <c:v>129.64543208087832</c:v>
                </c:pt>
                <c:pt idx="205">
                  <c:v>131.04586496060952</c:v>
                </c:pt>
                <c:pt idx="206">
                  <c:v>132.45450894401412</c:v>
                </c:pt>
                <c:pt idx="207">
                  <c:v>133.87137201610159</c:v>
                </c:pt>
                <c:pt idx="208">
                  <c:v>135.29646213097109</c:v>
                </c:pt>
                <c:pt idx="209">
                  <c:v>136.72978721207929</c:v>
                </c:pt>
                <c:pt idx="210">
                  <c:v>138.17135515250453</c:v>
                </c:pt>
                <c:pt idx="211">
                  <c:v>139.6211738152079</c:v>
                </c:pt>
                <c:pt idx="212">
                  <c:v>141.07925103329032</c:v>
                </c:pt>
                <c:pt idx="213">
                  <c:v>142.54559461024667</c:v>
                </c:pt>
                <c:pt idx="214">
                  <c:v>144.02021232021633</c:v>
                </c:pt>
                <c:pt idx="215">
                  <c:v>145.50311190823041</c:v>
                </c:pt>
                <c:pt idx="216">
                  <c:v>146.99430109045588</c:v>
                </c:pt>
                <c:pt idx="217">
                  <c:v>148.49378755443658</c:v>
                </c:pt>
                <c:pt idx="218">
                  <c:v>150.00157895933083</c:v>
                </c:pt>
                <c:pt idx="219">
                  <c:v>151.51768293614637</c:v>
                </c:pt>
                <c:pt idx="220">
                  <c:v>153.04210708797191</c:v>
                </c:pt>
                <c:pt idx="221">
                  <c:v>154.57485899020608</c:v>
                </c:pt>
                <c:pt idx="222">
                  <c:v>156.11594619078323</c:v>
                </c:pt>
                <c:pt idx="223">
                  <c:v>157.66537621039626</c:v>
                </c:pt>
                <c:pt idx="224">
                  <c:v>159.22315654271728</c:v>
                </c:pt>
                <c:pt idx="225">
                  <c:v>160.78929465461471</c:v>
                </c:pt>
                <c:pt idx="226">
                  <c:v>162.36379798636813</c:v>
                </c:pt>
                <c:pt idx="227">
                  <c:v>163.94667395188046</c:v>
                </c:pt>
                <c:pt idx="228">
                  <c:v>165.5379299388872</c:v>
                </c:pt>
                <c:pt idx="229">
                  <c:v>167.13757330916368</c:v>
                </c:pt>
                <c:pt idx="230">
                  <c:v>168.7456113987291</c:v>
                </c:pt>
                <c:pt idx="231">
                  <c:v>170.36205151804842</c:v>
                </c:pt>
                <c:pt idx="232">
                  <c:v>171.98690095223199</c:v>
                </c:pt>
                <c:pt idx="233">
                  <c:v>173.6201669612324</c:v>
                </c:pt>
                <c:pt idx="234">
                  <c:v>175.26185678003921</c:v>
                </c:pt>
                <c:pt idx="235">
                  <c:v>176.91197761887099</c:v>
                </c:pt>
                <c:pt idx="236">
                  <c:v>178.57053666336577</c:v>
                </c:pt>
                <c:pt idx="237">
                  <c:v>180.23754107476833</c:v>
                </c:pt>
                <c:pt idx="238">
                  <c:v>181.91299799011617</c:v>
                </c:pt>
                <c:pt idx="239">
                  <c:v>183.59691452242234</c:v>
                </c:pt>
                <c:pt idx="240">
                  <c:v>185.28929776085715</c:v>
                </c:pt>
                <c:pt idx="241">
                  <c:v>186.99015477092695</c:v>
                </c:pt>
                <c:pt idx="242">
                  <c:v>188.69949259465119</c:v>
                </c:pt>
                <c:pt idx="243">
                  <c:v>190.41731825073731</c:v>
                </c:pt>
                <c:pt idx="244">
                  <c:v>192.14363873475378</c:v>
                </c:pt>
                <c:pt idx="245">
                  <c:v>193.87846101930091</c:v>
                </c:pt>
                <c:pt idx="246">
                  <c:v>195.62179205418002</c:v>
                </c:pt>
                <c:pt idx="247">
                  <c:v>197.37363876656011</c:v>
                </c:pt>
                <c:pt idx="248">
                  <c:v>199.13400806114345</c:v>
                </c:pt>
                <c:pt idx="249">
                  <c:v>200.90290682032864</c:v>
                </c:pt>
                <c:pt idx="250">
                  <c:v>202.68034190437209</c:v>
                </c:pt>
                <c:pt idx="251">
                  <c:v>204.46632015154773</c:v>
                </c:pt>
                <c:pt idx="252">
                  <c:v>206.26084837830479</c:v>
                </c:pt>
                <c:pt idx="253">
                  <c:v>208.06393337942382</c:v>
                </c:pt>
                <c:pt idx="254">
                  <c:v>209.87558192817136</c:v>
                </c:pt>
                <c:pt idx="255">
                  <c:v>211.21442999999999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F-4825-AC92-CEBC6884A5DC}"/>
            </c:ext>
          </c:extLst>
        </c:ser>
        <c:ser>
          <c:idx val="1"/>
          <c:order val="1"/>
          <c:tx>
            <c:strRef>
              <c:f>'Gamma 2.2  6500K'!$D$16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2.2 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 6500K'!$D$17:$D$272</c:f>
              <c:numCache>
                <c:formatCode>0.00_ </c:formatCode>
                <c:ptCount val="256"/>
                <c:pt idx="0">
                  <c:v>6.36240510991078E-5</c:v>
                </c:pt>
                <c:pt idx="1">
                  <c:v>1.9949694147011971E-3</c:v>
                </c:pt>
                <c:pt idx="2">
                  <c:v>7.1915219221809629E-3</c:v>
                </c:pt>
                <c:pt idx="3">
                  <c:v>1.608210929607715E-2</c:v>
                </c:pt>
                <c:pt idx="4">
                  <c:v>2.8952796002509898E-2</c:v>
                </c:pt>
                <c:pt idx="5">
                  <c:v>4.6024344994566369E-2</c:v>
                </c:pt>
                <c:pt idx="6">
                  <c:v>6.7478672012749819E-2</c:v>
                </c:pt>
                <c:pt idx="7">
                  <c:v>9.3471565665194933E-2</c:v>
                </c:pt>
                <c:pt idx="8">
                  <c:v>0.12413989046708505</c:v>
                </c:pt>
                <c:pt idx="9">
                  <c:v>0.15960609834710413</c:v>
                </c:pt>
                <c:pt idx="10">
                  <c:v>0.19998125731717534</c:v>
                </c:pt>
                <c:pt idx="11">
                  <c:v>0.24536719100871682</c:v>
                </c:pt>
                <c:pt idx="12">
                  <c:v>0.29585805047897634</c:v>
                </c:pt>
                <c:pt idx="13">
                  <c:v>0.35154150541453538</c:v>
                </c:pt>
                <c:pt idx="14">
                  <c:v>0.41249967004645993</c:v>
                </c:pt>
                <c:pt idx="15">
                  <c:v>0.47880983815905248</c:v>
                </c:pt>
                <c:pt idx="16">
                  <c:v>0.5505450770099114</c:v>
                </c:pt>
                <c:pt idx="17">
                  <c:v>0.62777471459609513</c:v>
                </c:pt>
                <c:pt idx="18">
                  <c:v>0.71056474471621633</c:v>
                </c:pt>
                <c:pt idx="19">
                  <c:v>0.79897816759534379</c:v>
                </c:pt>
                <c:pt idx="20">
                  <c:v>0.89307527924659713</c:v>
                </c:pt>
                <c:pt idx="21">
                  <c:v>0.99291391951263408</c:v>
                </c:pt>
                <c:pt idx="22">
                  <c:v>1.0985496864109467</c:v>
                </c:pt>
                <c:pt idx="23">
                  <c:v>1.2100361227113552</c:v>
                </c:pt>
                <c:pt idx="24">
                  <c:v>1.3274248794141812</c:v>
                </c:pt>
                <c:pt idx="25">
                  <c:v>1.4507658598477553</c:v>
                </c:pt>
                <c:pt idx="26">
                  <c:v>1.5801073473780918</c:v>
                </c:pt>
                <c:pt idx="27">
                  <c:v>1.715496119162353</c:v>
                </c:pt>
                <c:pt idx="28">
                  <c:v>1.8569775479389761</c:v>
                </c:pt>
                <c:pt idx="29">
                  <c:v>2.0045956935007063</c:v>
                </c:pt>
                <c:pt idx="30">
                  <c:v>2.1583933852206001</c:v>
                </c:pt>
                <c:pt idx="31">
                  <c:v>2.318412296778916</c:v>
                </c:pt>
                <c:pt idx="32">
                  <c:v>2.4846930140587697</c:v>
                </c:pt>
                <c:pt idx="33">
                  <c:v>2.6572750970315244</c:v>
                </c:pt>
                <c:pt idx="34">
                  <c:v>2.8361971363320202</c:v>
                </c:pt>
                <c:pt idx="35">
                  <c:v>3.0214968051237117</c:v>
                </c:pt>
                <c:pt idx="36">
                  <c:v>3.2132109067707537</c:v>
                </c:pt>
                <c:pt idx="37">
                  <c:v>3.4113754187641541</c:v>
                </c:pt>
                <c:pt idx="38">
                  <c:v>3.6160255332907161</c:v>
                </c:pt>
                <c:pt idx="39">
                  <c:v>3.8271956947837786</c:v>
                </c:pt>
                <c:pt idx="40">
                  <c:v>4.0449196347526595</c:v>
                </c:pt>
                <c:pt idx="41">
                  <c:v>4.2692304041517257</c:v>
                </c:pt>
                <c:pt idx="42">
                  <c:v>4.5001604035192351</c:v>
                </c:pt>
                <c:pt idx="43">
                  <c:v>4.7377414110894689</c:v>
                </c:pt>
                <c:pt idx="44">
                  <c:v>4.9820046090588432</c:v>
                </c:pt>
                <c:pt idx="45">
                  <c:v>5.2329806081667387</c:v>
                </c:pt>
                <c:pt idx="46">
                  <c:v>5.4906994707345511</c:v>
                </c:pt>
                <c:pt idx="47">
                  <c:v>5.7551907322913385</c:v>
                </c:pt>
                <c:pt idx="48">
                  <c:v>6.0264834219012204</c:v>
                </c:pt>
                <c:pt idx="49">
                  <c:v>6.3046060812961091</c:v>
                </c:pt>
                <c:pt idx="50">
                  <c:v>6.5895867829071202</c:v>
                </c:pt>
                <c:pt idx="51">
                  <c:v>6.8814531468789264</c:v>
                </c:pt>
                <c:pt idx="52">
                  <c:v>7.1802323571434767</c:v>
                </c:pt>
                <c:pt idx="53">
                  <c:v>7.4859511766221507</c:v>
                </c:pt>
                <c:pt idx="54">
                  <c:v>7.7986359616194507</c:v>
                </c:pt>
                <c:pt idx="55">
                  <c:v>8.1183126754653046</c:v>
                </c:pt>
                <c:pt idx="56">
                  <c:v>8.4450069014584592</c:v>
                </c:pt>
                <c:pt idx="57">
                  <c:v>8.7787438551584511</c:v>
                </c:pt>
                <c:pt idx="58">
                  <c:v>9.1195483960700887</c:v>
                </c:pt>
                <c:pt idx="59">
                  <c:v>9.4674450387603279</c:v>
                </c:pt>
                <c:pt idx="60">
                  <c:v>9.8224579634444176</c:v>
                </c:pt>
                <c:pt idx="61">
                  <c:v>10.184611026075091</c:v>
                </c:pt>
                <c:pt idx="62">
                  <c:v>10.553927767965941</c:v>
                </c:pt>
                <c:pt idx="63">
                  <c:v>10.930431424977698</c:v>
                </c:pt>
                <c:pt idx="64">
                  <c:v>11.314144936293964</c:v>
                </c:pt>
                <c:pt idx="65">
                  <c:v>11.705090952810854</c:v>
                </c:pt>
                <c:pt idx="66">
                  <c:v>12.103291845163284</c:v>
                </c:pt>
                <c:pt idx="67">
                  <c:v>12.508769711408883</c:v>
                </c:pt>
                <c:pt idx="68">
                  <c:v>12.921546384389199</c:v>
                </c:pt>
                <c:pt idx="69">
                  <c:v>13.341643438786088</c:v>
                </c:pt>
                <c:pt idx="70">
                  <c:v>13.769082197890381</c:v>
                </c:pt>
                <c:pt idx="71">
                  <c:v>14.203883740098414</c:v>
                </c:pt>
                <c:pt idx="72">
                  <c:v>14.646068905151093</c:v>
                </c:pt>
                <c:pt idx="73">
                  <c:v>15.095658300129134</c:v>
                </c:pt>
                <c:pt idx="74">
                  <c:v>15.552672305217223</c:v>
                </c:pt>
                <c:pt idx="75">
                  <c:v>16.017131079249097</c:v>
                </c:pt>
                <c:pt idx="76">
                  <c:v>16.489054565044547</c:v>
                </c:pt>
                <c:pt idx="77">
                  <c:v>16.968462494548984</c:v>
                </c:pt>
                <c:pt idx="78">
                  <c:v>17.455374393785174</c:v>
                </c:pt>
                <c:pt idx="79">
                  <c:v>17.949809587626472</c:v>
                </c:pt>
                <c:pt idx="80">
                  <c:v>18.451787204400105</c:v>
                </c:pt>
                <c:pt idx="81">
                  <c:v>18.961326180328662</c:v>
                </c:pt>
                <c:pt idx="82">
                  <c:v>19.478445263817317</c:v>
                </c:pt>
                <c:pt idx="83">
                  <c:v>20.00316301959414</c:v>
                </c:pt>
                <c:pt idx="84">
                  <c:v>20.535497832710078</c:v>
                </c:pt>
                <c:pt idx="85">
                  <c:v>21.075467912404999</c:v>
                </c:pt>
                <c:pt idx="86">
                  <c:v>21.623091295845999</c:v>
                </c:pt>
                <c:pt idx="87">
                  <c:v>22.178385851743364</c:v>
                </c:pt>
                <c:pt idx="88">
                  <c:v>22.741369283849771</c:v>
                </c:pt>
                <c:pt idx="89">
                  <c:v>23.312059134347745</c:v>
                </c:pt>
                <c:pt idx="90">
                  <c:v>23.890472787129909</c:v>
                </c:pt>
                <c:pt idx="91">
                  <c:v>24.476627470977114</c:v>
                </c:pt>
                <c:pt idx="92">
                  <c:v>25.070540262638165</c:v>
                </c:pt>
                <c:pt idx="93">
                  <c:v>25.672228089815512</c:v>
                </c:pt>
                <c:pt idx="94">
                  <c:v>26.281707734060753</c:v>
                </c:pt>
                <c:pt idx="95">
                  <c:v>26.898995833583566</c:v>
                </c:pt>
                <c:pt idx="96">
                  <c:v>27.524108885977498</c:v>
                </c:pt>
                <c:pt idx="97">
                  <c:v>28.157063250866056</c:v>
                </c:pt>
                <c:pt idx="98">
                  <c:v>28.797875152471963</c:v>
                </c:pt>
                <c:pt idx="99">
                  <c:v>29.446560682113017</c:v>
                </c:pt>
                <c:pt idx="100">
                  <c:v>30.103135800626823</c:v>
                </c:pt>
                <c:pt idx="101">
                  <c:v>30.767616340727646</c:v>
                </c:pt>
                <c:pt idx="102">
                  <c:v>31.440018009297496</c:v>
                </c:pt>
                <c:pt idx="103">
                  <c:v>32.12035638961428</c:v>
                </c:pt>
                <c:pt idx="104">
                  <c:v>32.808646943519015</c:v>
                </c:pt>
                <c:pt idx="105">
                  <c:v>33.504905013524677</c:v>
                </c:pt>
                <c:pt idx="106">
                  <c:v>34.209145824868415</c:v>
                </c:pt>
                <c:pt idx="107">
                  <c:v>34.92138448750962</c:v>
                </c:pt>
                <c:pt idx="108">
                  <c:v>35.641635998075337</c:v>
                </c:pt>
                <c:pt idx="109">
                  <c:v>36.369915241755137</c:v>
                </c:pt>
                <c:pt idx="110">
                  <c:v>37.106236994147253</c:v>
                </c:pt>
                <c:pt idx="111">
                  <c:v>37.850615923057454</c:v>
                </c:pt>
                <c:pt idx="112">
                  <c:v>38.603066590252439</c:v>
                </c:pt>
                <c:pt idx="113">
                  <c:v>39.363603453169297</c:v>
                </c:pt>
                <c:pt idx="114">
                  <c:v>40.132240866582414</c:v>
                </c:pt>
                <c:pt idx="115">
                  <c:v>40.908993084229365</c:v>
                </c:pt>
                <c:pt idx="116">
                  <c:v>41.693874260397109</c:v>
                </c:pt>
                <c:pt idx="117">
                  <c:v>42.486898451469742</c:v>
                </c:pt>
                <c:pt idx="118">
                  <c:v>43.288079617439067</c:v>
                </c:pt>
                <c:pt idx="119">
                  <c:v>44.097431623379364</c:v>
                </c:pt>
                <c:pt idx="120">
                  <c:v>44.91496824088717</c:v>
                </c:pt>
                <c:pt idx="121">
                  <c:v>45.740703149487494</c:v>
                </c:pt>
                <c:pt idx="122">
                  <c:v>46.574649938007362</c:v>
                </c:pt>
                <c:pt idx="123">
                  <c:v>47.416822105917738</c:v>
                </c:pt>
                <c:pt idx="124">
                  <c:v>48.267233064644856</c:v>
                </c:pt>
                <c:pt idx="125">
                  <c:v>49.125896138851751</c:v>
                </c:pt>
                <c:pt idx="126">
                  <c:v>49.992824567691109</c:v>
                </c:pt>
                <c:pt idx="127">
                  <c:v>50.868031506030256</c:v>
                </c:pt>
                <c:pt idx="128">
                  <c:v>51.751530025648854</c:v>
                </c:pt>
                <c:pt idx="129">
                  <c:v>52.643333116410439</c:v>
                </c:pt>
                <c:pt idx="130">
                  <c:v>53.543453687408658</c:v>
                </c:pt>
                <c:pt idx="131">
                  <c:v>54.451904568088338</c:v>
                </c:pt>
                <c:pt idx="132">
                  <c:v>55.368698509342934</c:v>
                </c:pt>
                <c:pt idx="133">
                  <c:v>56.293848184588356</c:v>
                </c:pt>
                <c:pt idx="134">
                  <c:v>57.227366190814301</c:v>
                </c:pt>
                <c:pt idx="135">
                  <c:v>58.1692650496135</c:v>
                </c:pt>
                <c:pt idx="136">
                  <c:v>59.119557208189434</c:v>
                </c:pt>
                <c:pt idx="137">
                  <c:v>60.078255040343606</c:v>
                </c:pt>
                <c:pt idx="138">
                  <c:v>61.045370847442136</c:v>
                </c:pt>
                <c:pt idx="139">
                  <c:v>62.020916859363062</c:v>
                </c:pt>
                <c:pt idx="140">
                  <c:v>63.004905235424296</c:v>
                </c:pt>
                <c:pt idx="141">
                  <c:v>63.99734806529306</c:v>
                </c:pt>
                <c:pt idx="142">
                  <c:v>64.998257369877166</c:v>
                </c:pt>
                <c:pt idx="143">
                  <c:v>66.007645102198836</c:v>
                </c:pt>
                <c:pt idx="144">
                  <c:v>67.025523148250983</c:v>
                </c:pt>
                <c:pt idx="145">
                  <c:v>68.051903327837437</c:v>
                </c:pt>
                <c:pt idx="146">
                  <c:v>69.08679739539626</c:v>
                </c:pt>
                <c:pt idx="147">
                  <c:v>70.130217040807594</c:v>
                </c:pt>
                <c:pt idx="148">
                  <c:v>71.18217389018605</c:v>
                </c:pt>
                <c:pt idx="149">
                  <c:v>72.242679506657936</c:v>
                </c:pt>
                <c:pt idx="150">
                  <c:v>73.311745391124063</c:v>
                </c:pt>
                <c:pt idx="151">
                  <c:v>74.389382983008048</c:v>
                </c:pt>
                <c:pt idx="152">
                  <c:v>75.475603660990757</c:v>
                </c:pt>
                <c:pt idx="153">
                  <c:v>76.570418743731395</c:v>
                </c:pt>
                <c:pt idx="154">
                  <c:v>77.673839490575247</c:v>
                </c:pt>
                <c:pt idx="155">
                  <c:v>78.785877102248264</c:v>
                </c:pt>
                <c:pt idx="156">
                  <c:v>79.906542721539523</c:v>
                </c:pt>
                <c:pt idx="157">
                  <c:v>81.035847433971028</c:v>
                </c:pt>
                <c:pt idx="158">
                  <c:v>82.173802268455958</c:v>
                </c:pt>
                <c:pt idx="159">
                  <c:v>83.320418197944605</c:v>
                </c:pt>
                <c:pt idx="160">
                  <c:v>84.475706140059586</c:v>
                </c:pt>
                <c:pt idx="161">
                  <c:v>85.639676957719431</c:v>
                </c:pt>
                <c:pt idx="162">
                  <c:v>86.81234145975165</c:v>
                </c:pt>
                <c:pt idx="163">
                  <c:v>87.993710401494823</c:v>
                </c:pt>
                <c:pt idx="164">
                  <c:v>89.183794485390578</c:v>
                </c:pt>
                <c:pt idx="165">
                  <c:v>90.382604361565456</c:v>
                </c:pt>
                <c:pt idx="166">
                  <c:v>91.590150628402696</c:v>
                </c:pt>
                <c:pt idx="167">
                  <c:v>92.806443833104481</c:v>
                </c:pt>
                <c:pt idx="168">
                  <c:v>94.031494472244773</c:v>
                </c:pt>
                <c:pt idx="169">
                  <c:v>95.265312992312829</c:v>
                </c:pt>
                <c:pt idx="170">
                  <c:v>96.50790979024768</c:v>
                </c:pt>
                <c:pt idx="171">
                  <c:v>97.75929521396391</c:v>
                </c:pt>
                <c:pt idx="172">
                  <c:v>99.019479562868653</c:v>
                </c:pt>
                <c:pt idx="173">
                  <c:v>100.28847308837032</c:v>
                </c:pt>
                <c:pt idx="174">
                  <c:v>101.56628599437899</c:v>
                </c:pt>
                <c:pt idx="175">
                  <c:v>102.85292843779851</c:v>
                </c:pt>
                <c:pt idx="176">
                  <c:v>104.14841052901133</c:v>
                </c:pt>
                <c:pt idx="177">
                  <c:v>105.45274233235486</c:v>
                </c:pt>
                <c:pt idx="178">
                  <c:v>106.7659338665908</c:v>
                </c:pt>
                <c:pt idx="179">
                  <c:v>108.0879951053669</c:v>
                </c:pt>
                <c:pt idx="180">
                  <c:v>109.41893597767141</c:v>
                </c:pt>
                <c:pt idx="181">
                  <c:v>110.75876636828053</c:v>
                </c:pt>
                <c:pt idx="182">
                  <c:v>112.10749611819905</c:v>
                </c:pt>
                <c:pt idx="183">
                  <c:v>113.46513502509376</c:v>
                </c:pt>
                <c:pt idx="184">
                  <c:v>114.8316928437209</c:v>
                </c:pt>
                <c:pt idx="185">
                  <c:v>116.20717928634646</c:v>
                </c:pt>
                <c:pt idx="186">
                  <c:v>117.59160402316041</c:v>
                </c:pt>
                <c:pt idx="187">
                  <c:v>118.98497668268472</c:v>
                </c:pt>
                <c:pt idx="188">
                  <c:v>120.38730685217503</c:v>
                </c:pt>
                <c:pt idx="189">
                  <c:v>121.79860407801662</c:v>
                </c:pt>
                <c:pt idx="190">
                  <c:v>123.21887786611424</c:v>
                </c:pt>
                <c:pt idx="191">
                  <c:v>124.64813768227629</c:v>
                </c:pt>
                <c:pt idx="192">
                  <c:v>126.08639295259343</c:v>
                </c:pt>
                <c:pt idx="193">
                  <c:v>127.53365306381167</c:v>
                </c:pt>
                <c:pt idx="194">
                  <c:v>128.98992736369976</c:v>
                </c:pt>
                <c:pt idx="195">
                  <c:v>130.45522516141162</c:v>
                </c:pt>
                <c:pt idx="196">
                  <c:v>131.92955572784339</c:v>
                </c:pt>
                <c:pt idx="197">
                  <c:v>133.41292829598524</c:v>
                </c:pt>
                <c:pt idx="198">
                  <c:v>134.90535206126867</c:v>
                </c:pt>
                <c:pt idx="199">
                  <c:v>136.40683618190801</c:v>
                </c:pt>
                <c:pt idx="200">
                  <c:v>137.91738977923814</c:v>
                </c:pt>
                <c:pt idx="201">
                  <c:v>139.43702193804674</c:v>
                </c:pt>
                <c:pt idx="202">
                  <c:v>140.96574170690207</c:v>
                </c:pt>
                <c:pt idx="203">
                  <c:v>142.50355809847642</c:v>
                </c:pt>
                <c:pt idx="204">
                  <c:v>144.05048008986481</c:v>
                </c:pt>
                <c:pt idx="205">
                  <c:v>145.60651662289948</c:v>
                </c:pt>
                <c:pt idx="206">
                  <c:v>147.17167660446015</c:v>
                </c:pt>
                <c:pt idx="207">
                  <c:v>148.74596890677955</c:v>
                </c:pt>
                <c:pt idx="208">
                  <c:v>150.32940236774567</c:v>
                </c:pt>
                <c:pt idx="209">
                  <c:v>151.92198579119921</c:v>
                </c:pt>
                <c:pt idx="210">
                  <c:v>153.52372794722726</c:v>
                </c:pt>
                <c:pt idx="211">
                  <c:v>155.13463757245322</c:v>
                </c:pt>
                <c:pt idx="212">
                  <c:v>156.75472337032258</c:v>
                </c:pt>
                <c:pt idx="213">
                  <c:v>158.38399401138517</c:v>
                </c:pt>
                <c:pt idx="214">
                  <c:v>160.02245813357371</c:v>
                </c:pt>
                <c:pt idx="215">
                  <c:v>161.67012434247823</c:v>
                </c:pt>
                <c:pt idx="216">
                  <c:v>163.32700121161764</c:v>
                </c:pt>
                <c:pt idx="217">
                  <c:v>164.99309728270731</c:v>
                </c:pt>
                <c:pt idx="218">
                  <c:v>166.66842106592316</c:v>
                </c:pt>
                <c:pt idx="219">
                  <c:v>168.35298104016263</c:v>
                </c:pt>
                <c:pt idx="220">
                  <c:v>170.04678565330212</c:v>
                </c:pt>
                <c:pt idx="221">
                  <c:v>171.7498433224512</c:v>
                </c:pt>
                <c:pt idx="222">
                  <c:v>173.46216243420358</c:v>
                </c:pt>
                <c:pt idx="223">
                  <c:v>175.18375134488474</c:v>
                </c:pt>
                <c:pt idx="224">
                  <c:v>176.91461838079698</c:v>
                </c:pt>
                <c:pt idx="225">
                  <c:v>178.65477183846079</c:v>
                </c:pt>
                <c:pt idx="226">
                  <c:v>180.40421998485348</c:v>
                </c:pt>
                <c:pt idx="227">
                  <c:v>182.16297105764494</c:v>
                </c:pt>
                <c:pt idx="228">
                  <c:v>183.93103326543022</c:v>
                </c:pt>
                <c:pt idx="229">
                  <c:v>185.70841478795964</c:v>
                </c:pt>
                <c:pt idx="230">
                  <c:v>187.49512377636566</c:v>
                </c:pt>
                <c:pt idx="231">
                  <c:v>189.29116835338712</c:v>
                </c:pt>
                <c:pt idx="232">
                  <c:v>191.0965566135911</c:v>
                </c:pt>
                <c:pt idx="233">
                  <c:v>192.91129662359157</c:v>
                </c:pt>
                <c:pt idx="234">
                  <c:v>194.73539642226578</c:v>
                </c:pt>
                <c:pt idx="235">
                  <c:v>196.56886402096777</c:v>
                </c:pt>
                <c:pt idx="236">
                  <c:v>198.41170740373974</c:v>
                </c:pt>
                <c:pt idx="237">
                  <c:v>200.26393452752038</c:v>
                </c:pt>
                <c:pt idx="238">
                  <c:v>202.12555332235129</c:v>
                </c:pt>
                <c:pt idx="239">
                  <c:v>203.99657169158039</c:v>
                </c:pt>
                <c:pt idx="240">
                  <c:v>205.8769975120635</c:v>
                </c:pt>
                <c:pt idx="241">
                  <c:v>207.7668386343633</c:v>
                </c:pt>
                <c:pt idx="242">
                  <c:v>209.66610288294575</c:v>
                </c:pt>
                <c:pt idx="243">
                  <c:v>211.57479805637479</c:v>
                </c:pt>
                <c:pt idx="244">
                  <c:v>213.4929319275042</c:v>
                </c:pt>
                <c:pt idx="245">
                  <c:v>215.4205122436677</c:v>
                </c:pt>
                <c:pt idx="246">
                  <c:v>217.3575467268667</c:v>
                </c:pt>
                <c:pt idx="247">
                  <c:v>219.30404307395568</c:v>
                </c:pt>
                <c:pt idx="248">
                  <c:v>221.26000895682606</c:v>
                </c:pt>
                <c:pt idx="249">
                  <c:v>223.22545202258738</c:v>
                </c:pt>
                <c:pt idx="250">
                  <c:v>225.20037989374677</c:v>
                </c:pt>
                <c:pt idx="251">
                  <c:v>227.18480016838637</c:v>
                </c:pt>
                <c:pt idx="252">
                  <c:v>229.17872042033864</c:v>
                </c:pt>
                <c:pt idx="253">
                  <c:v>231.1821481993598</c:v>
                </c:pt>
                <c:pt idx="254">
                  <c:v>233.1950910313015</c:v>
                </c:pt>
                <c:pt idx="255">
                  <c:v>234.68270000000001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F-4825-AC92-CEBC6884A5DC}"/>
            </c:ext>
          </c:extLst>
        </c:ser>
        <c:ser>
          <c:idx val="2"/>
          <c:order val="2"/>
          <c:tx>
            <c:strRef>
              <c:f>'Gamma 2.2  6500K'!$E$16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2.2 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 6500K'!$E$17:$E$272</c:f>
              <c:numCache>
                <c:formatCode>0.00_ </c:formatCode>
                <c:ptCount val="256"/>
                <c:pt idx="0">
                  <c:v>6.9986456209018578E-5</c:v>
                </c:pt>
                <c:pt idx="1">
                  <c:v>2.1944663561713168E-3</c:v>
                </c:pt>
                <c:pt idx="2">
                  <c:v>7.9106741143990592E-3</c:v>
                </c:pt>
                <c:pt idx="3">
                  <c:v>1.7690320225684866E-2</c:v>
                </c:pt>
                <c:pt idx="4">
                  <c:v>3.1848075602760886E-2</c:v>
                </c:pt>
                <c:pt idx="5">
                  <c:v>5.0626779494023007E-2</c:v>
                </c:pt>
                <c:pt idx="6">
                  <c:v>7.4226539214024806E-2</c:v>
                </c:pt>
                <c:pt idx="7">
                  <c:v>0.10281872223171443</c:v>
                </c:pt>
                <c:pt idx="8">
                  <c:v>0.13655387951379355</c:v>
                </c:pt>
                <c:pt idx="9">
                  <c:v>0.17556670818181452</c:v>
                </c:pt>
                <c:pt idx="10">
                  <c:v>0.21997938304889286</c:v>
                </c:pt>
                <c:pt idx="11">
                  <c:v>0.26990391010958847</c:v>
                </c:pt>
                <c:pt idx="12">
                  <c:v>0.32544385552687399</c:v>
                </c:pt>
                <c:pt idx="13">
                  <c:v>0.38669565595598893</c:v>
                </c:pt>
                <c:pt idx="14">
                  <c:v>0.45374963705110594</c:v>
                </c:pt>
                <c:pt idx="15">
                  <c:v>0.52669082197495776</c:v>
                </c:pt>
                <c:pt idx="16">
                  <c:v>0.60559958471090258</c:v>
                </c:pt>
                <c:pt idx="17">
                  <c:v>0.69055218605570468</c:v>
                </c:pt>
                <c:pt idx="18">
                  <c:v>0.781621219187838</c:v>
                </c:pt>
                <c:pt idx="19">
                  <c:v>0.87887598435487813</c:v>
                </c:pt>
                <c:pt idx="20">
                  <c:v>0.98238280717125681</c:v>
                </c:pt>
                <c:pt idx="21">
                  <c:v>1.0922053114638974</c:v>
                </c:pt>
                <c:pt idx="22">
                  <c:v>1.2084046550520413</c:v>
                </c:pt>
                <c:pt idx="23">
                  <c:v>1.3310397349824907</c:v>
                </c:pt>
                <c:pt idx="24">
                  <c:v>1.4601673673555993</c:v>
                </c:pt>
                <c:pt idx="25">
                  <c:v>1.5958424458325309</c:v>
                </c:pt>
                <c:pt idx="26">
                  <c:v>1.738118082115901</c:v>
                </c:pt>
                <c:pt idx="27">
                  <c:v>1.8870457310785884</c:v>
                </c:pt>
                <c:pt idx="28">
                  <c:v>2.0426753027328735</c:v>
                </c:pt>
                <c:pt idx="29">
                  <c:v>2.2050552628507769</c:v>
                </c:pt>
                <c:pt idx="30">
                  <c:v>2.3742327237426601</c:v>
                </c:pt>
                <c:pt idx="31">
                  <c:v>2.5502535264568076</c:v>
                </c:pt>
                <c:pt idx="32">
                  <c:v>2.7331623154646465</c:v>
                </c:pt>
                <c:pt idx="33">
                  <c:v>2.923002606734677</c:v>
                </c:pt>
                <c:pt idx="34">
                  <c:v>3.1198168499652223</c:v>
                </c:pt>
                <c:pt idx="35">
                  <c:v>3.323646485636083</c:v>
                </c:pt>
                <c:pt idx="36">
                  <c:v>3.5345319974478291</c:v>
                </c:pt>
                <c:pt idx="37">
                  <c:v>3.7525129606405696</c:v>
                </c:pt>
                <c:pt idx="38">
                  <c:v>3.977628086619788</c:v>
                </c:pt>
                <c:pt idx="39">
                  <c:v>4.2099152642621567</c:v>
                </c:pt>
                <c:pt idx="40">
                  <c:v>4.4494115982279254</c:v>
                </c:pt>
                <c:pt idx="41">
                  <c:v>4.6961534445668986</c:v>
                </c:pt>
                <c:pt idx="42">
                  <c:v>4.9501764438711584</c:v>
                </c:pt>
                <c:pt idx="43">
                  <c:v>5.2115155521984153</c:v>
                </c:pt>
                <c:pt idx="44">
                  <c:v>5.4802050699647271</c:v>
                </c:pt>
                <c:pt idx="45">
                  <c:v>5.7562786689834127</c:v>
                </c:pt>
                <c:pt idx="46">
                  <c:v>6.0397694178080066</c:v>
                </c:pt>
                <c:pt idx="47">
                  <c:v>6.3307098055204722</c:v>
                </c:pt>
                <c:pt idx="48">
                  <c:v>6.6291317640913423</c:v>
                </c:pt>
                <c:pt idx="49">
                  <c:v>6.93506668942572</c:v>
                </c:pt>
                <c:pt idx="50">
                  <c:v>7.2485454611978319</c:v>
                </c:pt>
                <c:pt idx="51">
                  <c:v>7.5695984615668195</c:v>
                </c:pt>
                <c:pt idx="52">
                  <c:v>7.898255592857824</c:v>
                </c:pt>
                <c:pt idx="53">
                  <c:v>8.2345462942843657</c:v>
                </c:pt>
                <c:pt idx="54">
                  <c:v>8.5784995577813952</c:v>
                </c:pt>
                <c:pt idx="55">
                  <c:v>8.930143943011835</c:v>
                </c:pt>
                <c:pt idx="56">
                  <c:v>9.2895075916043055</c:v>
                </c:pt>
                <c:pt idx="57">
                  <c:v>9.6566182406742964</c:v>
                </c:pt>
                <c:pt idx="58">
                  <c:v>10.031503235677098</c:v>
                </c:pt>
                <c:pt idx="59">
                  <c:v>10.414189542636361</c:v>
                </c:pt>
                <c:pt idx="60">
                  <c:v>10.804703759788859</c:v>
                </c:pt>
                <c:pt idx="61">
                  <c:v>11.203072128682599</c:v>
                </c:pt>
                <c:pt idx="62">
                  <c:v>11.609320544762536</c:v>
                </c:pt>
                <c:pt idx="63">
                  <c:v>12.023474567475468</c:v>
                </c:pt>
                <c:pt idx="64">
                  <c:v>12.44555942992336</c:v>
                </c:pt>
                <c:pt idx="65">
                  <c:v>12.87560004809194</c:v>
                </c:pt>
                <c:pt idx="66">
                  <c:v>13.313621029679613</c:v>
                </c:pt>
                <c:pt idx="67">
                  <c:v>13.759646682549771</c:v>
                </c:pt>
                <c:pt idx="68">
                  <c:v>14.213701022828118</c:v>
                </c:pt>
                <c:pt idx="69">
                  <c:v>14.675807782664696</c:v>
                </c:pt>
                <c:pt idx="70">
                  <c:v>15.145990417679419</c:v>
                </c:pt>
                <c:pt idx="71">
                  <c:v>15.624272114108255</c:v>
                </c:pt>
                <c:pt idx="72">
                  <c:v>16.110675795666204</c:v>
                </c:pt>
                <c:pt idx="73">
                  <c:v>16.605224130142048</c:v>
                </c:pt>
                <c:pt idx="74">
                  <c:v>17.107939535738947</c:v>
                </c:pt>
                <c:pt idx="75">
                  <c:v>17.618844187174005</c:v>
                </c:pt>
                <c:pt idx="76">
                  <c:v>18.137960021549002</c:v>
                </c:pt>
                <c:pt idx="77">
                  <c:v>18.66530874400388</c:v>
                </c:pt>
                <c:pt idx="78">
                  <c:v>19.200911833163691</c:v>
                </c:pt>
                <c:pt idx="79">
                  <c:v>19.744790546389119</c:v>
                </c:pt>
                <c:pt idx="80">
                  <c:v>20.296965924840116</c:v>
                </c:pt>
                <c:pt idx="81">
                  <c:v>20.857458798361527</c:v>
                </c:pt>
                <c:pt idx="82">
                  <c:v>21.42628979019905</c:v>
                </c:pt>
                <c:pt idx="83">
                  <c:v>22.003479321553556</c:v>
                </c:pt>
                <c:pt idx="84">
                  <c:v>22.589047615981087</c:v>
                </c:pt>
                <c:pt idx="85">
                  <c:v>23.183014703645497</c:v>
                </c:pt>
                <c:pt idx="86">
                  <c:v>23.785400425430598</c:v>
                </c:pt>
                <c:pt idx="87">
                  <c:v>24.396224436917702</c:v>
                </c:pt>
                <c:pt idx="88">
                  <c:v>25.015506212234747</c:v>
                </c:pt>
                <c:pt idx="89">
                  <c:v>25.643265047782521</c:v>
                </c:pt>
                <c:pt idx="90">
                  <c:v>26.279520065842899</c:v>
                </c:pt>
                <c:pt idx="91">
                  <c:v>26.924290218074827</c:v>
                </c:pt>
                <c:pt idx="92">
                  <c:v>27.577594288901981</c:v>
                </c:pt>
                <c:pt idx="93">
                  <c:v>28.239450898797063</c:v>
                </c:pt>
                <c:pt idx="94">
                  <c:v>28.909878507466829</c:v>
                </c:pt>
                <c:pt idx="95">
                  <c:v>29.588895416941924</c:v>
                </c:pt>
                <c:pt idx="96">
                  <c:v>30.276519774575249</c:v>
                </c:pt>
                <c:pt idx="97">
                  <c:v>30.972769575952661</c:v>
                </c:pt>
                <c:pt idx="98">
                  <c:v>31.677662667719162</c:v>
                </c:pt>
                <c:pt idx="99">
                  <c:v>32.391216750324318</c:v>
                </c:pt>
                <c:pt idx="100">
                  <c:v>33.113449380689502</c:v>
                </c:pt>
                <c:pt idx="101">
                  <c:v>33.844377974800409</c:v>
                </c:pt>
                <c:pt idx="102">
                  <c:v>34.584019810227247</c:v>
                </c:pt>
                <c:pt idx="103">
                  <c:v>35.332392028575711</c:v>
                </c:pt>
                <c:pt idx="104">
                  <c:v>36.089511637870913</c:v>
                </c:pt>
                <c:pt idx="105">
                  <c:v>36.855395514877145</c:v>
                </c:pt>
                <c:pt idx="106">
                  <c:v>37.630060407355259</c:v>
                </c:pt>
                <c:pt idx="107">
                  <c:v>38.413522936260584</c:v>
                </c:pt>
                <c:pt idx="108">
                  <c:v>39.205799597882873</c:v>
                </c:pt>
                <c:pt idx="109">
                  <c:v>40.006906765930651</c:v>
                </c:pt>
                <c:pt idx="110">
                  <c:v>40.816860693561978</c:v>
                </c:pt>
                <c:pt idx="111">
                  <c:v>41.635677515363199</c:v>
                </c:pt>
                <c:pt idx="112">
                  <c:v>42.46337324927768</c:v>
                </c:pt>
                <c:pt idx="113">
                  <c:v>43.299963798486225</c:v>
                </c:pt>
                <c:pt idx="114">
                  <c:v>44.145464953240655</c:v>
                </c:pt>
                <c:pt idx="115">
                  <c:v>44.999892392652299</c:v>
                </c:pt>
                <c:pt idx="116">
                  <c:v>45.863261686436822</c:v>
                </c:pt>
                <c:pt idx="117">
                  <c:v>46.735588296616719</c:v>
                </c:pt>
                <c:pt idx="118">
                  <c:v>47.616887579182972</c:v>
                </c:pt>
                <c:pt idx="119">
                  <c:v>48.507174785717304</c:v>
                </c:pt>
                <c:pt idx="120">
                  <c:v>49.40646506497589</c:v>
                </c:pt>
                <c:pt idx="121">
                  <c:v>50.314773464436243</c:v>
                </c:pt>
                <c:pt idx="122">
                  <c:v>51.232114931808098</c:v>
                </c:pt>
                <c:pt idx="123">
                  <c:v>52.158504316509514</c:v>
                </c:pt>
                <c:pt idx="124">
                  <c:v>53.093956371109343</c:v>
                </c:pt>
                <c:pt idx="125">
                  <c:v>54.038485752736925</c:v>
                </c:pt>
                <c:pt idx="126">
                  <c:v>54.992107024460218</c:v>
                </c:pt>
                <c:pt idx="127">
                  <c:v>55.954834656633281</c:v>
                </c:pt>
                <c:pt idx="128">
                  <c:v>56.926683028213738</c:v>
                </c:pt>
                <c:pt idx="129">
                  <c:v>57.907666428051485</c:v>
                </c:pt>
                <c:pt idx="130">
                  <c:v>58.897799056149523</c:v>
                </c:pt>
                <c:pt idx="131">
                  <c:v>59.897095024897169</c:v>
                </c:pt>
                <c:pt idx="132">
                  <c:v>60.905568360277229</c:v>
                </c:pt>
                <c:pt idx="133">
                  <c:v>61.923233003047194</c:v>
                </c:pt>
                <c:pt idx="134">
                  <c:v>62.950102809895732</c:v>
                </c:pt>
                <c:pt idx="135">
                  <c:v>63.986191554574852</c:v>
                </c:pt>
                <c:pt idx="136">
                  <c:v>65.031512929008372</c:v>
                </c:pt>
                <c:pt idx="137">
                  <c:v>66.086080544377964</c:v>
                </c:pt>
                <c:pt idx="138">
                  <c:v>67.149907932186352</c:v>
                </c:pt>
                <c:pt idx="139">
                  <c:v>68.223008545299365</c:v>
                </c:pt>
                <c:pt idx="140">
                  <c:v>69.305395758966725</c:v>
                </c:pt>
                <c:pt idx="141">
                  <c:v>70.397082871822363</c:v>
                </c:pt>
                <c:pt idx="142">
                  <c:v>71.498083106864883</c:v>
                </c:pt>
                <c:pt idx="143">
                  <c:v>72.608409612418725</c:v>
                </c:pt>
                <c:pt idx="144">
                  <c:v>73.728075463076081</c:v>
                </c:pt>
                <c:pt idx="145">
                  <c:v>74.857093660621175</c:v>
                </c:pt>
                <c:pt idx="146">
                  <c:v>75.995477134935882</c:v>
                </c:pt>
                <c:pt idx="147">
                  <c:v>77.14323874488835</c:v>
                </c:pt>
                <c:pt idx="148">
                  <c:v>78.300391279204661</c:v>
                </c:pt>
                <c:pt idx="149">
                  <c:v>79.466947457323727</c:v>
                </c:pt>
                <c:pt idx="150">
                  <c:v>80.642919930236474</c:v>
                </c:pt>
                <c:pt idx="151">
                  <c:v>81.82832128130886</c:v>
                </c:pt>
                <c:pt idx="152">
                  <c:v>83.023164027089834</c:v>
                </c:pt>
                <c:pt idx="153">
                  <c:v>84.22746061810453</c:v>
                </c:pt>
                <c:pt idx="154">
                  <c:v>85.441223439632779</c:v>
                </c:pt>
                <c:pt idx="155">
                  <c:v>86.664464812473085</c:v>
                </c:pt>
                <c:pt idx="156">
                  <c:v>87.89719699369347</c:v>
                </c:pt>
                <c:pt idx="157">
                  <c:v>89.139432177368136</c:v>
                </c:pt>
                <c:pt idx="158">
                  <c:v>90.39118249530155</c:v>
                </c:pt>
                <c:pt idx="159">
                  <c:v>91.65246001773906</c:v>
                </c:pt>
                <c:pt idx="160">
                  <c:v>92.92327675406554</c:v>
                </c:pt>
                <c:pt idx="161">
                  <c:v>94.203644653491381</c:v>
                </c:pt>
                <c:pt idx="162">
                  <c:v>95.493575605726818</c:v>
                </c:pt>
                <c:pt idx="163">
                  <c:v>96.793081441644304</c:v>
                </c:pt>
                <c:pt idx="164">
                  <c:v>98.102173933929635</c:v>
                </c:pt>
                <c:pt idx="165">
                  <c:v>99.420864797722004</c:v>
                </c:pt>
                <c:pt idx="166">
                  <c:v>100.74916569124296</c:v>
                </c:pt>
                <c:pt idx="167">
                  <c:v>102.08708821641493</c:v>
                </c:pt>
                <c:pt idx="168">
                  <c:v>103.43464391946925</c:v>
                </c:pt>
                <c:pt idx="169">
                  <c:v>104.79184429154411</c:v>
                </c:pt>
                <c:pt idx="170">
                  <c:v>106.15870076927246</c:v>
                </c:pt>
                <c:pt idx="171">
                  <c:v>107.5352247353603</c:v>
                </c:pt>
                <c:pt idx="172">
                  <c:v>108.92142751915551</c:v>
                </c:pt>
                <c:pt idx="173">
                  <c:v>110.31732039720735</c:v>
                </c:pt>
                <c:pt idx="174">
                  <c:v>111.72291459381688</c:v>
                </c:pt>
                <c:pt idx="175">
                  <c:v>113.13822128157837</c:v>
                </c:pt>
                <c:pt idx="176">
                  <c:v>114.56325158191247</c:v>
                </c:pt>
                <c:pt idx="177">
                  <c:v>115.99801656559035</c:v>
                </c:pt>
                <c:pt idx="178">
                  <c:v>117.44252725324988</c:v>
                </c:pt>
                <c:pt idx="179">
                  <c:v>118.89679461590359</c:v>
                </c:pt>
                <c:pt idx="180">
                  <c:v>120.36082957543854</c:v>
                </c:pt>
                <c:pt idx="181">
                  <c:v>121.83464300510859</c:v>
                </c:pt>
                <c:pt idx="182">
                  <c:v>123.31824573001896</c:v>
                </c:pt>
                <c:pt idx="183">
                  <c:v>124.81164852760314</c:v>
                </c:pt>
                <c:pt idx="184">
                  <c:v>126.314862128093</c:v>
                </c:pt>
                <c:pt idx="185">
                  <c:v>127.82789721498111</c:v>
                </c:pt>
                <c:pt idx="186">
                  <c:v>129.35076442547646</c:v>
                </c:pt>
                <c:pt idx="187">
                  <c:v>130.88347435095318</c:v>
                </c:pt>
                <c:pt idx="188">
                  <c:v>132.42603753739255</c:v>
                </c:pt>
                <c:pt idx="189">
                  <c:v>133.97846448581828</c:v>
                </c:pt>
                <c:pt idx="190">
                  <c:v>135.54076565272567</c:v>
                </c:pt>
                <c:pt idx="191">
                  <c:v>137.11295145050391</c:v>
                </c:pt>
                <c:pt idx="192">
                  <c:v>138.69503224785277</c:v>
                </c:pt>
                <c:pt idx="193">
                  <c:v>140.28701837019284</c:v>
                </c:pt>
                <c:pt idx="194">
                  <c:v>141.88892010006975</c:v>
                </c:pt>
                <c:pt idx="195">
                  <c:v>143.50074767755279</c:v>
                </c:pt>
                <c:pt idx="196">
                  <c:v>145.12251130062774</c:v>
                </c:pt>
                <c:pt idx="197">
                  <c:v>146.75422112558377</c:v>
                </c:pt>
                <c:pt idx="198">
                  <c:v>148.39588726739555</c:v>
                </c:pt>
                <c:pt idx="199">
                  <c:v>150.0475198000988</c:v>
                </c:pt>
                <c:pt idx="200">
                  <c:v>151.70912875716195</c:v>
                </c:pt>
                <c:pt idx="201">
                  <c:v>153.38072413185142</c:v>
                </c:pt>
                <c:pt idx="202">
                  <c:v>155.06231587759228</c:v>
                </c:pt>
                <c:pt idx="203">
                  <c:v>156.75391390832405</c:v>
                </c:pt>
                <c:pt idx="204">
                  <c:v>158.45552809885129</c:v>
                </c:pt>
                <c:pt idx="205">
                  <c:v>160.16716828518943</c:v>
                </c:pt>
                <c:pt idx="206">
                  <c:v>161.88884426490617</c:v>
                </c:pt>
                <c:pt idx="207">
                  <c:v>163.62056579745752</c:v>
                </c:pt>
                <c:pt idx="208">
                  <c:v>165.36234260452025</c:v>
                </c:pt>
                <c:pt idx="209">
                  <c:v>167.11418437031912</c:v>
                </c:pt>
                <c:pt idx="210">
                  <c:v>168.87610074194998</c:v>
                </c:pt>
                <c:pt idx="211">
                  <c:v>170.64810132969853</c:v>
                </c:pt>
                <c:pt idx="212">
                  <c:v>172.43019570735484</c:v>
                </c:pt>
                <c:pt idx="213">
                  <c:v>174.22239341252367</c:v>
                </c:pt>
                <c:pt idx="214">
                  <c:v>176.02470394693108</c:v>
                </c:pt>
                <c:pt idx="215">
                  <c:v>177.83713677672606</c:v>
                </c:pt>
                <c:pt idx="216">
                  <c:v>179.65970133277941</c:v>
                </c:pt>
                <c:pt idx="217">
                  <c:v>181.49240701097804</c:v>
                </c:pt>
                <c:pt idx="218">
                  <c:v>183.33526317251548</c:v>
                </c:pt>
                <c:pt idx="219">
                  <c:v>185.18827914417889</c:v>
                </c:pt>
                <c:pt idx="220">
                  <c:v>187.05146421863233</c:v>
                </c:pt>
                <c:pt idx="221">
                  <c:v>188.92482765469632</c:v>
                </c:pt>
                <c:pt idx="222">
                  <c:v>190.80837867762392</c:v>
                </c:pt>
                <c:pt idx="223">
                  <c:v>192.70212647937322</c:v>
                </c:pt>
                <c:pt idx="224">
                  <c:v>194.60608021887668</c:v>
                </c:pt>
                <c:pt idx="225">
                  <c:v>196.52024902230687</c:v>
                </c:pt>
                <c:pt idx="226">
                  <c:v>198.44464198333884</c:v>
                </c:pt>
                <c:pt idx="227">
                  <c:v>200.37926816340942</c:v>
                </c:pt>
                <c:pt idx="228">
                  <c:v>202.32413659197323</c:v>
                </c:pt>
                <c:pt idx="229">
                  <c:v>204.2792562667556</c:v>
                </c:pt>
                <c:pt idx="230">
                  <c:v>206.24463615400222</c:v>
                </c:pt>
                <c:pt idx="231">
                  <c:v>208.22028518872582</c:v>
                </c:pt>
                <c:pt idx="232">
                  <c:v>210.20621227495022</c:v>
                </c:pt>
                <c:pt idx="233">
                  <c:v>212.20242628595074</c:v>
                </c:pt>
                <c:pt idx="234">
                  <c:v>214.20893606449235</c:v>
                </c:pt>
                <c:pt idx="235">
                  <c:v>216.22575042306454</c:v>
                </c:pt>
                <c:pt idx="236">
                  <c:v>218.25287814411371</c:v>
                </c:pt>
                <c:pt idx="237">
                  <c:v>220.29032798027242</c:v>
                </c:pt>
                <c:pt idx="238">
                  <c:v>222.33810865458642</c:v>
                </c:pt>
                <c:pt idx="239">
                  <c:v>224.39622886073843</c:v>
                </c:pt>
                <c:pt idx="240">
                  <c:v>226.46469726326984</c:v>
                </c:pt>
                <c:pt idx="241">
                  <c:v>228.54352249779964</c:v>
                </c:pt>
                <c:pt idx="242">
                  <c:v>230.63271317124031</c:v>
                </c:pt>
                <c:pt idx="243">
                  <c:v>232.73227786201227</c:v>
                </c:pt>
                <c:pt idx="244">
                  <c:v>234.84222512025462</c:v>
                </c:pt>
                <c:pt idx="245">
                  <c:v>236.96256346803449</c:v>
                </c:pt>
                <c:pt idx="246">
                  <c:v>239.09330139955338</c:v>
                </c:pt>
                <c:pt idx="247">
                  <c:v>241.23444738135126</c:v>
                </c:pt>
                <c:pt idx="248">
                  <c:v>243.38600985250866</c:v>
                </c:pt>
                <c:pt idx="249">
                  <c:v>245.54799722484611</c:v>
                </c:pt>
                <c:pt idx="250">
                  <c:v>247.72041788312146</c:v>
                </c:pt>
                <c:pt idx="251">
                  <c:v>249.90328018522501</c:v>
                </c:pt>
                <c:pt idx="252">
                  <c:v>252.09659246237248</c:v>
                </c:pt>
                <c:pt idx="253">
                  <c:v>254.30036301929579</c:v>
                </c:pt>
                <c:pt idx="254">
                  <c:v>256.51460013443165</c:v>
                </c:pt>
                <c:pt idx="255">
                  <c:v>258.15097000000003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5F-4825-AC92-CEBC6884A5DC}"/>
            </c:ext>
          </c:extLst>
        </c:ser>
        <c:ser>
          <c:idx val="3"/>
          <c:order val="3"/>
          <c:tx>
            <c:strRef>
              <c:f>'Gamma 2.2  6500K'!$F$16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2.2 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 6500K'!$F$17:$F$272</c:f>
              <c:numCache>
                <c:formatCode>General</c:formatCode>
                <c:ptCount val="256"/>
                <c:pt idx="0">
                  <c:v>0.26400000000000001</c:v>
                </c:pt>
                <c:pt idx="1">
                  <c:v>0.26269999999999999</c:v>
                </c:pt>
                <c:pt idx="2">
                  <c:v>0.26400000000000001</c:v>
                </c:pt>
                <c:pt idx="3">
                  <c:v>0.27760000000000001</c:v>
                </c:pt>
                <c:pt idx="4">
                  <c:v>0.29680000000000001</c:v>
                </c:pt>
                <c:pt idx="5">
                  <c:v>0.29699999999999999</c:v>
                </c:pt>
                <c:pt idx="6">
                  <c:v>0.31330000000000002</c:v>
                </c:pt>
                <c:pt idx="7">
                  <c:v>0.33050000000000002</c:v>
                </c:pt>
                <c:pt idx="8">
                  <c:v>0.36270000000000002</c:v>
                </c:pt>
                <c:pt idx="9">
                  <c:v>0.36799999999999999</c:v>
                </c:pt>
                <c:pt idx="10">
                  <c:v>0.40089999999999998</c:v>
                </c:pt>
                <c:pt idx="11">
                  <c:v>0.44740000000000002</c:v>
                </c:pt>
                <c:pt idx="12">
                  <c:v>0.4738</c:v>
                </c:pt>
                <c:pt idx="13">
                  <c:v>0.54139999999999999</c:v>
                </c:pt>
                <c:pt idx="14">
                  <c:v>0.60089999999999999</c:v>
                </c:pt>
                <c:pt idx="15">
                  <c:v>0.68810000000000004</c:v>
                </c:pt>
                <c:pt idx="16">
                  <c:v>0.69020000000000004</c:v>
                </c:pt>
                <c:pt idx="17">
                  <c:v>0.77749999999999997</c:v>
                </c:pt>
                <c:pt idx="18">
                  <c:v>0.86260000000000003</c:v>
                </c:pt>
                <c:pt idx="19">
                  <c:v>0.97929999999999995</c:v>
                </c:pt>
                <c:pt idx="20">
                  <c:v>1.0457000000000001</c:v>
                </c:pt>
                <c:pt idx="21">
                  <c:v>1.1603000000000001</c:v>
                </c:pt>
                <c:pt idx="22">
                  <c:v>1.2685999999999999</c:v>
                </c:pt>
                <c:pt idx="23">
                  <c:v>1.3775999999999999</c:v>
                </c:pt>
                <c:pt idx="24">
                  <c:v>1.4590000000000001</c:v>
                </c:pt>
                <c:pt idx="25">
                  <c:v>1.5603</c:v>
                </c:pt>
                <c:pt idx="26">
                  <c:v>1.6718999999999999</c:v>
                </c:pt>
                <c:pt idx="27">
                  <c:v>1.7652000000000001</c:v>
                </c:pt>
                <c:pt idx="28">
                  <c:v>1.8909</c:v>
                </c:pt>
                <c:pt idx="29">
                  <c:v>1.9968999999999999</c:v>
                </c:pt>
                <c:pt idx="30">
                  <c:v>2.2286999999999999</c:v>
                </c:pt>
                <c:pt idx="31">
                  <c:v>2.3833000000000002</c:v>
                </c:pt>
                <c:pt idx="32">
                  <c:v>2.5097999999999998</c:v>
                </c:pt>
                <c:pt idx="33">
                  <c:v>2.6507999999999998</c:v>
                </c:pt>
                <c:pt idx="34">
                  <c:v>2.8610000000000002</c:v>
                </c:pt>
                <c:pt idx="35">
                  <c:v>3.0030000000000001</c:v>
                </c:pt>
                <c:pt idx="36">
                  <c:v>3.2021000000000002</c:v>
                </c:pt>
                <c:pt idx="37">
                  <c:v>3.3773</c:v>
                </c:pt>
                <c:pt idx="38">
                  <c:v>3.6015000000000001</c:v>
                </c:pt>
                <c:pt idx="39">
                  <c:v>3.7490999999999999</c:v>
                </c:pt>
                <c:pt idx="40">
                  <c:v>3.9765000000000001</c:v>
                </c:pt>
                <c:pt idx="41">
                  <c:v>4.1482999999999999</c:v>
                </c:pt>
                <c:pt idx="42">
                  <c:v>4.4343000000000004</c:v>
                </c:pt>
                <c:pt idx="43">
                  <c:v>4.7846000000000002</c:v>
                </c:pt>
                <c:pt idx="44">
                  <c:v>5.1016000000000004</c:v>
                </c:pt>
                <c:pt idx="45">
                  <c:v>5.2701000000000002</c:v>
                </c:pt>
                <c:pt idx="46">
                  <c:v>5.6391999999999998</c:v>
                </c:pt>
                <c:pt idx="47">
                  <c:v>5.9409999999999998</c:v>
                </c:pt>
                <c:pt idx="48">
                  <c:v>6.1448999999999998</c:v>
                </c:pt>
                <c:pt idx="49">
                  <c:v>6.5072000000000001</c:v>
                </c:pt>
                <c:pt idx="50">
                  <c:v>6.7462999999999997</c:v>
                </c:pt>
                <c:pt idx="51">
                  <c:v>7.0896999999999997</c:v>
                </c:pt>
                <c:pt idx="52">
                  <c:v>7.4255000000000004</c:v>
                </c:pt>
                <c:pt idx="53">
                  <c:v>7.6657999999999999</c:v>
                </c:pt>
                <c:pt idx="54">
                  <c:v>8.0440000000000005</c:v>
                </c:pt>
                <c:pt idx="55">
                  <c:v>8.2745999999999995</c:v>
                </c:pt>
                <c:pt idx="56">
                  <c:v>8.6584000000000003</c:v>
                </c:pt>
                <c:pt idx="57">
                  <c:v>8.9300999999999995</c:v>
                </c:pt>
                <c:pt idx="58">
                  <c:v>9.4289000000000005</c:v>
                </c:pt>
                <c:pt idx="59">
                  <c:v>9.7993000000000006</c:v>
                </c:pt>
                <c:pt idx="60">
                  <c:v>10.5298</c:v>
                </c:pt>
                <c:pt idx="61">
                  <c:v>10.8253</c:v>
                </c:pt>
                <c:pt idx="62">
                  <c:v>11.2285</c:v>
                </c:pt>
                <c:pt idx="63">
                  <c:v>11.638</c:v>
                </c:pt>
                <c:pt idx="64">
                  <c:v>12.0075</c:v>
                </c:pt>
                <c:pt idx="65">
                  <c:v>12.5825</c:v>
                </c:pt>
                <c:pt idx="66">
                  <c:v>12.9076</c:v>
                </c:pt>
                <c:pt idx="67">
                  <c:v>13.427199999999999</c:v>
                </c:pt>
                <c:pt idx="68">
                  <c:v>13.725199999999999</c:v>
                </c:pt>
                <c:pt idx="69">
                  <c:v>14.3172</c:v>
                </c:pt>
                <c:pt idx="70">
                  <c:v>14.6266</c:v>
                </c:pt>
                <c:pt idx="71">
                  <c:v>15.119899999999999</c:v>
                </c:pt>
                <c:pt idx="72">
                  <c:v>15.6861</c:v>
                </c:pt>
                <c:pt idx="73">
                  <c:v>15.9855</c:v>
                </c:pt>
                <c:pt idx="74">
                  <c:v>16.686800000000002</c:v>
                </c:pt>
                <c:pt idx="75">
                  <c:v>17.181899999999999</c:v>
                </c:pt>
                <c:pt idx="76">
                  <c:v>17.701799999999999</c:v>
                </c:pt>
                <c:pt idx="77">
                  <c:v>18.1128</c:v>
                </c:pt>
                <c:pt idx="78">
                  <c:v>18.638500000000001</c:v>
                </c:pt>
                <c:pt idx="79">
                  <c:v>19.293600000000001</c:v>
                </c:pt>
                <c:pt idx="80">
                  <c:v>19.7044</c:v>
                </c:pt>
                <c:pt idx="81">
                  <c:v>20.049399999999999</c:v>
                </c:pt>
                <c:pt idx="82">
                  <c:v>20.7349</c:v>
                </c:pt>
                <c:pt idx="83">
                  <c:v>21.285</c:v>
                </c:pt>
                <c:pt idx="84">
                  <c:v>21.906099999999999</c:v>
                </c:pt>
                <c:pt idx="85">
                  <c:v>22.459299999999999</c:v>
                </c:pt>
                <c:pt idx="86">
                  <c:v>22.950500000000002</c:v>
                </c:pt>
                <c:pt idx="87">
                  <c:v>23.037700000000001</c:v>
                </c:pt>
                <c:pt idx="88">
                  <c:v>23.715</c:v>
                </c:pt>
                <c:pt idx="89">
                  <c:v>24.145</c:v>
                </c:pt>
                <c:pt idx="90">
                  <c:v>24.771599999999999</c:v>
                </c:pt>
                <c:pt idx="91">
                  <c:v>25.2117</c:v>
                </c:pt>
                <c:pt idx="92">
                  <c:v>25.956600000000002</c:v>
                </c:pt>
                <c:pt idx="93">
                  <c:v>26.616299999999999</c:v>
                </c:pt>
                <c:pt idx="94">
                  <c:v>27.209499999999998</c:v>
                </c:pt>
                <c:pt idx="95">
                  <c:v>27.968</c:v>
                </c:pt>
                <c:pt idx="96">
                  <c:v>28.429400000000001</c:v>
                </c:pt>
                <c:pt idx="97">
                  <c:v>29.114999999999998</c:v>
                </c:pt>
                <c:pt idx="98">
                  <c:v>29.662700000000001</c:v>
                </c:pt>
                <c:pt idx="99">
                  <c:v>30.499500000000001</c:v>
                </c:pt>
                <c:pt idx="100">
                  <c:v>31.069099999999999</c:v>
                </c:pt>
                <c:pt idx="101">
                  <c:v>31.665199999999999</c:v>
                </c:pt>
                <c:pt idx="102">
                  <c:v>32.4816</c:v>
                </c:pt>
                <c:pt idx="103">
                  <c:v>33.112099999999998</c:v>
                </c:pt>
                <c:pt idx="104">
                  <c:v>33.9009</c:v>
                </c:pt>
                <c:pt idx="105">
                  <c:v>34.5246</c:v>
                </c:pt>
                <c:pt idx="106">
                  <c:v>35.177900000000001</c:v>
                </c:pt>
                <c:pt idx="107">
                  <c:v>35.360999999999997</c:v>
                </c:pt>
                <c:pt idx="108">
                  <c:v>36.010100000000001</c:v>
                </c:pt>
                <c:pt idx="109">
                  <c:v>36.927199999999999</c:v>
                </c:pt>
                <c:pt idx="110">
                  <c:v>37.585900000000002</c:v>
                </c:pt>
                <c:pt idx="111">
                  <c:v>38.267800000000001</c:v>
                </c:pt>
                <c:pt idx="112">
                  <c:v>39.197800000000001</c:v>
                </c:pt>
                <c:pt idx="113">
                  <c:v>39.872500000000002</c:v>
                </c:pt>
                <c:pt idx="114">
                  <c:v>40.755699999999997</c:v>
                </c:pt>
                <c:pt idx="115">
                  <c:v>41.442799999999998</c:v>
                </c:pt>
                <c:pt idx="116">
                  <c:v>42.363599999999998</c:v>
                </c:pt>
                <c:pt idx="117">
                  <c:v>43.779000000000003</c:v>
                </c:pt>
                <c:pt idx="118">
                  <c:v>44.721299999999999</c:v>
                </c:pt>
                <c:pt idx="119">
                  <c:v>45.438800000000001</c:v>
                </c:pt>
                <c:pt idx="120">
                  <c:v>46.120100000000001</c:v>
                </c:pt>
                <c:pt idx="121">
                  <c:v>47.036700000000003</c:v>
                </c:pt>
                <c:pt idx="122">
                  <c:v>47.7532</c:v>
                </c:pt>
                <c:pt idx="123">
                  <c:v>48.793999999999997</c:v>
                </c:pt>
                <c:pt idx="124">
                  <c:v>49.531300000000002</c:v>
                </c:pt>
                <c:pt idx="125">
                  <c:v>50.541600000000003</c:v>
                </c:pt>
                <c:pt idx="126">
                  <c:v>51.253399999999999</c:v>
                </c:pt>
                <c:pt idx="127">
                  <c:v>52.164000000000001</c:v>
                </c:pt>
                <c:pt idx="128">
                  <c:v>53.213999999999999</c:v>
                </c:pt>
                <c:pt idx="129">
                  <c:v>54.028100000000002</c:v>
                </c:pt>
                <c:pt idx="130">
                  <c:v>55.023499999999999</c:v>
                </c:pt>
                <c:pt idx="131">
                  <c:v>55.829000000000001</c:v>
                </c:pt>
                <c:pt idx="132">
                  <c:v>56.601799999999997</c:v>
                </c:pt>
                <c:pt idx="133">
                  <c:v>57.685699999999997</c:v>
                </c:pt>
                <c:pt idx="134">
                  <c:v>58.543300000000002</c:v>
                </c:pt>
                <c:pt idx="135">
                  <c:v>59.622100000000003</c:v>
                </c:pt>
                <c:pt idx="136">
                  <c:v>60.489800000000002</c:v>
                </c:pt>
                <c:pt idx="137">
                  <c:v>61.695399999999999</c:v>
                </c:pt>
                <c:pt idx="138">
                  <c:v>62.652900000000002</c:v>
                </c:pt>
                <c:pt idx="139">
                  <c:v>63.585700000000003</c:v>
                </c:pt>
                <c:pt idx="140">
                  <c:v>64.822000000000003</c:v>
                </c:pt>
                <c:pt idx="141">
                  <c:v>65.686099999999996</c:v>
                </c:pt>
                <c:pt idx="142">
                  <c:v>66.899600000000007</c:v>
                </c:pt>
                <c:pt idx="143">
                  <c:v>67.758200000000002</c:v>
                </c:pt>
                <c:pt idx="144">
                  <c:v>68.653599999999997</c:v>
                </c:pt>
                <c:pt idx="145">
                  <c:v>68.8904</c:v>
                </c:pt>
                <c:pt idx="146">
                  <c:v>69.819299999999998</c:v>
                </c:pt>
                <c:pt idx="147">
                  <c:v>70.701499999999996</c:v>
                </c:pt>
                <c:pt idx="148">
                  <c:v>72.038899999999998</c:v>
                </c:pt>
                <c:pt idx="149">
                  <c:v>73.019099999999995</c:v>
                </c:pt>
                <c:pt idx="150">
                  <c:v>74.364500000000007</c:v>
                </c:pt>
                <c:pt idx="151">
                  <c:v>75.340699999999998</c:v>
                </c:pt>
                <c:pt idx="152">
                  <c:v>76.351600000000005</c:v>
                </c:pt>
                <c:pt idx="153">
                  <c:v>77.716099999999997</c:v>
                </c:pt>
                <c:pt idx="154">
                  <c:v>78.730800000000002</c:v>
                </c:pt>
                <c:pt idx="155">
                  <c:v>80.114000000000004</c:v>
                </c:pt>
                <c:pt idx="156">
                  <c:v>81.227000000000004</c:v>
                </c:pt>
                <c:pt idx="157">
                  <c:v>82.557299999999998</c:v>
                </c:pt>
                <c:pt idx="158">
                  <c:v>83.590299999999999</c:v>
                </c:pt>
                <c:pt idx="159">
                  <c:v>83.911199999999994</c:v>
                </c:pt>
                <c:pt idx="160">
                  <c:v>84.877200000000002</c:v>
                </c:pt>
                <c:pt idx="161">
                  <c:v>86.0792</c:v>
                </c:pt>
                <c:pt idx="162">
                  <c:v>86.746899999999997</c:v>
                </c:pt>
                <c:pt idx="163">
                  <c:v>88.166600000000003</c:v>
                </c:pt>
                <c:pt idx="164">
                  <c:v>89.2898</c:v>
                </c:pt>
                <c:pt idx="165">
                  <c:v>90.794600000000003</c:v>
                </c:pt>
                <c:pt idx="166">
                  <c:v>91.921000000000006</c:v>
                </c:pt>
                <c:pt idx="167">
                  <c:v>93.066699999999997</c:v>
                </c:pt>
                <c:pt idx="168">
                  <c:v>94.581100000000006</c:v>
                </c:pt>
                <c:pt idx="169">
                  <c:v>95.644599999999997</c:v>
                </c:pt>
                <c:pt idx="170">
                  <c:v>97.074100000000001</c:v>
                </c:pt>
                <c:pt idx="171">
                  <c:v>98.220500000000001</c:v>
                </c:pt>
                <c:pt idx="172">
                  <c:v>99.315399999999997</c:v>
                </c:pt>
                <c:pt idx="173">
                  <c:v>99.596599999999995</c:v>
                </c:pt>
                <c:pt idx="174">
                  <c:v>101.1245</c:v>
                </c:pt>
                <c:pt idx="175">
                  <c:v>102.42</c:v>
                </c:pt>
                <c:pt idx="176">
                  <c:v>103.5831</c:v>
                </c:pt>
                <c:pt idx="177">
                  <c:v>104.765</c:v>
                </c:pt>
                <c:pt idx="178">
                  <c:v>106.2848</c:v>
                </c:pt>
                <c:pt idx="179">
                  <c:v>107.4714</c:v>
                </c:pt>
                <c:pt idx="180">
                  <c:v>108.63200000000001</c:v>
                </c:pt>
                <c:pt idx="181">
                  <c:v>110.1867</c:v>
                </c:pt>
                <c:pt idx="182">
                  <c:v>111.3075</c:v>
                </c:pt>
                <c:pt idx="183">
                  <c:v>112.9295</c:v>
                </c:pt>
                <c:pt idx="184">
                  <c:v>114.1619</c:v>
                </c:pt>
                <c:pt idx="185">
                  <c:v>114.6005</c:v>
                </c:pt>
                <c:pt idx="186">
                  <c:v>115.8099</c:v>
                </c:pt>
                <c:pt idx="187">
                  <c:v>117.4183</c:v>
                </c:pt>
                <c:pt idx="188">
                  <c:v>118.623</c:v>
                </c:pt>
                <c:pt idx="189">
                  <c:v>120.2214</c:v>
                </c:pt>
                <c:pt idx="190">
                  <c:v>121.5493</c:v>
                </c:pt>
                <c:pt idx="191">
                  <c:v>122.77809999999999</c:v>
                </c:pt>
                <c:pt idx="192">
                  <c:v>124.3888</c:v>
                </c:pt>
                <c:pt idx="193">
                  <c:v>125.5977</c:v>
                </c:pt>
                <c:pt idx="194">
                  <c:v>126.8309</c:v>
                </c:pt>
                <c:pt idx="195">
                  <c:v>128.03980000000001</c:v>
                </c:pt>
                <c:pt idx="196">
                  <c:v>129.7406</c:v>
                </c:pt>
                <c:pt idx="197">
                  <c:v>130.95400000000001</c:v>
                </c:pt>
                <c:pt idx="198">
                  <c:v>132.60640000000001</c:v>
                </c:pt>
                <c:pt idx="199">
                  <c:v>133.90360000000001</c:v>
                </c:pt>
                <c:pt idx="200">
                  <c:v>135.24760000000001</c:v>
                </c:pt>
                <c:pt idx="201">
                  <c:v>136.9417</c:v>
                </c:pt>
                <c:pt idx="202">
                  <c:v>138.268</c:v>
                </c:pt>
                <c:pt idx="203">
                  <c:v>140.07759999999999</c:v>
                </c:pt>
                <c:pt idx="204">
                  <c:v>141.42509999999999</c:v>
                </c:pt>
                <c:pt idx="205">
                  <c:v>142.74940000000001</c:v>
                </c:pt>
                <c:pt idx="206">
                  <c:v>144.51499999999999</c:v>
                </c:pt>
                <c:pt idx="207">
                  <c:v>145.88640000000001</c:v>
                </c:pt>
                <c:pt idx="208">
                  <c:v>147.69900000000001</c:v>
                </c:pt>
                <c:pt idx="209">
                  <c:v>149.57329999999999</c:v>
                </c:pt>
                <c:pt idx="210">
                  <c:v>150.9579</c:v>
                </c:pt>
                <c:pt idx="211">
                  <c:v>152.76679999999999</c:v>
                </c:pt>
                <c:pt idx="212">
                  <c:v>154.1636</c:v>
                </c:pt>
                <c:pt idx="213">
                  <c:v>156.05709999999999</c:v>
                </c:pt>
                <c:pt idx="214">
                  <c:v>157.46680000000001</c:v>
                </c:pt>
                <c:pt idx="215">
                  <c:v>158.85830000000001</c:v>
                </c:pt>
                <c:pt idx="216">
                  <c:v>160.751</c:v>
                </c:pt>
                <c:pt idx="217">
                  <c:v>162.18039999999999</c:v>
                </c:pt>
                <c:pt idx="218">
                  <c:v>163.88579999999999</c:v>
                </c:pt>
                <c:pt idx="219">
                  <c:v>165.3511</c:v>
                </c:pt>
                <c:pt idx="220">
                  <c:v>167.24270000000001</c:v>
                </c:pt>
                <c:pt idx="221">
                  <c:v>169.17230000000001</c:v>
                </c:pt>
                <c:pt idx="222">
                  <c:v>170.6267</c:v>
                </c:pt>
                <c:pt idx="223">
                  <c:v>172.4795</c:v>
                </c:pt>
                <c:pt idx="224">
                  <c:v>173.91229999999999</c:v>
                </c:pt>
                <c:pt idx="225">
                  <c:v>175.3544</c:v>
                </c:pt>
                <c:pt idx="226">
                  <c:v>178.3049</c:v>
                </c:pt>
                <c:pt idx="227">
                  <c:v>180.3442</c:v>
                </c:pt>
                <c:pt idx="228">
                  <c:v>181.81800000000001</c:v>
                </c:pt>
                <c:pt idx="229">
                  <c:v>183.78039999999999</c:v>
                </c:pt>
                <c:pt idx="230">
                  <c:v>185.2261</c:v>
                </c:pt>
                <c:pt idx="231">
                  <c:v>187.20760000000001</c:v>
                </c:pt>
                <c:pt idx="232">
                  <c:v>189.3331</c:v>
                </c:pt>
                <c:pt idx="233">
                  <c:v>190.9014</c:v>
                </c:pt>
                <c:pt idx="234">
                  <c:v>193.05930000000001</c:v>
                </c:pt>
                <c:pt idx="235">
                  <c:v>194.66630000000001</c:v>
                </c:pt>
                <c:pt idx="236">
                  <c:v>196.28200000000001</c:v>
                </c:pt>
                <c:pt idx="237">
                  <c:v>199.4649</c:v>
                </c:pt>
                <c:pt idx="238">
                  <c:v>201.46029999999999</c:v>
                </c:pt>
                <c:pt idx="239">
                  <c:v>203.01570000000001</c:v>
                </c:pt>
                <c:pt idx="240">
                  <c:v>205.0992</c:v>
                </c:pt>
                <c:pt idx="241">
                  <c:v>207.27070000000001</c:v>
                </c:pt>
                <c:pt idx="242">
                  <c:v>208.93270000000001</c:v>
                </c:pt>
                <c:pt idx="243">
                  <c:v>211.0444</c:v>
                </c:pt>
                <c:pt idx="244">
                  <c:v>212.5232</c:v>
                </c:pt>
                <c:pt idx="245">
                  <c:v>214.33099999999999</c:v>
                </c:pt>
                <c:pt idx="246">
                  <c:v>217.22790000000001</c:v>
                </c:pt>
                <c:pt idx="247">
                  <c:v>218.65889999999999</c:v>
                </c:pt>
                <c:pt idx="248">
                  <c:v>220.3655</c:v>
                </c:pt>
                <c:pt idx="249">
                  <c:v>222.31460000000001</c:v>
                </c:pt>
                <c:pt idx="250">
                  <c:v>223.80719999999999</c:v>
                </c:pt>
                <c:pt idx="251">
                  <c:v>226.05510000000001</c:v>
                </c:pt>
                <c:pt idx="252">
                  <c:v>227.56389999999999</c:v>
                </c:pt>
                <c:pt idx="253">
                  <c:v>229.01840000000001</c:v>
                </c:pt>
                <c:pt idx="254">
                  <c:v>232.75739999999999</c:v>
                </c:pt>
                <c:pt idx="255">
                  <c:v>234.68270000000001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5F-4825-AC92-CEBC6884A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639168"/>
        <c:axId val="1881628128"/>
      </c:lineChart>
      <c:catAx>
        <c:axId val="188163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1628128"/>
        <c:crosses val="autoZero"/>
        <c:auto val="1"/>
        <c:lblAlgn val="ctr"/>
        <c:lblOffset val="100"/>
        <c:noMultiLvlLbl val="0"/>
      </c:catAx>
      <c:valAx>
        <c:axId val="188162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16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Gamma2.6_6500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'Gamma 2.6 6500K'!$C$16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2.6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6500K'!$C$17:$C$272</c:f>
              <c:numCache>
                <c:formatCode>0.00_ </c:formatCode>
                <c:ptCount val="256"/>
                <c:pt idx="0">
                  <c:v>3.85152911058257E-6</c:v>
                </c:pt>
                <c:pt idx="1">
                  <c:v>2.1740897781257927E-4</c:v>
                </c:pt>
                <c:pt idx="2">
                  <c:v>9.8502430351858974E-4</c:v>
                </c:pt>
                <c:pt idx="3">
                  <c:v>2.5454000610591748E-3</c:v>
                </c:pt>
                <c:pt idx="4">
                  <c:v>5.094777934051933E-3</c:v>
                </c:pt>
                <c:pt idx="5">
                  <c:v>8.8058355960815519E-3</c:v>
                </c:pt>
                <c:pt idx="6">
                  <c:v>1.3835433085918695E-2</c:v>
                </c:pt>
                <c:pt idx="7">
                  <c:v>2.0328783735190974E-2</c:v>
                </c:pt>
                <c:pt idx="8">
                  <c:v>2.8422026216148637E-2</c:v>
                </c:pt>
                <c:pt idx="9">
                  <c:v>3.8243950754566616E-2</c:v>
                </c:pt>
                <c:pt idx="10">
                  <c:v>4.9917227606814017E-2</c:v>
                </c:pt>
                <c:pt idx="11">
                  <c:v>6.3559319942687278E-2</c:v>
                </c:pt>
                <c:pt idx="12">
                  <c:v>7.92831851789111E-2</c:v>
                </c:pt>
                <c:pt idx="13">
                  <c:v>9.7197828246681411E-2</c:v>
                </c:pt>
                <c:pt idx="14">
                  <c:v>0.11740874757757103</c:v>
                </c:pt>
                <c:pt idx="15">
                  <c:v>0.14001830112090086</c:v>
                </c:pt>
                <c:pt idx="16">
                  <c:v>0.1651260113214405</c:v>
                </c:pt>
                <c:pt idx="17">
                  <c:v>0.19282882255845762</c:v>
                </c:pt>
                <c:pt idx="18">
                  <c:v>0.22322132091460237</c:v>
                </c:pt>
                <c:pt idx="19">
                  <c:v>0.25639592364206604</c:v>
                </c:pt>
                <c:pt idx="20">
                  <c:v>0.29244304392861259</c:v>
                </c:pt>
                <c:pt idx="21">
                  <c:v>0.33145123529368931</c:v>
                </c:pt>
                <c:pt idx="22">
                  <c:v>0.37350731900991258</c:v>
                </c:pt>
                <c:pt idx="23">
                  <c:v>0.41869649724660207</c:v>
                </c:pt>
                <c:pt idx="24">
                  <c:v>0.46710245410207246</c:v>
                </c:pt>
                <c:pt idx="25">
                  <c:v>0.51880744628382047</c:v>
                </c:pt>
                <c:pt idx="26">
                  <c:v>0.57389238487849092</c:v>
                </c:pt>
                <c:pt idx="27">
                  <c:v>0.63243690940369524</c:v>
                </c:pt>
                <c:pt idx="28">
                  <c:v>0.69451945513512148</c:v>
                </c:pt>
                <c:pt idx="29">
                  <c:v>0.76021731454283448</c:v>
                </c:pt>
                <c:pt idx="30">
                  <c:v>0.82960669354153282</c:v>
                </c:pt>
                <c:pt idx="31">
                  <c:v>0.90276276315407322</c:v>
                </c:pt>
                <c:pt idx="32">
                  <c:v>0.97975970710085458</c:v>
                </c:pt>
                <c:pt idx="33">
                  <c:v>1.0606707657558856</c:v>
                </c:pt>
                <c:pt idx="34">
                  <c:v>1.1455682768504847</c:v>
                </c:pt>
                <c:pt idx="35">
                  <c:v>1.2345237132554259</c:v>
                </c:pt>
                <c:pt idx="36">
                  <c:v>1.3276077181300683</c:v>
                </c:pt>
                <c:pt idx="37">
                  <c:v>1.4248901376911038</c:v>
                </c:pt>
                <c:pt idx="38">
                  <c:v>1.5264400518231314</c:v>
                </c:pt>
                <c:pt idx="39">
                  <c:v>1.6323258027270291</c:v>
                </c:pt>
                <c:pt idx="40">
                  <c:v>1.7426150217797662</c:v>
                </c:pt>
                <c:pt idx="41">
                  <c:v>1.857374654759822</c:v>
                </c:pt>
                <c:pt idx="42">
                  <c:v>1.9766709855756626</c:v>
                </c:pt>
                <c:pt idx="43">
                  <c:v>2.1005696586201128</c:v>
                </c:pt>
                <c:pt idx="44">
                  <c:v>2.2291356998606875</c:v>
                </c:pt>
                <c:pt idx="45">
                  <c:v>2.3624335367648546</c:v>
                </c:pt>
                <c:pt idx="46">
                  <c:v>2.5005270171493565</c:v>
                </c:pt>
                <c:pt idx="47">
                  <c:v>2.6434794270340913</c:v>
                </c:pt>
                <c:pt idx="48">
                  <c:v>2.7913535075734419</c:v>
                </c:pt>
                <c:pt idx="49">
                  <c:v>2.9442114711311818</c:v>
                </c:pt>
                <c:pt idx="50">
                  <c:v>3.1021150165590501</c:v>
                </c:pt>
                <c:pt idx="51">
                  <c:v>3.2651253437337511</c:v>
                </c:pt>
                <c:pt idx="52">
                  <c:v>3.4333031674024168</c:v>
                </c:pt>
                <c:pt idx="53">
                  <c:v>3.6067087303821541</c:v>
                </c:pt>
                <c:pt idx="54">
                  <c:v>3.785401816155642</c:v>
                </c:pt>
                <c:pt idx="55">
                  <c:v>3.9694417609011183</c:v>
                </c:pt>
                <c:pt idx="56">
                  <c:v>4.158887464992147</c:v>
                </c:pt>
                <c:pt idx="57">
                  <c:v>4.3537974039996472</c:v>
                </c:pt>
                <c:pt idx="58">
                  <c:v>4.5542296392261461</c:v>
                </c:pt>
                <c:pt idx="59">
                  <c:v>4.7602418278000114</c:v>
                </c:pt>
                <c:pt idx="60">
                  <c:v>4.9718912323551505</c:v>
                </c:pt>
                <c:pt idx="61">
                  <c:v>5.1892347303200221</c:v>
                </c:pt>
                <c:pt idx="62">
                  <c:v>5.4123288228378028</c:v>
                </c:pt>
                <c:pt idx="63">
                  <c:v>5.6412296433382227</c:v>
                </c:pt>
                <c:pt idx="64">
                  <c:v>5.8759929657799574</c:v>
                </c:pt>
                <c:pt idx="65">
                  <c:v>6.1166742125812901</c:v>
                </c:pt>
                <c:pt idx="66">
                  <c:v>6.3633284622554394</c:v>
                </c:pt>
                <c:pt idx="67">
                  <c:v>6.6160104567659435</c:v>
                </c:pt>
                <c:pt idx="68">
                  <c:v>6.8747746086163879</c:v>
                </c:pt>
                <c:pt idx="69">
                  <c:v>7.1396750076878703</c:v>
                </c:pt>
                <c:pt idx="70">
                  <c:v>7.4107654278367825</c:v>
                </c:pt>
                <c:pt idx="71">
                  <c:v>7.6880993332645318</c:v>
                </c:pt>
                <c:pt idx="72">
                  <c:v>7.9717298846703644</c:v>
                </c:pt>
                <c:pt idx="73">
                  <c:v>8.2617099451974703</c:v>
                </c:pt>
                <c:pt idx="74">
                  <c:v>8.5580920861821568</c:v>
                </c:pt>
                <c:pt idx="75">
                  <c:v>8.8609285927151529</c:v>
                </c:pt>
                <c:pt idx="76">
                  <c:v>9.1702714690236853</c:v>
                </c:pt>
                <c:pt idx="77">
                  <c:v>9.4861724436823405</c:v>
                </c:pt>
                <c:pt idx="78">
                  <c:v>9.8086829746603552</c:v>
                </c:pt>
                <c:pt idx="79">
                  <c:v>10.137854254212524</c:v>
                </c:pt>
                <c:pt idx="80">
                  <c:v>10.473737213620488</c:v>
                </c:pt>
                <c:pt idx="81">
                  <c:v>10.816382527790799</c:v>
                </c:pt>
                <c:pt idx="82">
                  <c:v>11.165840619715871</c:v>
                </c:pt>
                <c:pt idx="83">
                  <c:v>11.522161664803404</c:v>
                </c:pt>
                <c:pt idx="84">
                  <c:v>11.885395595079892</c:v>
                </c:pt>
                <c:pt idx="85">
                  <c:v>12.255592103273198</c:v>
                </c:pt>
                <c:pt idx="86">
                  <c:v>12.632800646779128</c:v>
                </c:pt>
                <c:pt idx="87">
                  <c:v>13.017070451516563</c:v>
                </c:pt>
                <c:pt idx="88">
                  <c:v>13.40845051567568</c:v>
                </c:pt>
                <c:pt idx="89">
                  <c:v>13.806989613363189</c:v>
                </c:pt>
                <c:pt idx="90">
                  <c:v>14.212736298148782</c:v>
                </c:pt>
                <c:pt idx="91">
                  <c:v>14.625738906516315</c:v>
                </c:pt>
                <c:pt idx="92">
                  <c:v>15.046045561223538</c:v>
                </c:pt>
                <c:pt idx="93">
                  <c:v>15.473704174573639</c:v>
                </c:pt>
                <c:pt idx="94">
                  <c:v>15.908762451601751</c:v>
                </c:pt>
                <c:pt idx="95">
                  <c:v>16.351267893179802</c:v>
                </c:pt>
                <c:pt idx="96">
                  <c:v>16.801267799042346</c:v>
                </c:pt>
                <c:pt idx="97">
                  <c:v>17.258809270736421</c:v>
                </c:pt>
                <c:pt idx="98">
                  <c:v>17.723939214497872</c:v>
                </c:pt>
                <c:pt idx="99">
                  <c:v>18.19670434405699</c:v>
                </c:pt>
                <c:pt idx="100">
                  <c:v>18.677151183375681</c:v>
                </c:pt>
                <c:pt idx="101">
                  <c:v>19.165326069318613</c:v>
                </c:pt>
                <c:pt idx="102">
                  <c:v>19.661275154260498</c:v>
                </c:pt>
                <c:pt idx="103">
                  <c:v>20.165044408631783</c:v>
                </c:pt>
                <c:pt idx="104">
                  <c:v>20.676679623404635</c:v>
                </c:pt>
                <c:pt idx="105">
                  <c:v>21.196226412521323</c:v>
                </c:pt>
                <c:pt idx="106">
                  <c:v>21.723730215266723</c:v>
                </c:pt>
                <c:pt idx="107">
                  <c:v>22.259236298586917</c:v>
                </c:pt>
                <c:pt idx="108">
                  <c:v>22.802789759355463</c:v>
                </c:pt>
                <c:pt idx="109">
                  <c:v>23.3544355265891</c:v>
                </c:pt>
                <c:pt idx="110">
                  <c:v>23.91421836361436</c:v>
                </c:pt>
                <c:pt idx="111">
                  <c:v>24.482182870186708</c:v>
                </c:pt>
                <c:pt idx="112">
                  <c:v>25.058373484563681</c:v>
                </c:pt>
                <c:pt idx="113">
                  <c:v>25.642834485533317</c:v>
                </c:pt>
                <c:pt idx="114">
                  <c:v>26.235609994399326</c:v>
                </c:pt>
                <c:pt idx="115">
                  <c:v>26.836743976924282</c:v>
                </c:pt>
                <c:pt idx="116">
                  <c:v>27.44628024523201</c:v>
                </c:pt>
                <c:pt idx="117">
                  <c:v>28.064262459670587</c:v>
                </c:pt>
                <c:pt idx="118">
                  <c:v>28.690734130636692</c:v>
                </c:pt>
                <c:pt idx="119">
                  <c:v>29.325738620362898</c:v>
                </c:pt>
                <c:pt idx="120">
                  <c:v>29.969319144668745</c:v>
                </c:pt>
                <c:pt idx="121">
                  <c:v>30.62151877467646</c:v>
                </c:pt>
                <c:pt idx="122">
                  <c:v>31.28238043849268</c:v>
                </c:pt>
                <c:pt idx="123">
                  <c:v>31.951946922856802</c:v>
                </c:pt>
                <c:pt idx="124">
                  <c:v>32.630260874757184</c:v>
                </c:pt>
                <c:pt idx="125">
                  <c:v>33.317364803015749</c:v>
                </c:pt>
                <c:pt idx="126">
                  <c:v>34.013301079842229</c:v>
                </c:pt>
                <c:pt idx="127">
                  <c:v>34.718111942358441</c:v>
                </c:pt>
                <c:pt idx="128">
                  <c:v>35.431839494093879</c:v>
                </c:pt>
                <c:pt idx="129">
                  <c:v>36.154525706452972</c:v>
                </c:pt>
                <c:pt idx="130">
                  <c:v>36.886212420154997</c:v>
                </c:pt>
                <c:pt idx="131">
                  <c:v>37.626941346647321</c:v>
                </c:pt>
                <c:pt idx="132">
                  <c:v>38.376754069492598</c:v>
                </c:pt>
                <c:pt idx="133">
                  <c:v>39.135692045730607</c:v>
                </c:pt>
                <c:pt idx="134">
                  <c:v>39.903796607215561</c:v>
                </c:pt>
                <c:pt idx="135">
                  <c:v>40.681108961929198</c:v>
                </c:pt>
                <c:pt idx="136">
                  <c:v>41.467670195270564</c:v>
                </c:pt>
                <c:pt idx="137">
                  <c:v>42.26352127132278</c:v>
                </c:pt>
                <c:pt idx="138">
                  <c:v>43.068703034097801</c:v>
                </c:pt>
                <c:pt idx="139">
                  <c:v>43.883256208759164</c:v>
                </c:pt>
                <c:pt idx="140">
                  <c:v>44.707221402823684</c:v>
                </c:pt>
                <c:pt idx="141">
                  <c:v>45.540639107342493</c:v>
                </c:pt>
                <c:pt idx="142">
                  <c:v>46.383549698061763</c:v>
                </c:pt>
                <c:pt idx="143">
                  <c:v>47.235993436563902</c:v>
                </c:pt>
                <c:pt idx="144">
                  <c:v>48.098010471389401</c:v>
                </c:pt>
                <c:pt idx="145">
                  <c:v>48.969640839139956</c:v>
                </c:pt>
                <c:pt idx="146">
                  <c:v>49.850924465563324</c:v>
                </c:pt>
                <c:pt idx="147">
                  <c:v>50.741901166620174</c:v>
                </c:pt>
                <c:pt idx="148">
                  <c:v>51.642610649533509</c:v>
                </c:pt>
                <c:pt idx="149">
                  <c:v>52.553092513820985</c:v>
                </c:pt>
                <c:pt idx="150">
                  <c:v>53.473386252310611</c:v>
                </c:pt>
                <c:pt idx="151">
                  <c:v>54.40353125214007</c:v>
                </c:pt>
                <c:pt idx="152">
                  <c:v>55.343566795740088</c:v>
                </c:pt>
                <c:pt idx="153">
                  <c:v>56.29353206180226</c:v>
                </c:pt>
                <c:pt idx="154">
                  <c:v>57.2534661262317</c:v>
                </c:pt>
                <c:pt idx="155">
                  <c:v>58.223407963084604</c:v>
                </c:pt>
                <c:pt idx="156">
                  <c:v>59.203396445491506</c:v>
                </c:pt>
                <c:pt idx="157">
                  <c:v>60.193470346566009</c:v>
                </c:pt>
                <c:pt idx="158">
                  <c:v>61.19366834029978</c:v>
                </c:pt>
                <c:pt idx="159">
                  <c:v>62.204029002443868</c:v>
                </c:pt>
                <c:pt idx="160">
                  <c:v>63.224590811376586</c:v>
                </c:pt>
                <c:pt idx="161">
                  <c:v>64.255392148958293</c:v>
                </c:pt>
                <c:pt idx="162">
                  <c:v>65.296471301373685</c:v>
                </c:pt>
                <c:pt idx="163">
                  <c:v>66.347866459961239</c:v>
                </c:pt>
                <c:pt idx="164">
                  <c:v>67.409615722030523</c:v>
                </c:pt>
                <c:pt idx="165">
                  <c:v>68.481757091667575</c:v>
                </c:pt>
                <c:pt idx="166">
                  <c:v>69.564328480528374</c:v>
                </c:pt>
                <c:pt idx="167">
                  <c:v>70.657367708620995</c:v>
                </c:pt>
                <c:pt idx="168">
                  <c:v>71.76091250507632</c:v>
                </c:pt>
                <c:pt idx="169">
                  <c:v>72.875000508907732</c:v>
                </c:pt>
                <c:pt idx="170">
                  <c:v>73.999669269760162</c:v>
                </c:pt>
                <c:pt idx="171">
                  <c:v>75.134956248648223</c:v>
                </c:pt>
                <c:pt idx="172">
                  <c:v>76.280898818684292</c:v>
                </c:pt>
                <c:pt idx="173">
                  <c:v>77.437534265796003</c:v>
                </c:pt>
                <c:pt idx="174">
                  <c:v>78.604899789434228</c:v>
                </c:pt>
                <c:pt idx="175">
                  <c:v>79.783032503270832</c:v>
                </c:pt>
                <c:pt idx="176">
                  <c:v>80.971969435887104</c:v>
                </c:pt>
                <c:pt idx="177">
                  <c:v>82.17174753145251</c:v>
                </c:pt>
                <c:pt idx="178">
                  <c:v>83.382403650394707</c:v>
                </c:pt>
                <c:pt idx="179">
                  <c:v>84.603974570059847</c:v>
                </c:pt>
                <c:pt idx="180">
                  <c:v>85.836496985364562</c:v>
                </c:pt>
                <c:pt idx="181">
                  <c:v>87.080007509438758</c:v>
                </c:pt>
                <c:pt idx="182">
                  <c:v>88.334542674260319</c:v>
                </c:pt>
                <c:pt idx="183">
                  <c:v>89.600138931281123</c:v>
                </c:pt>
                <c:pt idx="184">
                  <c:v>90.87683265204484</c:v>
                </c:pt>
                <c:pt idx="185">
                  <c:v>92.16466012879664</c:v>
                </c:pt>
                <c:pt idx="186">
                  <c:v>93.463657575085222</c:v>
                </c:pt>
                <c:pt idx="187">
                  <c:v>94.77386112635682</c:v>
                </c:pt>
                <c:pt idx="188">
                  <c:v>96.095306840541411</c:v>
                </c:pt>
                <c:pt idx="189">
                  <c:v>97.428030698631858</c:v>
                </c:pt>
                <c:pt idx="190">
                  <c:v>98.772068605255271</c:v>
                </c:pt>
                <c:pt idx="191">
                  <c:v>100.12745638923731</c:v>
                </c:pt>
                <c:pt idx="192">
                  <c:v>101.49422980415949</c:v>
                </c:pt>
                <c:pt idx="193">
                  <c:v>102.87242452890916</c:v>
                </c:pt>
                <c:pt idx="194">
                  <c:v>104.26207616822296</c:v>
                </c:pt>
                <c:pt idx="195">
                  <c:v>105.66322025322347</c:v>
                </c:pt>
                <c:pt idx="196">
                  <c:v>107.07589224194898</c:v>
                </c:pt>
                <c:pt idx="197">
                  <c:v>108.50012751987715</c:v>
                </c:pt>
                <c:pt idx="198">
                  <c:v>109.93596140044195</c:v>
                </c:pt>
                <c:pt idx="199">
                  <c:v>111.38342912554444</c:v>
                </c:pt>
                <c:pt idx="200">
                  <c:v>112.84256586605748</c:v>
                </c:pt>
                <c:pt idx="201">
                  <c:v>114.31340672232407</c:v>
                </c:pt>
                <c:pt idx="202">
                  <c:v>115.79598672465008</c:v>
                </c:pt>
                <c:pt idx="203">
                  <c:v>117.29034083379099</c:v>
                </c:pt>
                <c:pt idx="204">
                  <c:v>118.79650394143258</c:v>
                </c:pt>
                <c:pt idx="205">
                  <c:v>120.31451087066634</c:v>
                </c:pt>
                <c:pt idx="206">
                  <c:v>121.84439637645919</c:v>
                </c:pt>
                <c:pt idx="207">
                  <c:v>123.38619514611753</c:v>
                </c:pt>
                <c:pt idx="208">
                  <c:v>124.93994179974622</c:v>
                </c:pt>
                <c:pt idx="209">
                  <c:v>126.50567089070175</c:v>
                </c:pt>
                <c:pt idx="210">
                  <c:v>128.08341690604078</c:v>
                </c:pt>
                <c:pt idx="211">
                  <c:v>129.6732142669633</c:v>
                </c:pt>
                <c:pt idx="212">
                  <c:v>131.27509732925046</c:v>
                </c:pt>
                <c:pt idx="213">
                  <c:v>132.88910038369778</c:v>
                </c:pt>
                <c:pt idx="214">
                  <c:v>134.51525765654355</c:v>
                </c:pt>
                <c:pt idx="215">
                  <c:v>136.15360330989185</c:v>
                </c:pt>
                <c:pt idx="216">
                  <c:v>137.80417144213163</c:v>
                </c:pt>
                <c:pt idx="217">
                  <c:v>139.46699608835019</c:v>
                </c:pt>
                <c:pt idx="218">
                  <c:v>141.14211122074315</c:v>
                </c:pt>
                <c:pt idx="219">
                  <c:v>142.82955074901901</c:v>
                </c:pt>
                <c:pt idx="220">
                  <c:v>144.52934852079954</c:v>
                </c:pt>
                <c:pt idx="221">
                  <c:v>146.24153832201605</c:v>
                </c:pt>
                <c:pt idx="222">
                  <c:v>147.96615387730105</c:v>
                </c:pt>
                <c:pt idx="223">
                  <c:v>149.70322885037561</c:v>
                </c:pt>
                <c:pt idx="224">
                  <c:v>151.4527968444329</c:v>
                </c:pt>
                <c:pt idx="225">
                  <c:v>153.21489140251725</c:v>
                </c:pt>
                <c:pt idx="226">
                  <c:v>154.98954600789935</c:v>
                </c:pt>
                <c:pt idx="227">
                  <c:v>156.77679408444746</c:v>
                </c:pt>
                <c:pt idx="228">
                  <c:v>158.57666899699453</c:v>
                </c:pt>
                <c:pt idx="229">
                  <c:v>160.38920405170157</c:v>
                </c:pt>
                <c:pt idx="230">
                  <c:v>162.21443249641732</c:v>
                </c:pt>
                <c:pt idx="231">
                  <c:v>164.05238752103375</c:v>
                </c:pt>
                <c:pt idx="232">
                  <c:v>165.9031022578385</c:v>
                </c:pt>
                <c:pt idx="233">
                  <c:v>167.76660978186277</c:v>
                </c:pt>
                <c:pt idx="234">
                  <c:v>169.64294311122669</c:v>
                </c:pt>
                <c:pt idx="235">
                  <c:v>171.53213520748034</c:v>
                </c:pt>
                <c:pt idx="236">
                  <c:v>173.43421897594143</c:v>
                </c:pt>
                <c:pt idx="237">
                  <c:v>175.34922726602989</c:v>
                </c:pt>
                <c:pt idx="238">
                  <c:v>177.27719287159852</c:v>
                </c:pt>
                <c:pt idx="239">
                  <c:v>179.21814853126088</c:v>
                </c:pt>
                <c:pt idx="240">
                  <c:v>181.17212692871544</c:v>
                </c:pt>
                <c:pt idx="241">
                  <c:v>183.13916069306651</c:v>
                </c:pt>
                <c:pt idx="242">
                  <c:v>185.11928239914241</c:v>
                </c:pt>
                <c:pt idx="243">
                  <c:v>187.11252456780988</c:v>
                </c:pt>
                <c:pt idx="244">
                  <c:v>189.11891966628576</c:v>
                </c:pt>
                <c:pt idx="245">
                  <c:v>191.13850010844556</c:v>
                </c:pt>
                <c:pt idx="246">
                  <c:v>193.17129825512873</c:v>
                </c:pt>
                <c:pt idx="247">
                  <c:v>195.21734641444141</c:v>
                </c:pt>
                <c:pt idx="248">
                  <c:v>197.27667684205576</c:v>
                </c:pt>
                <c:pt idx="249">
                  <c:v>199.34932174150657</c:v>
                </c:pt>
                <c:pt idx="250">
                  <c:v>201.43531326448536</c:v>
                </c:pt>
                <c:pt idx="251">
                  <c:v>203.53468351113088</c:v>
                </c:pt>
                <c:pt idx="252">
                  <c:v>205.64746453031768</c:v>
                </c:pt>
                <c:pt idx="253">
                  <c:v>207.77368831994119</c:v>
                </c:pt>
                <c:pt idx="254">
                  <c:v>209.91338682720055</c:v>
                </c:pt>
                <c:pt idx="255">
                  <c:v>211.48605000000001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9-49D5-91FE-CB4EA8D20222}"/>
            </c:ext>
          </c:extLst>
        </c:ser>
        <c:ser>
          <c:idx val="1"/>
          <c:order val="1"/>
          <c:tx>
            <c:strRef>
              <c:f>'Gamma 2.6 6500K'!$D$16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2.6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6500K'!$D$17:$D$272</c:f>
              <c:numCache>
                <c:formatCode>0.00_ </c:formatCode>
                <c:ptCount val="256"/>
                <c:pt idx="0">
                  <c:v>4.2794767895361886E-6</c:v>
                </c:pt>
                <c:pt idx="1">
                  <c:v>2.4156553090286587E-4</c:v>
                </c:pt>
                <c:pt idx="2">
                  <c:v>1.0944714483539886E-3</c:v>
                </c:pt>
                <c:pt idx="3">
                  <c:v>2.8282222900657497E-3</c:v>
                </c:pt>
                <c:pt idx="4">
                  <c:v>5.6608643711688143E-3</c:v>
                </c:pt>
                <c:pt idx="5">
                  <c:v>9.7842617734239471E-3</c:v>
                </c:pt>
                <c:pt idx="6">
                  <c:v>1.537270342879855E-2</c:v>
                </c:pt>
                <c:pt idx="7">
                  <c:v>2.2587537483545524E-2</c:v>
                </c:pt>
                <c:pt idx="8">
                  <c:v>3.1580029129054041E-2</c:v>
                </c:pt>
                <c:pt idx="9">
                  <c:v>4.2493278616185126E-2</c:v>
                </c:pt>
                <c:pt idx="10">
                  <c:v>5.5463586229793353E-2</c:v>
                </c:pt>
                <c:pt idx="11">
                  <c:v>7.0621466602985863E-2</c:v>
                </c:pt>
                <c:pt idx="12">
                  <c:v>8.8092427976567883E-2</c:v>
                </c:pt>
                <c:pt idx="13">
                  <c:v>0.10799758694075712</c:v>
                </c:pt>
                <c:pt idx="14">
                  <c:v>0.13045416397507892</c:v>
                </c:pt>
                <c:pt idx="15">
                  <c:v>0.15557589013433429</c:v>
                </c:pt>
                <c:pt idx="16">
                  <c:v>0.18347334591271167</c:v>
                </c:pt>
                <c:pt idx="17">
                  <c:v>0.21425424728717515</c:v>
                </c:pt>
                <c:pt idx="18">
                  <c:v>0.24802368990511375</c:v>
                </c:pt>
                <c:pt idx="19">
                  <c:v>0.28488435960229558</c:v>
                </c:pt>
                <c:pt idx="20">
                  <c:v>0.3249367154762362</c:v>
                </c:pt>
                <c:pt idx="21">
                  <c:v>0.36827915032632147</c:v>
                </c:pt>
                <c:pt idx="22">
                  <c:v>0.41500813223323618</c:v>
                </c:pt>
                <c:pt idx="23">
                  <c:v>0.46521833027400228</c:v>
                </c:pt>
                <c:pt idx="24">
                  <c:v>0.51900272678008053</c:v>
                </c:pt>
                <c:pt idx="25">
                  <c:v>0.57645271809313381</c:v>
                </c:pt>
                <c:pt idx="26">
                  <c:v>0.63765820542054552</c:v>
                </c:pt>
                <c:pt idx="27">
                  <c:v>0.70270767711521687</c:v>
                </c:pt>
                <c:pt idx="28">
                  <c:v>0.7716882834834683</c:v>
                </c:pt>
                <c:pt idx="29">
                  <c:v>0.84468590504759389</c:v>
                </c:pt>
                <c:pt idx="30">
                  <c:v>0.92178521504614763</c:v>
                </c:pt>
                <c:pt idx="31">
                  <c:v>1.0030697368378592</c:v>
                </c:pt>
                <c:pt idx="32">
                  <c:v>1.0886218967787273</c:v>
                </c:pt>
                <c:pt idx="33">
                  <c:v>1.178523073062095</c:v>
                </c:pt>
                <c:pt idx="34">
                  <c:v>1.2728536409449831</c:v>
                </c:pt>
                <c:pt idx="35">
                  <c:v>1.3716930147282509</c:v>
                </c:pt>
                <c:pt idx="36">
                  <c:v>1.4751196868111869</c:v>
                </c:pt>
                <c:pt idx="37">
                  <c:v>1.5832112641012264</c:v>
                </c:pt>
                <c:pt idx="38">
                  <c:v>1.6960445020257016</c:v>
                </c:pt>
                <c:pt idx="39">
                  <c:v>1.8136953363633657</c:v>
                </c:pt>
                <c:pt idx="40">
                  <c:v>1.9362389130886291</c:v>
                </c:pt>
                <c:pt idx="41">
                  <c:v>2.0637496163998024</c:v>
                </c:pt>
                <c:pt idx="42">
                  <c:v>2.1963010950840696</c:v>
                </c:pt>
                <c:pt idx="43">
                  <c:v>2.3339662873556808</c:v>
                </c:pt>
                <c:pt idx="44">
                  <c:v>2.4768174442896527</c:v>
                </c:pt>
                <c:pt idx="45">
                  <c:v>2.6249261519609495</c:v>
                </c:pt>
                <c:pt idx="46">
                  <c:v>2.7783633523881739</c:v>
                </c:pt>
                <c:pt idx="47">
                  <c:v>2.9371993633712128</c:v>
                </c:pt>
                <c:pt idx="48">
                  <c:v>3.1015038973038243</c:v>
                </c:pt>
                <c:pt idx="49">
                  <c:v>3.2713460790346462</c:v>
                </c:pt>
                <c:pt idx="50">
                  <c:v>3.4467944628433891</c:v>
                </c:pt>
                <c:pt idx="51">
                  <c:v>3.6279170485930567</c:v>
                </c:pt>
                <c:pt idx="52">
                  <c:v>3.8147812971137962</c:v>
                </c:pt>
                <c:pt idx="53">
                  <c:v>4.0074541448690599</c:v>
                </c:pt>
                <c:pt idx="54">
                  <c:v>4.2060020179507136</c:v>
                </c:pt>
                <c:pt idx="55">
                  <c:v>4.410490845445687</c:v>
                </c:pt>
                <c:pt idx="56">
                  <c:v>4.6209860722134968</c:v>
                </c:pt>
                <c:pt idx="57">
                  <c:v>4.8375526711107195</c:v>
                </c:pt>
                <c:pt idx="58">
                  <c:v>5.0602551546957182</c:v>
                </c:pt>
                <c:pt idx="59">
                  <c:v>5.2891575864444569</c:v>
                </c:pt>
                <c:pt idx="60">
                  <c:v>5.5243235915057225</c:v>
                </c:pt>
                <c:pt idx="61">
                  <c:v>5.7658163670222464</c:v>
                </c:pt>
                <c:pt idx="62">
                  <c:v>6.013698692042003</c:v>
                </c:pt>
                <c:pt idx="63">
                  <c:v>6.2680329370424692</c:v>
                </c:pt>
                <c:pt idx="64">
                  <c:v>6.5288810730888418</c:v>
                </c:pt>
                <c:pt idx="65">
                  <c:v>6.7963046806458776</c:v>
                </c:pt>
                <c:pt idx="66">
                  <c:v>7.0703649580615995</c:v>
                </c:pt>
                <c:pt idx="67">
                  <c:v>7.3511227297399371</c:v>
                </c:pt>
                <c:pt idx="68">
                  <c:v>7.6386384540182091</c:v>
                </c:pt>
                <c:pt idx="69">
                  <c:v>7.9329722307643005</c:v>
                </c:pt>
                <c:pt idx="70">
                  <c:v>8.2341838087075363</c:v>
                </c:pt>
                <c:pt idx="71">
                  <c:v>8.5423325925161464</c:v>
                </c:pt>
                <c:pt idx="72">
                  <c:v>8.8574776496337382</c:v>
                </c:pt>
                <c:pt idx="73">
                  <c:v>9.1796777168860775</c:v>
                </c:pt>
                <c:pt idx="74">
                  <c:v>9.5089912068690641</c:v>
                </c:pt>
                <c:pt idx="75">
                  <c:v>9.845476214127947</c:v>
                </c:pt>
                <c:pt idx="76">
                  <c:v>10.189190521137428</c:v>
                </c:pt>
                <c:pt idx="77">
                  <c:v>10.54019160409149</c:v>
                </c:pt>
                <c:pt idx="78">
                  <c:v>10.898536638511505</c:v>
                </c:pt>
                <c:pt idx="79">
                  <c:v>11.264282504680581</c:v>
                </c:pt>
                <c:pt idx="80">
                  <c:v>11.637485792911653</c:v>
                </c:pt>
                <c:pt idx="81">
                  <c:v>12.018202808656444</c:v>
                </c:pt>
                <c:pt idx="82">
                  <c:v>12.406489577462079</c:v>
                </c:pt>
                <c:pt idx="83">
                  <c:v>12.80240184978156</c:v>
                </c:pt>
                <c:pt idx="84">
                  <c:v>13.205995105644325</c:v>
                </c:pt>
                <c:pt idx="85">
                  <c:v>13.617324559192443</c:v>
                </c:pt>
                <c:pt idx="86">
                  <c:v>14.036445163087921</c:v>
                </c:pt>
                <c:pt idx="87">
                  <c:v>14.463411612796182</c:v>
                </c:pt>
                <c:pt idx="88">
                  <c:v>14.898278350750756</c:v>
                </c:pt>
                <c:pt idx="89">
                  <c:v>15.341099570403545</c:v>
                </c:pt>
                <c:pt idx="90">
                  <c:v>15.791929220165313</c:v>
                </c:pt>
                <c:pt idx="91">
                  <c:v>16.250821007240351</c:v>
                </c:pt>
                <c:pt idx="92">
                  <c:v>16.717828401359487</c:v>
                </c:pt>
                <c:pt idx="93">
                  <c:v>17.193004638415154</c:v>
                </c:pt>
                <c:pt idx="94">
                  <c:v>17.676402724001946</c:v>
                </c:pt>
                <c:pt idx="95">
                  <c:v>18.168075436866445</c:v>
                </c:pt>
                <c:pt idx="96">
                  <c:v>18.668075332269275</c:v>
                </c:pt>
                <c:pt idx="97">
                  <c:v>19.176454745262689</c:v>
                </c:pt>
                <c:pt idx="98">
                  <c:v>19.693265793886525</c:v>
                </c:pt>
                <c:pt idx="99">
                  <c:v>20.218560382285542</c:v>
                </c:pt>
                <c:pt idx="100">
                  <c:v>20.752390203750757</c:v>
                </c:pt>
                <c:pt idx="101">
                  <c:v>21.294806743687349</c:v>
                </c:pt>
                <c:pt idx="102">
                  <c:v>21.845861282511663</c:v>
                </c:pt>
                <c:pt idx="103">
                  <c:v>22.405604898479758</c:v>
                </c:pt>
                <c:pt idx="104">
                  <c:v>22.974088470449594</c:v>
                </c:pt>
                <c:pt idx="105">
                  <c:v>23.551362680579249</c:v>
                </c:pt>
                <c:pt idx="106">
                  <c:v>24.137478016963026</c:v>
                </c:pt>
                <c:pt idx="107">
                  <c:v>24.732484776207684</c:v>
                </c:pt>
                <c:pt idx="108">
                  <c:v>25.336433065950516</c:v>
                </c:pt>
                <c:pt idx="109">
                  <c:v>25.949372807321222</c:v>
                </c:pt>
                <c:pt idx="110">
                  <c:v>26.571353737349291</c:v>
                </c:pt>
                <c:pt idx="111">
                  <c:v>27.202425411318565</c:v>
                </c:pt>
                <c:pt idx="112">
                  <c:v>27.842637205070755</c:v>
                </c:pt>
                <c:pt idx="113">
                  <c:v>28.49203831725924</c:v>
                </c:pt>
                <c:pt idx="114">
                  <c:v>29.150677771554808</c:v>
                </c:pt>
                <c:pt idx="115">
                  <c:v>29.818604418804757</c:v>
                </c:pt>
                <c:pt idx="116">
                  <c:v>30.49586693914668</c:v>
                </c:pt>
                <c:pt idx="117">
                  <c:v>31.182513844078429</c:v>
                </c:pt>
                <c:pt idx="118">
                  <c:v>31.878593478485215</c:v>
                </c:pt>
                <c:pt idx="119">
                  <c:v>32.584154022625441</c:v>
                </c:pt>
                <c:pt idx="120">
                  <c:v>33.299243494076386</c:v>
                </c:pt>
                <c:pt idx="121">
                  <c:v>34.023909749640509</c:v>
                </c:pt>
                <c:pt idx="122">
                  <c:v>34.75820048721409</c:v>
                </c:pt>
                <c:pt idx="123">
                  <c:v>35.502163247618668</c:v>
                </c:pt>
                <c:pt idx="124">
                  <c:v>36.255845416396873</c:v>
                </c:pt>
                <c:pt idx="125">
                  <c:v>37.019294225573056</c:v>
                </c:pt>
                <c:pt idx="126">
                  <c:v>37.792556755380254</c:v>
                </c:pt>
                <c:pt idx="127">
                  <c:v>38.575679935953822</c:v>
                </c:pt>
                <c:pt idx="128">
                  <c:v>39.368710548993199</c:v>
                </c:pt>
                <c:pt idx="129">
                  <c:v>40.171695229392192</c:v>
                </c:pt>
                <c:pt idx="130">
                  <c:v>40.984680466838888</c:v>
                </c:pt>
                <c:pt idx="131">
                  <c:v>41.807712607385909</c:v>
                </c:pt>
                <c:pt idx="132">
                  <c:v>42.640837854991773</c:v>
                </c:pt>
                <c:pt idx="133">
                  <c:v>43.484102273034004</c:v>
                </c:pt>
                <c:pt idx="134">
                  <c:v>44.337551785795071</c:v>
                </c:pt>
                <c:pt idx="135">
                  <c:v>45.201232179921334</c:v>
                </c:pt>
                <c:pt idx="136">
                  <c:v>46.075189105856182</c:v>
                </c:pt>
                <c:pt idx="137">
                  <c:v>46.959468079247536</c:v>
                </c:pt>
                <c:pt idx="138">
                  <c:v>47.854114482330893</c:v>
                </c:pt>
                <c:pt idx="139">
                  <c:v>48.759173565287959</c:v>
                </c:pt>
                <c:pt idx="140">
                  <c:v>49.674690447581874</c:v>
                </c:pt>
                <c:pt idx="141">
                  <c:v>50.600710119269436</c:v>
                </c:pt>
                <c:pt idx="142">
                  <c:v>51.537277442290851</c:v>
                </c:pt>
                <c:pt idx="143">
                  <c:v>52.484437151737673</c:v>
                </c:pt>
                <c:pt idx="144">
                  <c:v>53.442233857099332</c:v>
                </c:pt>
                <c:pt idx="145">
                  <c:v>54.410712043488836</c:v>
                </c:pt>
                <c:pt idx="146">
                  <c:v>55.389916072848138</c:v>
                </c:pt>
                <c:pt idx="147">
                  <c:v>56.379890185133526</c:v>
                </c:pt>
                <c:pt idx="148">
                  <c:v>57.380678499481675</c:v>
                </c:pt>
                <c:pt idx="149">
                  <c:v>58.392325015356647</c:v>
                </c:pt>
                <c:pt idx="150">
                  <c:v>59.414873613678459</c:v>
                </c:pt>
                <c:pt idx="151">
                  <c:v>60.448368057933408</c:v>
                </c:pt>
                <c:pt idx="152">
                  <c:v>61.492851995266768</c:v>
                </c:pt>
                <c:pt idx="153">
                  <c:v>62.548368957558068</c:v>
                </c:pt>
                <c:pt idx="154">
                  <c:v>63.614962362479666</c:v>
                </c:pt>
                <c:pt idx="155">
                  <c:v>64.69267551453845</c:v>
                </c:pt>
                <c:pt idx="156">
                  <c:v>65.781551606101672</c:v>
                </c:pt>
                <c:pt idx="157">
                  <c:v>66.881633718406675</c:v>
                </c:pt>
                <c:pt idx="158">
                  <c:v>67.992964822555308</c:v>
                </c:pt>
                <c:pt idx="159">
                  <c:v>69.115587780493186</c:v>
                </c:pt>
                <c:pt idx="160">
                  <c:v>70.249545345973985</c:v>
                </c:pt>
                <c:pt idx="161">
                  <c:v>71.394880165509207</c:v>
                </c:pt>
                <c:pt idx="162">
                  <c:v>72.551634779304095</c:v>
                </c:pt>
                <c:pt idx="163">
                  <c:v>73.719851622179149</c:v>
                </c:pt>
                <c:pt idx="164">
                  <c:v>74.899573024478357</c:v>
                </c:pt>
                <c:pt idx="165">
                  <c:v>76.090841212963966</c:v>
                </c:pt>
                <c:pt idx="166">
                  <c:v>77.293698311698193</c:v>
                </c:pt>
                <c:pt idx="167">
                  <c:v>78.508186342912211</c:v>
                </c:pt>
                <c:pt idx="168">
                  <c:v>79.734347227862571</c:v>
                </c:pt>
                <c:pt idx="169">
                  <c:v>80.972222787675264</c:v>
                </c:pt>
                <c:pt idx="170">
                  <c:v>82.221854744177961</c:v>
                </c:pt>
                <c:pt idx="171">
                  <c:v>83.483284720720249</c:v>
                </c:pt>
                <c:pt idx="172">
                  <c:v>84.756554242982546</c:v>
                </c:pt>
                <c:pt idx="173">
                  <c:v>86.041704739773337</c:v>
                </c:pt>
                <c:pt idx="174">
                  <c:v>87.338777543815809</c:v>
                </c:pt>
                <c:pt idx="175">
                  <c:v>88.647813892523146</c:v>
                </c:pt>
                <c:pt idx="176">
                  <c:v>89.968854928763449</c:v>
                </c:pt>
                <c:pt idx="177">
                  <c:v>91.301941701613899</c:v>
                </c:pt>
                <c:pt idx="178">
                  <c:v>92.647115167105227</c:v>
                </c:pt>
                <c:pt idx="179">
                  <c:v>94.004416188955389</c:v>
                </c:pt>
                <c:pt idx="180">
                  <c:v>95.373885539293951</c:v>
                </c:pt>
                <c:pt idx="181">
                  <c:v>96.755563899376398</c:v>
                </c:pt>
                <c:pt idx="182">
                  <c:v>98.149491860289245</c:v>
                </c:pt>
                <c:pt idx="183">
                  <c:v>99.555709923645693</c:v>
                </c:pt>
                <c:pt idx="184">
                  <c:v>100.97425850227204</c:v>
                </c:pt>
                <c:pt idx="185">
                  <c:v>102.40517792088515</c:v>
                </c:pt>
                <c:pt idx="186">
                  <c:v>103.84850841676136</c:v>
                </c:pt>
                <c:pt idx="187">
                  <c:v>105.30429014039646</c:v>
                </c:pt>
                <c:pt idx="188">
                  <c:v>106.77256315615713</c:v>
                </c:pt>
                <c:pt idx="189">
                  <c:v>108.25336744292429</c:v>
                </c:pt>
                <c:pt idx="190">
                  <c:v>109.74674289472807</c:v>
                </c:pt>
                <c:pt idx="191">
                  <c:v>111.25272932137479</c:v>
                </c:pt>
                <c:pt idx="192">
                  <c:v>112.77136644906611</c:v>
                </c:pt>
                <c:pt idx="193">
                  <c:v>114.30269392101017</c:v>
                </c:pt>
                <c:pt idx="194">
                  <c:v>115.84675129802551</c:v>
                </c:pt>
                <c:pt idx="195">
                  <c:v>117.40357805913719</c:v>
                </c:pt>
                <c:pt idx="196">
                  <c:v>118.97321360216553</c:v>
                </c:pt>
                <c:pt idx="197">
                  <c:v>120.55569724430795</c:v>
                </c:pt>
                <c:pt idx="198">
                  <c:v>122.15106822271329</c:v>
                </c:pt>
                <c:pt idx="199">
                  <c:v>123.75936569504938</c:v>
                </c:pt>
                <c:pt idx="200">
                  <c:v>125.38062874006387</c:v>
                </c:pt>
                <c:pt idx="201">
                  <c:v>127.01489635813786</c:v>
                </c:pt>
                <c:pt idx="202">
                  <c:v>128.66220747183343</c:v>
                </c:pt>
                <c:pt idx="203">
                  <c:v>130.32260092643443</c:v>
                </c:pt>
                <c:pt idx="204">
                  <c:v>131.99611549048063</c:v>
                </c:pt>
                <c:pt idx="205">
                  <c:v>133.68278985629593</c:v>
                </c:pt>
                <c:pt idx="206">
                  <c:v>135.3826626405102</c:v>
                </c:pt>
                <c:pt idx="207">
                  <c:v>137.09577238457504</c:v>
                </c:pt>
                <c:pt idx="208">
                  <c:v>138.82215755527358</c:v>
                </c:pt>
                <c:pt idx="209">
                  <c:v>140.56185654522417</c:v>
                </c:pt>
                <c:pt idx="210">
                  <c:v>142.31490767337866</c:v>
                </c:pt>
                <c:pt idx="211">
                  <c:v>144.08134918551477</c:v>
                </c:pt>
                <c:pt idx="212">
                  <c:v>145.86121925472273</c:v>
                </c:pt>
                <c:pt idx="213">
                  <c:v>147.65455598188643</c:v>
                </c:pt>
                <c:pt idx="214">
                  <c:v>149.4613973961595</c:v>
                </c:pt>
                <c:pt idx="215">
                  <c:v>151.28178145543538</c:v>
                </c:pt>
                <c:pt idx="216">
                  <c:v>153.11574604681292</c:v>
                </c:pt>
                <c:pt idx="217">
                  <c:v>154.96332898705577</c:v>
                </c:pt>
                <c:pt idx="218">
                  <c:v>156.82456802304793</c:v>
                </c:pt>
                <c:pt idx="219">
                  <c:v>158.69950083224333</c:v>
                </c:pt>
                <c:pt idx="220">
                  <c:v>160.58816502311061</c:v>
                </c:pt>
                <c:pt idx="221">
                  <c:v>162.49059813557341</c:v>
                </c:pt>
                <c:pt idx="222">
                  <c:v>164.40683764144561</c:v>
                </c:pt>
                <c:pt idx="223">
                  <c:v>166.33692094486179</c:v>
                </c:pt>
                <c:pt idx="224">
                  <c:v>168.28088538270322</c:v>
                </c:pt>
                <c:pt idx="225">
                  <c:v>170.23876822501916</c:v>
                </c:pt>
                <c:pt idx="226">
                  <c:v>172.21060667544373</c:v>
                </c:pt>
                <c:pt idx="227">
                  <c:v>174.19643787160828</c:v>
                </c:pt>
                <c:pt idx="228">
                  <c:v>176.19629888554948</c:v>
                </c:pt>
                <c:pt idx="229">
                  <c:v>178.21022672411286</c:v>
                </c:pt>
                <c:pt idx="230">
                  <c:v>180.23825832935256</c:v>
                </c:pt>
                <c:pt idx="231">
                  <c:v>182.2804305789264</c:v>
                </c:pt>
                <c:pt idx="232">
                  <c:v>184.33678028648723</c:v>
                </c:pt>
                <c:pt idx="233">
                  <c:v>186.40734420206974</c:v>
                </c:pt>
                <c:pt idx="234">
                  <c:v>188.4921590124741</c:v>
                </c:pt>
                <c:pt idx="235">
                  <c:v>190.59126134164481</c:v>
                </c:pt>
                <c:pt idx="236">
                  <c:v>192.70468775104604</c:v>
                </c:pt>
                <c:pt idx="237">
                  <c:v>194.83247474003321</c:v>
                </c:pt>
                <c:pt idx="238">
                  <c:v>196.97465874622057</c:v>
                </c:pt>
                <c:pt idx="239">
                  <c:v>199.13127614584542</c:v>
                </c:pt>
                <c:pt idx="240">
                  <c:v>201.30236325412827</c:v>
                </c:pt>
                <c:pt idx="241">
                  <c:v>203.48795632562945</c:v>
                </c:pt>
                <c:pt idx="242">
                  <c:v>205.68809155460266</c:v>
                </c:pt>
                <c:pt idx="243">
                  <c:v>207.9028050753443</c:v>
                </c:pt>
                <c:pt idx="244">
                  <c:v>210.13213296253974</c:v>
                </c:pt>
                <c:pt idx="245">
                  <c:v>212.37611123160619</c:v>
                </c:pt>
                <c:pt idx="246">
                  <c:v>214.63477583903193</c:v>
                </c:pt>
                <c:pt idx="247">
                  <c:v>216.90816268271269</c:v>
                </c:pt>
                <c:pt idx="248">
                  <c:v>219.19630760228418</c:v>
                </c:pt>
                <c:pt idx="249">
                  <c:v>221.49924637945176</c:v>
                </c:pt>
                <c:pt idx="250">
                  <c:v>223.81701473831706</c:v>
                </c:pt>
                <c:pt idx="251">
                  <c:v>226.14964834570097</c:v>
                </c:pt>
                <c:pt idx="252">
                  <c:v>228.49718281146409</c:v>
                </c:pt>
                <c:pt idx="253">
                  <c:v>230.85965368882353</c:v>
                </c:pt>
                <c:pt idx="254">
                  <c:v>233.23709647466728</c:v>
                </c:pt>
                <c:pt idx="255">
                  <c:v>234.9845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9-49D5-91FE-CB4EA8D20222}"/>
            </c:ext>
          </c:extLst>
        </c:ser>
        <c:ser>
          <c:idx val="2"/>
          <c:order val="2"/>
          <c:tx>
            <c:strRef>
              <c:f>'Gamma 2.6 6500K'!$E$16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2.6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6500K'!$E$17:$E$272</c:f>
              <c:numCache>
                <c:formatCode>0.00_ </c:formatCode>
                <c:ptCount val="256"/>
                <c:pt idx="0">
                  <c:v>4.7074244684898072E-6</c:v>
                </c:pt>
                <c:pt idx="1">
                  <c:v>2.6572208399315247E-4</c:v>
                </c:pt>
                <c:pt idx="2">
                  <c:v>1.2039185931893874E-3</c:v>
                </c:pt>
                <c:pt idx="3">
                  <c:v>3.1110445190723245E-3</c:v>
                </c:pt>
                <c:pt idx="4">
                  <c:v>6.2269508082856955E-3</c:v>
                </c:pt>
                <c:pt idx="5">
                  <c:v>1.0762687950766342E-2</c:v>
                </c:pt>
                <c:pt idx="6">
                  <c:v>1.6909973771678403E-2</c:v>
                </c:pt>
                <c:pt idx="7">
                  <c:v>2.4846291231900075E-2</c:v>
                </c:pt>
                <c:pt idx="8">
                  <c:v>3.4738032041959445E-2</c:v>
                </c:pt>
                <c:pt idx="9">
                  <c:v>4.6742606477803636E-2</c:v>
                </c:pt>
                <c:pt idx="10">
                  <c:v>6.1009944852772689E-2</c:v>
                </c:pt>
                <c:pt idx="11">
                  <c:v>7.7683613263284448E-2</c:v>
                </c:pt>
                <c:pt idx="12">
                  <c:v>9.6901670774224666E-2</c:v>
                </c:pt>
                <c:pt idx="13">
                  <c:v>0.11879734563483282</c:v>
                </c:pt>
                <c:pt idx="14">
                  <c:v>0.14349958037258681</c:v>
                </c:pt>
                <c:pt idx="15">
                  <c:v>0.17113347914776772</c:v>
                </c:pt>
                <c:pt idx="16">
                  <c:v>0.20182068050398283</c:v>
                </c:pt>
                <c:pt idx="17">
                  <c:v>0.23567967201589268</c:v>
                </c:pt>
                <c:pt idx="18">
                  <c:v>0.27282605889562511</c:v>
                </c:pt>
                <c:pt idx="19">
                  <c:v>0.31337279556252512</c:v>
                </c:pt>
                <c:pt idx="20">
                  <c:v>0.35743038702385982</c:v>
                </c:pt>
                <c:pt idx="21">
                  <c:v>0.40510706535895363</c:v>
                </c:pt>
                <c:pt idx="22">
                  <c:v>0.45650894545655979</c:v>
                </c:pt>
                <c:pt idx="23">
                  <c:v>0.51174016330140248</c:v>
                </c:pt>
                <c:pt idx="24">
                  <c:v>0.57090299945808853</c:v>
                </c:pt>
                <c:pt idx="25">
                  <c:v>0.63409798990244715</c:v>
                </c:pt>
                <c:pt idx="26">
                  <c:v>0.70142402596260012</c:v>
                </c:pt>
                <c:pt idx="27">
                  <c:v>0.7729784448267385</c:v>
                </c:pt>
                <c:pt idx="28">
                  <c:v>0.84885711183181511</c:v>
                </c:pt>
                <c:pt idx="29">
                  <c:v>0.9291544955523533</c:v>
                </c:pt>
                <c:pt idx="30">
                  <c:v>1.0139637365507623</c:v>
                </c:pt>
                <c:pt idx="31">
                  <c:v>1.103376710521645</c:v>
                </c:pt>
                <c:pt idx="32">
                  <c:v>1.1974840864566001</c:v>
                </c:pt>
                <c:pt idx="33">
                  <c:v>1.2963753803683045</c:v>
                </c:pt>
                <c:pt idx="34">
                  <c:v>1.4001390050394815</c:v>
                </c:pt>
                <c:pt idx="35">
                  <c:v>1.5088623162010759</c:v>
                </c:pt>
                <c:pt idx="36">
                  <c:v>1.6226316554923055</c:v>
                </c:pt>
                <c:pt idx="37">
                  <c:v>1.7415323905113489</c:v>
                </c:pt>
                <c:pt idx="38">
                  <c:v>1.8656489522282718</c:v>
                </c:pt>
                <c:pt idx="39">
                  <c:v>1.9950648699997022</c:v>
                </c:pt>
                <c:pt idx="40">
                  <c:v>2.1298628043974919</c:v>
                </c:pt>
                <c:pt idx="41">
                  <c:v>2.2701245780397827</c:v>
                </c:pt>
                <c:pt idx="42">
                  <c:v>2.4159312045924763</c:v>
                </c:pt>
                <c:pt idx="43">
                  <c:v>2.5673629160912488</c:v>
                </c:pt>
                <c:pt idx="44">
                  <c:v>2.7244991887186178</c:v>
                </c:pt>
                <c:pt idx="45">
                  <c:v>2.8874187671570444</c:v>
                </c:pt>
                <c:pt idx="46">
                  <c:v>3.0561996876269912</c:v>
                </c:pt>
                <c:pt idx="47">
                  <c:v>3.2309192997083342</c:v>
                </c:pt>
                <c:pt idx="48">
                  <c:v>3.4116542870342066</c:v>
                </c:pt>
                <c:pt idx="49">
                  <c:v>3.5984806869381107</c:v>
                </c:pt>
                <c:pt idx="50">
                  <c:v>3.7914739091277281</c:v>
                </c:pt>
                <c:pt idx="51">
                  <c:v>3.9907087534523624</c:v>
                </c:pt>
                <c:pt idx="52">
                  <c:v>4.1962594268251756</c:v>
                </c:pt>
                <c:pt idx="53">
                  <c:v>4.4081995593559657</c:v>
                </c:pt>
                <c:pt idx="54">
                  <c:v>4.6266022197457852</c:v>
                </c:pt>
                <c:pt idx="55">
                  <c:v>4.8515399299902562</c:v>
                </c:pt>
                <c:pt idx="56">
                  <c:v>5.0830846794348465</c:v>
                </c:pt>
                <c:pt idx="57">
                  <c:v>5.3213079382217918</c:v>
                </c:pt>
                <c:pt idx="58">
                  <c:v>5.5662806701652903</c:v>
                </c:pt>
                <c:pt idx="59">
                  <c:v>5.8180733450889024</c:v>
                </c:pt>
                <c:pt idx="60">
                  <c:v>6.0767559506562945</c:v>
                </c:pt>
                <c:pt idx="61">
                  <c:v>6.3423980037244707</c:v>
                </c:pt>
                <c:pt idx="62">
                  <c:v>6.6150685612462032</c:v>
                </c:pt>
                <c:pt idx="63">
                  <c:v>6.8948362307467157</c:v>
                </c:pt>
                <c:pt idx="64">
                  <c:v>7.1817691803977262</c:v>
                </c:pt>
                <c:pt idx="65">
                  <c:v>7.4759351487104651</c:v>
                </c:pt>
                <c:pt idx="66">
                  <c:v>7.7774014538677596</c:v>
                </c:pt>
                <c:pt idx="67">
                  <c:v>8.0862350027139307</c:v>
                </c:pt>
                <c:pt idx="68">
                  <c:v>8.4025022994200302</c:v>
                </c:pt>
                <c:pt idx="69">
                  <c:v>8.7262694538407306</c:v>
                </c:pt>
                <c:pt idx="70">
                  <c:v>9.0576021895782901</c:v>
                </c:pt>
                <c:pt idx="71">
                  <c:v>9.396565851767761</c:v>
                </c:pt>
                <c:pt idx="72">
                  <c:v>9.7432254145971129</c:v>
                </c:pt>
                <c:pt idx="73">
                  <c:v>10.097645488574685</c:v>
                </c:pt>
                <c:pt idx="74">
                  <c:v>10.459890327555971</c:v>
                </c:pt>
                <c:pt idx="75">
                  <c:v>10.830023835540741</c:v>
                </c:pt>
                <c:pt idx="76">
                  <c:v>11.208109573251171</c:v>
                </c:pt>
                <c:pt idx="77">
                  <c:v>11.594210764500639</c:v>
                </c:pt>
                <c:pt idx="78">
                  <c:v>11.988390302362655</c:v>
                </c:pt>
                <c:pt idx="79">
                  <c:v>12.390710755148639</c:v>
                </c:pt>
                <c:pt idx="80">
                  <c:v>12.801234372202817</c:v>
                </c:pt>
                <c:pt idx="81">
                  <c:v>13.220023089522089</c:v>
                </c:pt>
                <c:pt idx="82">
                  <c:v>13.647138535208287</c:v>
                </c:pt>
                <c:pt idx="83">
                  <c:v>14.082642034759717</c:v>
                </c:pt>
                <c:pt idx="84">
                  <c:v>14.526594616208758</c:v>
                </c:pt>
                <c:pt idx="85">
                  <c:v>14.979057015111689</c:v>
                </c:pt>
                <c:pt idx="86">
                  <c:v>15.440089679396714</c:v>
                </c:pt>
                <c:pt idx="87">
                  <c:v>15.909752774075802</c:v>
                </c:pt>
                <c:pt idx="88">
                  <c:v>16.388106185825833</c:v>
                </c:pt>
                <c:pt idx="89">
                  <c:v>16.8752095274439</c:v>
                </c:pt>
                <c:pt idx="90">
                  <c:v>17.371122142181846</c:v>
                </c:pt>
                <c:pt idx="91">
                  <c:v>17.875903107964387</c:v>
                </c:pt>
                <c:pt idx="92">
                  <c:v>18.389611241495437</c:v>
                </c:pt>
                <c:pt idx="93">
                  <c:v>18.912305102256671</c:v>
                </c:pt>
                <c:pt idx="94">
                  <c:v>19.444042996402139</c:v>
                </c:pt>
                <c:pt idx="95">
                  <c:v>19.984882980553088</c:v>
                </c:pt>
                <c:pt idx="96">
                  <c:v>20.534882865496204</c:v>
                </c:pt>
                <c:pt idx="97">
                  <c:v>21.094100219788956</c:v>
                </c:pt>
                <c:pt idx="98">
                  <c:v>21.662592373275178</c:v>
                </c:pt>
                <c:pt idx="99">
                  <c:v>22.240416420514094</c:v>
                </c:pt>
                <c:pt idx="100">
                  <c:v>22.827629224125833</c:v>
                </c:pt>
                <c:pt idx="101">
                  <c:v>23.424287418056085</c:v>
                </c:pt>
                <c:pt idx="102">
                  <c:v>24.030447410762829</c:v>
                </c:pt>
                <c:pt idx="103">
                  <c:v>24.646165388327734</c:v>
                </c:pt>
                <c:pt idx="104">
                  <c:v>25.271497317494553</c:v>
                </c:pt>
                <c:pt idx="105">
                  <c:v>25.906498948637175</c:v>
                </c:pt>
                <c:pt idx="106">
                  <c:v>26.551225818659329</c:v>
                </c:pt>
                <c:pt idx="107">
                  <c:v>27.205733253828452</c:v>
                </c:pt>
                <c:pt idx="108">
                  <c:v>27.870076372545569</c:v>
                </c:pt>
                <c:pt idx="109">
                  <c:v>28.544310088053344</c:v>
                </c:pt>
                <c:pt idx="110">
                  <c:v>29.228489111084222</c:v>
                </c:pt>
                <c:pt idx="111">
                  <c:v>29.922667952450421</c:v>
                </c:pt>
                <c:pt idx="112">
                  <c:v>30.626900925577829</c:v>
                </c:pt>
                <c:pt idx="113">
                  <c:v>31.341242148985163</c:v>
                </c:pt>
                <c:pt idx="114">
                  <c:v>32.065745548710289</c:v>
                </c:pt>
                <c:pt idx="115">
                  <c:v>32.800464860685231</c:v>
                </c:pt>
                <c:pt idx="116">
                  <c:v>33.545453633061349</c:v>
                </c:pt>
                <c:pt idx="117">
                  <c:v>34.30076522848627</c:v>
                </c:pt>
                <c:pt idx="118">
                  <c:v>35.066452826333737</c:v>
                </c:pt>
                <c:pt idx="119">
                  <c:v>35.842569424887984</c:v>
                </c:pt>
                <c:pt idx="120">
                  <c:v>36.629167843484026</c:v>
                </c:pt>
                <c:pt idx="121">
                  <c:v>37.426300724604559</c:v>
                </c:pt>
                <c:pt idx="122">
                  <c:v>38.2340205359355</c:v>
                </c:pt>
                <c:pt idx="123">
                  <c:v>39.052379572380538</c:v>
                </c:pt>
                <c:pt idx="124">
                  <c:v>39.881429958036563</c:v>
                </c:pt>
                <c:pt idx="125">
                  <c:v>40.721223648130362</c:v>
                </c:pt>
                <c:pt idx="126">
                  <c:v>41.571812430918278</c:v>
                </c:pt>
                <c:pt idx="127">
                  <c:v>42.433247929549204</c:v>
                </c:pt>
                <c:pt idx="128">
                  <c:v>43.30558160389252</c:v>
                </c:pt>
                <c:pt idx="129">
                  <c:v>44.188864752331412</c:v>
                </c:pt>
                <c:pt idx="130">
                  <c:v>45.083148513522779</c:v>
                </c:pt>
                <c:pt idx="131">
                  <c:v>45.988483868124497</c:v>
                </c:pt>
                <c:pt idx="132">
                  <c:v>46.904921640490947</c:v>
                </c:pt>
                <c:pt idx="133">
                  <c:v>47.832512500337401</c:v>
                </c:pt>
                <c:pt idx="134">
                  <c:v>48.771306964374581</c:v>
                </c:pt>
                <c:pt idx="135">
                  <c:v>49.72135539791347</c:v>
                </c:pt>
                <c:pt idx="136">
                  <c:v>50.682708016441801</c:v>
                </c:pt>
                <c:pt idx="137">
                  <c:v>51.655414887172292</c:v>
                </c:pt>
                <c:pt idx="138">
                  <c:v>52.639525930563984</c:v>
                </c:pt>
                <c:pt idx="139">
                  <c:v>53.635090921816754</c:v>
                </c:pt>
                <c:pt idx="140">
                  <c:v>54.642159492340063</c:v>
                </c:pt>
                <c:pt idx="141">
                  <c:v>55.66078113119638</c:v>
                </c:pt>
                <c:pt idx="142">
                  <c:v>56.691005186519938</c:v>
                </c:pt>
                <c:pt idx="143">
                  <c:v>57.732880866911444</c:v>
                </c:pt>
                <c:pt idx="144">
                  <c:v>58.786457242809263</c:v>
                </c:pt>
                <c:pt idx="145">
                  <c:v>59.851783247837716</c:v>
                </c:pt>
                <c:pt idx="146">
                  <c:v>60.928907680132951</c:v>
                </c:pt>
                <c:pt idx="147">
                  <c:v>62.017879203646878</c:v>
                </c:pt>
                <c:pt idx="148">
                  <c:v>63.118746349429841</c:v>
                </c:pt>
                <c:pt idx="149">
                  <c:v>64.231557516892309</c:v>
                </c:pt>
                <c:pt idx="150">
                  <c:v>65.3563609750463</c:v>
                </c:pt>
                <c:pt idx="151">
                  <c:v>66.493204863726746</c:v>
                </c:pt>
                <c:pt idx="152">
                  <c:v>67.642137194793449</c:v>
                </c:pt>
                <c:pt idx="153">
                  <c:v>68.80320585331387</c:v>
                </c:pt>
                <c:pt idx="154">
                  <c:v>69.976458598727632</c:v>
                </c:pt>
                <c:pt idx="155">
                  <c:v>71.16194306599229</c:v>
                </c:pt>
                <c:pt idx="156">
                  <c:v>72.359706766711838</c:v>
                </c:pt>
                <c:pt idx="157">
                  <c:v>73.569797090247349</c:v>
                </c:pt>
                <c:pt idx="158">
                  <c:v>74.792261304810836</c:v>
                </c:pt>
                <c:pt idx="159">
                  <c:v>76.027146558542512</c:v>
                </c:pt>
                <c:pt idx="160">
                  <c:v>77.274499880571383</c:v>
                </c:pt>
                <c:pt idx="161">
                  <c:v>78.53436818206012</c:v>
                </c:pt>
                <c:pt idx="162">
                  <c:v>79.806798257234504</c:v>
                </c:pt>
                <c:pt idx="163">
                  <c:v>81.09183678439706</c:v>
                </c:pt>
                <c:pt idx="164">
                  <c:v>82.389530326926192</c:v>
                </c:pt>
                <c:pt idx="165">
                  <c:v>83.699925334260357</c:v>
                </c:pt>
                <c:pt idx="166">
                  <c:v>85.023068142868013</c:v>
                </c:pt>
                <c:pt idx="167">
                  <c:v>86.359004977203426</c:v>
                </c:pt>
                <c:pt idx="168">
                  <c:v>87.707781950648823</c:v>
                </c:pt>
                <c:pt idx="169">
                  <c:v>89.069445066442796</c:v>
                </c:pt>
                <c:pt idx="170">
                  <c:v>90.444040218595759</c:v>
                </c:pt>
                <c:pt idx="171">
                  <c:v>91.831613192792275</c:v>
                </c:pt>
                <c:pt idx="172">
                  <c:v>93.232209667280799</c:v>
                </c:pt>
                <c:pt idx="173">
                  <c:v>94.645875213750671</c:v>
                </c:pt>
                <c:pt idx="174">
                  <c:v>96.07265529819739</c:v>
                </c:pt>
                <c:pt idx="175">
                  <c:v>97.512595281775461</c:v>
                </c:pt>
                <c:pt idx="176">
                  <c:v>98.965740421639794</c:v>
                </c:pt>
                <c:pt idx="177">
                  <c:v>100.43213587177529</c:v>
                </c:pt>
                <c:pt idx="178">
                  <c:v>101.91182668381575</c:v>
                </c:pt>
                <c:pt idx="179">
                  <c:v>103.40485780785093</c:v>
                </c:pt>
                <c:pt idx="180">
                  <c:v>104.91127409322334</c:v>
                </c:pt>
                <c:pt idx="181">
                  <c:v>106.43112028931404</c:v>
                </c:pt>
                <c:pt idx="182">
                  <c:v>107.96444104631817</c:v>
                </c:pt>
                <c:pt idx="183">
                  <c:v>109.51128091601026</c:v>
                </c:pt>
                <c:pt idx="184">
                  <c:v>111.07168435249923</c:v>
                </c:pt>
                <c:pt idx="185">
                  <c:v>112.64569571297366</c:v>
                </c:pt>
                <c:pt idx="186">
                  <c:v>114.2333592584375</c:v>
                </c:pt>
                <c:pt idx="187">
                  <c:v>115.8347191544361</c:v>
                </c:pt>
                <c:pt idx="188">
                  <c:v>117.44981947177286</c:v>
                </c:pt>
                <c:pt idx="189">
                  <c:v>119.07870418721672</c:v>
                </c:pt>
                <c:pt idx="190">
                  <c:v>120.72141718420087</c:v>
                </c:pt>
                <c:pt idx="191">
                  <c:v>122.37800225351226</c:v>
                </c:pt>
                <c:pt idx="192">
                  <c:v>124.04850309397273</c:v>
                </c:pt>
                <c:pt idx="193">
                  <c:v>125.73296331311118</c:v>
                </c:pt>
                <c:pt idx="194">
                  <c:v>127.43142642782806</c:v>
                </c:pt>
                <c:pt idx="195">
                  <c:v>129.14393586505091</c:v>
                </c:pt>
                <c:pt idx="196">
                  <c:v>130.8705349623821</c:v>
                </c:pt>
                <c:pt idx="197">
                  <c:v>132.61126696873873</c:v>
                </c:pt>
                <c:pt idx="198">
                  <c:v>134.36617504498463</c:v>
                </c:pt>
                <c:pt idx="199">
                  <c:v>136.13530226455433</c:v>
                </c:pt>
                <c:pt idx="200">
                  <c:v>137.91869161407027</c:v>
                </c:pt>
                <c:pt idx="201">
                  <c:v>139.71638599395163</c:v>
                </c:pt>
                <c:pt idx="202">
                  <c:v>141.52842821901677</c:v>
                </c:pt>
                <c:pt idx="203">
                  <c:v>143.35486101907787</c:v>
                </c:pt>
                <c:pt idx="204">
                  <c:v>145.19572703952869</c:v>
                </c:pt>
                <c:pt idx="205">
                  <c:v>147.05106884192551</c:v>
                </c:pt>
                <c:pt idx="206">
                  <c:v>148.92092890456124</c:v>
                </c:pt>
                <c:pt idx="207">
                  <c:v>150.80534962303255</c:v>
                </c:pt>
                <c:pt idx="208">
                  <c:v>152.70437331080095</c:v>
                </c:pt>
                <c:pt idx="209">
                  <c:v>154.61804219974658</c:v>
                </c:pt>
                <c:pt idx="210">
                  <c:v>156.54639844071653</c:v>
                </c:pt>
                <c:pt idx="211">
                  <c:v>158.48948410406624</c:v>
                </c:pt>
                <c:pt idx="212">
                  <c:v>160.447341180195</c:v>
                </c:pt>
                <c:pt idx="213">
                  <c:v>162.42001158007508</c:v>
                </c:pt>
                <c:pt idx="214">
                  <c:v>164.40753713577544</c:v>
                </c:pt>
                <c:pt idx="215">
                  <c:v>166.40995960097891</c:v>
                </c:pt>
                <c:pt idx="216">
                  <c:v>168.4273206514942</c:v>
                </c:pt>
                <c:pt idx="217">
                  <c:v>170.45966188576136</c:v>
                </c:pt>
                <c:pt idx="218">
                  <c:v>172.50702482535272</c:v>
                </c:pt>
                <c:pt idx="219">
                  <c:v>174.56945091546766</c:v>
                </c:pt>
                <c:pt idx="220">
                  <c:v>176.64698152542167</c:v>
                </c:pt>
                <c:pt idx="221">
                  <c:v>178.73965794913076</c:v>
                </c:pt>
                <c:pt idx="222">
                  <c:v>180.84752140559016</c:v>
                </c:pt>
                <c:pt idx="223">
                  <c:v>182.97061303934797</c:v>
                </c:pt>
                <c:pt idx="224">
                  <c:v>185.10897392097354</c:v>
                </c:pt>
                <c:pt idx="225">
                  <c:v>187.26264504752106</c:v>
                </c:pt>
                <c:pt idx="226">
                  <c:v>189.43166734298811</c:v>
                </c:pt>
                <c:pt idx="227">
                  <c:v>191.6160816587691</c:v>
                </c:pt>
                <c:pt idx="228">
                  <c:v>193.81592877410444</c:v>
                </c:pt>
                <c:pt idx="229">
                  <c:v>196.03124939652415</c:v>
                </c:pt>
                <c:pt idx="230">
                  <c:v>198.26208416228781</c:v>
                </c:pt>
                <c:pt idx="231">
                  <c:v>200.50847363681905</c:v>
                </c:pt>
                <c:pt idx="232">
                  <c:v>202.77045831513595</c:v>
                </c:pt>
                <c:pt idx="233">
                  <c:v>205.04807862227671</c:v>
                </c:pt>
                <c:pt idx="234">
                  <c:v>207.34137491372152</c:v>
                </c:pt>
                <c:pt idx="235">
                  <c:v>209.65038747580928</c:v>
                </c:pt>
                <c:pt idx="236">
                  <c:v>211.97515652615064</c:v>
                </c:pt>
                <c:pt idx="237">
                  <c:v>214.31572221403653</c:v>
                </c:pt>
                <c:pt idx="238">
                  <c:v>216.67212462084262</c:v>
                </c:pt>
                <c:pt idx="239">
                  <c:v>219.04440376042996</c:v>
                </c:pt>
                <c:pt idx="240">
                  <c:v>221.43259957954109</c:v>
                </c:pt>
                <c:pt idx="241">
                  <c:v>223.83675195819239</c:v>
                </c:pt>
                <c:pt idx="242">
                  <c:v>226.25690071006292</c:v>
                </c:pt>
                <c:pt idx="243">
                  <c:v>228.69308558287872</c:v>
                </c:pt>
                <c:pt idx="244">
                  <c:v>231.14534625879372</c:v>
                </c:pt>
                <c:pt idx="245">
                  <c:v>233.61372235476682</c:v>
                </c:pt>
                <c:pt idx="246">
                  <c:v>236.09825342293513</c:v>
                </c:pt>
                <c:pt idx="247">
                  <c:v>238.59897895098396</c:v>
                </c:pt>
                <c:pt idx="248">
                  <c:v>241.11593836251259</c:v>
                </c:pt>
                <c:pt idx="249">
                  <c:v>243.64917101739695</c:v>
                </c:pt>
                <c:pt idx="250">
                  <c:v>246.19871621214875</c:v>
                </c:pt>
                <c:pt idx="251">
                  <c:v>248.76461318027106</c:v>
                </c:pt>
                <c:pt idx="252">
                  <c:v>251.34690109261049</c:v>
                </c:pt>
                <c:pt idx="253">
                  <c:v>253.94561905770587</c:v>
                </c:pt>
                <c:pt idx="254">
                  <c:v>256.56080612213401</c:v>
                </c:pt>
                <c:pt idx="255">
                  <c:v>258.48295000000002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9-49D5-91FE-CB4EA8D20222}"/>
            </c:ext>
          </c:extLst>
        </c:ser>
        <c:ser>
          <c:idx val="3"/>
          <c:order val="3"/>
          <c:tx>
            <c:strRef>
              <c:f>'Gamma 2.6 6500K'!$F$16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2.6 6500K'!$B$17:$B$272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6500K'!$F$17:$F$272</c:f>
              <c:numCache>
                <c:formatCode>General</c:formatCode>
                <c:ptCount val="256"/>
                <c:pt idx="0">
                  <c:v>0.26900000000000002</c:v>
                </c:pt>
                <c:pt idx="1">
                  <c:v>0.26929999999999998</c:v>
                </c:pt>
                <c:pt idx="2">
                  <c:v>0.26889999999999997</c:v>
                </c:pt>
                <c:pt idx="3">
                  <c:v>0.26869999999999999</c:v>
                </c:pt>
                <c:pt idx="4">
                  <c:v>0.28039999999999998</c:v>
                </c:pt>
                <c:pt idx="5">
                  <c:v>0.28199999999999997</c:v>
                </c:pt>
                <c:pt idx="6">
                  <c:v>0.28170000000000001</c:v>
                </c:pt>
                <c:pt idx="7">
                  <c:v>0.2979</c:v>
                </c:pt>
                <c:pt idx="8">
                  <c:v>0.29809999999999998</c:v>
                </c:pt>
                <c:pt idx="9">
                  <c:v>0.31240000000000001</c:v>
                </c:pt>
                <c:pt idx="10">
                  <c:v>0.31280000000000002</c:v>
                </c:pt>
                <c:pt idx="11">
                  <c:v>0.32790000000000002</c:v>
                </c:pt>
                <c:pt idx="12">
                  <c:v>0.32750000000000001</c:v>
                </c:pt>
                <c:pt idx="13">
                  <c:v>0.35580000000000001</c:v>
                </c:pt>
                <c:pt idx="14">
                  <c:v>0.36009999999999998</c:v>
                </c:pt>
                <c:pt idx="15">
                  <c:v>0.39040000000000002</c:v>
                </c:pt>
                <c:pt idx="16">
                  <c:v>0.39050000000000001</c:v>
                </c:pt>
                <c:pt idx="17">
                  <c:v>0.42109999999999997</c:v>
                </c:pt>
                <c:pt idx="18">
                  <c:v>0.43180000000000002</c:v>
                </c:pt>
                <c:pt idx="19">
                  <c:v>0.46479999999999999</c:v>
                </c:pt>
                <c:pt idx="20">
                  <c:v>0.46400000000000002</c:v>
                </c:pt>
                <c:pt idx="21">
                  <c:v>0.53210000000000002</c:v>
                </c:pt>
                <c:pt idx="22">
                  <c:v>0.56940000000000002</c:v>
                </c:pt>
                <c:pt idx="23">
                  <c:v>0.58860000000000001</c:v>
                </c:pt>
                <c:pt idx="24">
                  <c:v>0.64559999999999995</c:v>
                </c:pt>
                <c:pt idx="25">
                  <c:v>0.70940000000000003</c:v>
                </c:pt>
                <c:pt idx="26">
                  <c:v>0.73219999999999996</c:v>
                </c:pt>
                <c:pt idx="27">
                  <c:v>0.80400000000000005</c:v>
                </c:pt>
                <c:pt idx="28">
                  <c:v>0.88419999999999999</c:v>
                </c:pt>
                <c:pt idx="29">
                  <c:v>0.96799999999999997</c:v>
                </c:pt>
                <c:pt idx="30">
                  <c:v>0.99280000000000002</c:v>
                </c:pt>
                <c:pt idx="31">
                  <c:v>1.083</c:v>
                </c:pt>
                <c:pt idx="32">
                  <c:v>1.1611</c:v>
                </c:pt>
                <c:pt idx="33">
                  <c:v>1.2641</c:v>
                </c:pt>
                <c:pt idx="34">
                  <c:v>1.3474999999999999</c:v>
                </c:pt>
                <c:pt idx="35">
                  <c:v>1.3758999999999999</c:v>
                </c:pt>
                <c:pt idx="36">
                  <c:v>1.4547000000000001</c:v>
                </c:pt>
                <c:pt idx="37">
                  <c:v>1.571</c:v>
                </c:pt>
                <c:pt idx="38">
                  <c:v>1.6158999999999999</c:v>
                </c:pt>
                <c:pt idx="39">
                  <c:v>1.7372000000000001</c:v>
                </c:pt>
                <c:pt idx="40">
                  <c:v>1.8217000000000001</c:v>
                </c:pt>
                <c:pt idx="41">
                  <c:v>1.9476</c:v>
                </c:pt>
                <c:pt idx="42">
                  <c:v>2.0731999999999999</c:v>
                </c:pt>
                <c:pt idx="43">
                  <c:v>2.3393000000000002</c:v>
                </c:pt>
                <c:pt idx="44">
                  <c:v>2.3875999999999999</c:v>
                </c:pt>
                <c:pt idx="45">
                  <c:v>2.5375999999999999</c:v>
                </c:pt>
                <c:pt idx="46">
                  <c:v>2.6688000000000001</c:v>
                </c:pt>
                <c:pt idx="47">
                  <c:v>2.7805</c:v>
                </c:pt>
                <c:pt idx="48">
                  <c:v>2.9464999999999999</c:v>
                </c:pt>
                <c:pt idx="49">
                  <c:v>3.1012</c:v>
                </c:pt>
                <c:pt idx="50">
                  <c:v>3.2955999999999999</c:v>
                </c:pt>
                <c:pt idx="51">
                  <c:v>3.4420000000000002</c:v>
                </c:pt>
                <c:pt idx="52">
                  <c:v>3.6244999999999998</c:v>
                </c:pt>
                <c:pt idx="53">
                  <c:v>3.7845</c:v>
                </c:pt>
                <c:pt idx="54">
                  <c:v>3.9969000000000001</c:v>
                </c:pt>
                <c:pt idx="55">
                  <c:v>4.0856000000000003</c:v>
                </c:pt>
                <c:pt idx="56">
                  <c:v>4.2496</c:v>
                </c:pt>
                <c:pt idx="57">
                  <c:v>4.4100999999999999</c:v>
                </c:pt>
                <c:pt idx="58">
                  <c:v>4.6542000000000003</c:v>
                </c:pt>
                <c:pt idx="59">
                  <c:v>4.8773</c:v>
                </c:pt>
                <c:pt idx="60">
                  <c:v>5.0720999999999998</c:v>
                </c:pt>
                <c:pt idx="61">
                  <c:v>5.3589000000000002</c:v>
                </c:pt>
                <c:pt idx="62">
                  <c:v>5.5941000000000001</c:v>
                </c:pt>
                <c:pt idx="63">
                  <c:v>5.8955000000000002</c:v>
                </c:pt>
                <c:pt idx="64">
                  <c:v>6.1269999999999998</c:v>
                </c:pt>
                <c:pt idx="65">
                  <c:v>6.4238</c:v>
                </c:pt>
                <c:pt idx="66">
                  <c:v>6.6490999999999998</c:v>
                </c:pt>
                <c:pt idx="67">
                  <c:v>6.8865999999999996</c:v>
                </c:pt>
                <c:pt idx="68">
                  <c:v>7.2439999999999998</c:v>
                </c:pt>
                <c:pt idx="69">
                  <c:v>7.4976000000000003</c:v>
                </c:pt>
                <c:pt idx="70">
                  <c:v>7.8840000000000003</c:v>
                </c:pt>
                <c:pt idx="71">
                  <c:v>8.2082999999999995</c:v>
                </c:pt>
                <c:pt idx="72">
                  <c:v>8.6163000000000007</c:v>
                </c:pt>
                <c:pt idx="73">
                  <c:v>8.8869000000000007</c:v>
                </c:pt>
                <c:pt idx="74">
                  <c:v>9.2147000000000006</c:v>
                </c:pt>
                <c:pt idx="75">
                  <c:v>9.6044999999999998</c:v>
                </c:pt>
                <c:pt idx="76">
                  <c:v>9.9433000000000007</c:v>
                </c:pt>
                <c:pt idx="77">
                  <c:v>10.2949</c:v>
                </c:pt>
                <c:pt idx="78">
                  <c:v>10.6555</c:v>
                </c:pt>
                <c:pt idx="79">
                  <c:v>11.0426</c:v>
                </c:pt>
                <c:pt idx="80">
                  <c:v>11.389900000000001</c:v>
                </c:pt>
                <c:pt idx="81">
                  <c:v>11.831</c:v>
                </c:pt>
                <c:pt idx="82">
                  <c:v>12.3527</c:v>
                </c:pt>
                <c:pt idx="83">
                  <c:v>12.7073</c:v>
                </c:pt>
                <c:pt idx="84">
                  <c:v>13.154299999999999</c:v>
                </c:pt>
                <c:pt idx="85">
                  <c:v>13.5518</c:v>
                </c:pt>
                <c:pt idx="86">
                  <c:v>13.915900000000001</c:v>
                </c:pt>
                <c:pt idx="87">
                  <c:v>14.4209</c:v>
                </c:pt>
                <c:pt idx="88">
                  <c:v>14.8538</c:v>
                </c:pt>
                <c:pt idx="89">
                  <c:v>15.428800000000001</c:v>
                </c:pt>
                <c:pt idx="90">
                  <c:v>15.8422</c:v>
                </c:pt>
                <c:pt idx="91">
                  <c:v>16.3643</c:v>
                </c:pt>
                <c:pt idx="92">
                  <c:v>16.8262</c:v>
                </c:pt>
                <c:pt idx="93">
                  <c:v>17.2699</c:v>
                </c:pt>
                <c:pt idx="94">
                  <c:v>17.8245</c:v>
                </c:pt>
                <c:pt idx="95">
                  <c:v>18.284700000000001</c:v>
                </c:pt>
                <c:pt idx="96">
                  <c:v>18.7364</c:v>
                </c:pt>
                <c:pt idx="97">
                  <c:v>19.336099999999998</c:v>
                </c:pt>
                <c:pt idx="98">
                  <c:v>19.786100000000001</c:v>
                </c:pt>
                <c:pt idx="99">
                  <c:v>20.329899999999999</c:v>
                </c:pt>
                <c:pt idx="100">
                  <c:v>20.869900000000001</c:v>
                </c:pt>
                <c:pt idx="101">
                  <c:v>21.505700000000001</c:v>
                </c:pt>
                <c:pt idx="102">
                  <c:v>21.972899999999999</c:v>
                </c:pt>
                <c:pt idx="103">
                  <c:v>22.6509</c:v>
                </c:pt>
                <c:pt idx="104">
                  <c:v>23.157699999999998</c:v>
                </c:pt>
                <c:pt idx="105">
                  <c:v>23.6829</c:v>
                </c:pt>
                <c:pt idx="106">
                  <c:v>24.337700000000002</c:v>
                </c:pt>
                <c:pt idx="107">
                  <c:v>24.577400000000001</c:v>
                </c:pt>
                <c:pt idx="108">
                  <c:v>25.052800000000001</c:v>
                </c:pt>
                <c:pt idx="109">
                  <c:v>25.593399999999999</c:v>
                </c:pt>
                <c:pt idx="110">
                  <c:v>26.2959</c:v>
                </c:pt>
                <c:pt idx="111">
                  <c:v>26.894200000000001</c:v>
                </c:pt>
                <c:pt idx="112">
                  <c:v>27.342300000000002</c:v>
                </c:pt>
                <c:pt idx="113">
                  <c:v>27.9953</c:v>
                </c:pt>
                <c:pt idx="114">
                  <c:v>28.716200000000001</c:v>
                </c:pt>
                <c:pt idx="115">
                  <c:v>29.306699999999999</c:v>
                </c:pt>
                <c:pt idx="116">
                  <c:v>30.090699999999998</c:v>
                </c:pt>
                <c:pt idx="117">
                  <c:v>30.656400000000001</c:v>
                </c:pt>
                <c:pt idx="118">
                  <c:v>31.241099999999999</c:v>
                </c:pt>
                <c:pt idx="119">
                  <c:v>32.051900000000003</c:v>
                </c:pt>
                <c:pt idx="120">
                  <c:v>32.662100000000002</c:v>
                </c:pt>
                <c:pt idx="121">
                  <c:v>33.465499999999999</c:v>
                </c:pt>
                <c:pt idx="122">
                  <c:v>34.101100000000002</c:v>
                </c:pt>
                <c:pt idx="123">
                  <c:v>34.983199999999997</c:v>
                </c:pt>
                <c:pt idx="124">
                  <c:v>35.620399999999997</c:v>
                </c:pt>
                <c:pt idx="125">
                  <c:v>36.312899999999999</c:v>
                </c:pt>
                <c:pt idx="126">
                  <c:v>37.238900000000001</c:v>
                </c:pt>
                <c:pt idx="127">
                  <c:v>37.896799999999999</c:v>
                </c:pt>
                <c:pt idx="128">
                  <c:v>38.761400000000002</c:v>
                </c:pt>
                <c:pt idx="129">
                  <c:v>39.451599999999999</c:v>
                </c:pt>
                <c:pt idx="130">
                  <c:v>40.354999999999997</c:v>
                </c:pt>
                <c:pt idx="131">
                  <c:v>41.267200000000003</c:v>
                </c:pt>
                <c:pt idx="132">
                  <c:v>41.9848</c:v>
                </c:pt>
                <c:pt idx="133">
                  <c:v>42.89</c:v>
                </c:pt>
                <c:pt idx="134">
                  <c:v>43.587499999999999</c:v>
                </c:pt>
                <c:pt idx="135">
                  <c:v>44.3048</c:v>
                </c:pt>
                <c:pt idx="136">
                  <c:v>45.756700000000002</c:v>
                </c:pt>
                <c:pt idx="137">
                  <c:v>46.736699999999999</c:v>
                </c:pt>
                <c:pt idx="138">
                  <c:v>47.490200000000002</c:v>
                </c:pt>
                <c:pt idx="139">
                  <c:v>48.496200000000002</c:v>
                </c:pt>
                <c:pt idx="140">
                  <c:v>49.226300000000002</c:v>
                </c:pt>
                <c:pt idx="141">
                  <c:v>50.261600000000001</c:v>
                </c:pt>
                <c:pt idx="142">
                  <c:v>50.982300000000002</c:v>
                </c:pt>
                <c:pt idx="143">
                  <c:v>51.967300000000002</c:v>
                </c:pt>
                <c:pt idx="144">
                  <c:v>53.026899999999998</c:v>
                </c:pt>
                <c:pt idx="145">
                  <c:v>53.765999999999998</c:v>
                </c:pt>
                <c:pt idx="146">
                  <c:v>54.813600000000001</c:v>
                </c:pt>
                <c:pt idx="147">
                  <c:v>55.640900000000002</c:v>
                </c:pt>
                <c:pt idx="148">
                  <c:v>57.339599999999997</c:v>
                </c:pt>
                <c:pt idx="149">
                  <c:v>58.211599999999997</c:v>
                </c:pt>
                <c:pt idx="150">
                  <c:v>59.323099999999997</c:v>
                </c:pt>
                <c:pt idx="151">
                  <c:v>60.215000000000003</c:v>
                </c:pt>
                <c:pt idx="152">
                  <c:v>61.8553</c:v>
                </c:pt>
                <c:pt idx="153">
                  <c:v>62.787399999999998</c:v>
                </c:pt>
                <c:pt idx="154">
                  <c:v>63.922400000000003</c:v>
                </c:pt>
                <c:pt idx="155">
                  <c:v>64.837999999999994</c:v>
                </c:pt>
                <c:pt idx="156">
                  <c:v>65.740099999999998</c:v>
                </c:pt>
                <c:pt idx="157">
                  <c:v>67.008799999999994</c:v>
                </c:pt>
                <c:pt idx="158">
                  <c:v>67.9298</c:v>
                </c:pt>
                <c:pt idx="159">
                  <c:v>69.172899999999998</c:v>
                </c:pt>
                <c:pt idx="160">
                  <c:v>70.0852</c:v>
                </c:pt>
                <c:pt idx="161">
                  <c:v>71.313100000000006</c:v>
                </c:pt>
                <c:pt idx="162">
                  <c:v>72.360299999999995</c:v>
                </c:pt>
                <c:pt idx="163">
                  <c:v>73.329400000000007</c:v>
                </c:pt>
                <c:pt idx="164">
                  <c:v>74.667599999999993</c:v>
                </c:pt>
                <c:pt idx="165">
                  <c:v>75.695700000000002</c:v>
                </c:pt>
                <c:pt idx="166">
                  <c:v>77.0458</c:v>
                </c:pt>
                <c:pt idx="167">
                  <c:v>78.0809</c:v>
                </c:pt>
                <c:pt idx="168">
                  <c:v>80.183999999999997</c:v>
                </c:pt>
                <c:pt idx="169">
                  <c:v>81.5381</c:v>
                </c:pt>
                <c:pt idx="170">
                  <c:v>82.538399999999996</c:v>
                </c:pt>
                <c:pt idx="171">
                  <c:v>83.519800000000004</c:v>
                </c:pt>
                <c:pt idx="172">
                  <c:v>84.962800000000001</c:v>
                </c:pt>
                <c:pt idx="173">
                  <c:v>85.990799999999993</c:v>
                </c:pt>
                <c:pt idx="174">
                  <c:v>87.463999999999999</c:v>
                </c:pt>
                <c:pt idx="175">
                  <c:v>88.542500000000004</c:v>
                </c:pt>
                <c:pt idx="176">
                  <c:v>89.983999999999995</c:v>
                </c:pt>
                <c:pt idx="177">
                  <c:v>91.072500000000005</c:v>
                </c:pt>
                <c:pt idx="178">
                  <c:v>92.120099999999994</c:v>
                </c:pt>
                <c:pt idx="179">
                  <c:v>93.604100000000003</c:v>
                </c:pt>
                <c:pt idx="180">
                  <c:v>94.850099999999998</c:v>
                </c:pt>
                <c:pt idx="181">
                  <c:v>95.986199999999997</c:v>
                </c:pt>
                <c:pt idx="182">
                  <c:v>97.557400000000001</c:v>
                </c:pt>
                <c:pt idx="183">
                  <c:v>98.687399999999997</c:v>
                </c:pt>
                <c:pt idx="184">
                  <c:v>100.13979999999999</c:v>
                </c:pt>
                <c:pt idx="185">
                  <c:v>101.2546</c:v>
                </c:pt>
                <c:pt idx="186">
                  <c:v>102.77200000000001</c:v>
                </c:pt>
                <c:pt idx="187">
                  <c:v>103.99509999999999</c:v>
                </c:pt>
                <c:pt idx="188">
                  <c:v>105.66030000000001</c:v>
                </c:pt>
                <c:pt idx="189">
                  <c:v>106.83499999999999</c:v>
                </c:pt>
                <c:pt idx="190">
                  <c:v>108.3788</c:v>
                </c:pt>
                <c:pt idx="191">
                  <c:v>109.95050000000001</c:v>
                </c:pt>
                <c:pt idx="192">
                  <c:v>111.1412</c:v>
                </c:pt>
                <c:pt idx="193">
                  <c:v>112.32089999999999</c:v>
                </c:pt>
                <c:pt idx="194">
                  <c:v>114.01519999999999</c:v>
                </c:pt>
                <c:pt idx="195">
                  <c:v>115.2544</c:v>
                </c:pt>
                <c:pt idx="196">
                  <c:v>116.9091</c:v>
                </c:pt>
                <c:pt idx="197">
                  <c:v>118.1382</c:v>
                </c:pt>
                <c:pt idx="198">
                  <c:v>120.5881</c:v>
                </c:pt>
                <c:pt idx="199">
                  <c:v>122.2891</c:v>
                </c:pt>
                <c:pt idx="200">
                  <c:v>123.95140000000001</c:v>
                </c:pt>
                <c:pt idx="201">
                  <c:v>125.1722</c:v>
                </c:pt>
                <c:pt idx="202">
                  <c:v>126.8181</c:v>
                </c:pt>
                <c:pt idx="203">
                  <c:v>128.06120000000001</c:v>
                </c:pt>
                <c:pt idx="204">
                  <c:v>129.69560000000001</c:v>
                </c:pt>
                <c:pt idx="205">
                  <c:v>131.37200000000001</c:v>
                </c:pt>
                <c:pt idx="206">
                  <c:v>134.03970000000001</c:v>
                </c:pt>
                <c:pt idx="207">
                  <c:v>135.37100000000001</c:v>
                </c:pt>
                <c:pt idx="208">
                  <c:v>137.1491</c:v>
                </c:pt>
                <c:pt idx="209">
                  <c:v>138.49119999999999</c:v>
                </c:pt>
                <c:pt idx="210">
                  <c:v>139.81809999999999</c:v>
                </c:pt>
                <c:pt idx="211">
                  <c:v>141.9648</c:v>
                </c:pt>
                <c:pt idx="212">
                  <c:v>143.38300000000001</c:v>
                </c:pt>
                <c:pt idx="213">
                  <c:v>146.16929999999999</c:v>
                </c:pt>
                <c:pt idx="214">
                  <c:v>147.5565</c:v>
                </c:pt>
                <c:pt idx="215">
                  <c:v>149.4402</c:v>
                </c:pt>
                <c:pt idx="216">
                  <c:v>151.25290000000001</c:v>
                </c:pt>
                <c:pt idx="217">
                  <c:v>153.1403</c:v>
                </c:pt>
                <c:pt idx="218">
                  <c:v>154.55510000000001</c:v>
                </c:pt>
                <c:pt idx="219">
                  <c:v>157.37100000000001</c:v>
                </c:pt>
                <c:pt idx="220">
                  <c:v>158.79949999999999</c:v>
                </c:pt>
                <c:pt idx="221">
                  <c:v>161.14689999999999</c:v>
                </c:pt>
                <c:pt idx="222">
                  <c:v>162.49369999999999</c:v>
                </c:pt>
                <c:pt idx="223">
                  <c:v>165.279</c:v>
                </c:pt>
                <c:pt idx="224">
                  <c:v>167.2413</c:v>
                </c:pt>
                <c:pt idx="225">
                  <c:v>169.09979999999999</c:v>
                </c:pt>
                <c:pt idx="226">
                  <c:v>170.5693</c:v>
                </c:pt>
                <c:pt idx="227">
                  <c:v>172.5395</c:v>
                </c:pt>
                <c:pt idx="228">
                  <c:v>174.94900000000001</c:v>
                </c:pt>
                <c:pt idx="229">
                  <c:v>177.39590000000001</c:v>
                </c:pt>
                <c:pt idx="230">
                  <c:v>178.94499999999999</c:v>
                </c:pt>
                <c:pt idx="231">
                  <c:v>180.8723</c:v>
                </c:pt>
                <c:pt idx="232">
                  <c:v>182.33179999999999</c:v>
                </c:pt>
                <c:pt idx="233">
                  <c:v>185.84270000000001</c:v>
                </c:pt>
                <c:pt idx="234">
                  <c:v>187.43450000000001</c:v>
                </c:pt>
                <c:pt idx="235">
                  <c:v>189.55779999999999</c:v>
                </c:pt>
                <c:pt idx="236">
                  <c:v>191.15049999999999</c:v>
                </c:pt>
                <c:pt idx="237">
                  <c:v>194.90029999999999</c:v>
                </c:pt>
                <c:pt idx="238">
                  <c:v>196.4572</c:v>
                </c:pt>
                <c:pt idx="239">
                  <c:v>198.56620000000001</c:v>
                </c:pt>
                <c:pt idx="240">
                  <c:v>200.11940000000001</c:v>
                </c:pt>
                <c:pt idx="241">
                  <c:v>203.822</c:v>
                </c:pt>
                <c:pt idx="242">
                  <c:v>205.8306</c:v>
                </c:pt>
                <c:pt idx="243">
                  <c:v>207.5643</c:v>
                </c:pt>
                <c:pt idx="244">
                  <c:v>210.6885</c:v>
                </c:pt>
                <c:pt idx="245">
                  <c:v>212.65379999999999</c:v>
                </c:pt>
                <c:pt idx="246">
                  <c:v>214.60820000000001</c:v>
                </c:pt>
                <c:pt idx="247">
                  <c:v>216.03129999999999</c:v>
                </c:pt>
                <c:pt idx="248">
                  <c:v>219.04220000000001</c:v>
                </c:pt>
                <c:pt idx="249">
                  <c:v>220.3683</c:v>
                </c:pt>
                <c:pt idx="250">
                  <c:v>222.37020000000001</c:v>
                </c:pt>
                <c:pt idx="251">
                  <c:v>224.5814</c:v>
                </c:pt>
                <c:pt idx="252">
                  <c:v>227.57769999999999</c:v>
                </c:pt>
                <c:pt idx="253">
                  <c:v>230.12289999999999</c:v>
                </c:pt>
                <c:pt idx="254">
                  <c:v>232.00540000000001</c:v>
                </c:pt>
                <c:pt idx="255">
                  <c:v>234.9845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69-49D5-91FE-CB4EA8D20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636768"/>
        <c:axId val="1881631008"/>
      </c:lineChart>
      <c:catAx>
        <c:axId val="188163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1631008"/>
        <c:crosses val="autoZero"/>
        <c:auto val="1"/>
        <c:lblAlgn val="ctr"/>
        <c:lblOffset val="100"/>
        <c:noMultiLvlLbl val="0"/>
      </c:catAx>
      <c:valAx>
        <c:axId val="188163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163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Gamma1.8_5400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'Gamma 1.8 5400K'!$C$16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1.8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1.8 5400K'!$C$17:$C$272</c:f>
              <c:numCache>
                <c:formatCode>0.00_ </c:formatCode>
                <c:ptCount val="256"/>
                <c:pt idx="0">
                  <c:v>8.0565427587045478E-4</c:v>
                </c:pt>
                <c:pt idx="1">
                  <c:v>1.3315317480256841E-2</c:v>
                </c:pt>
                <c:pt idx="2">
                  <c:v>3.7955546347450436E-2</c:v>
                </c:pt>
                <c:pt idx="3">
                  <c:v>7.3277927728523623E-2</c:v>
                </c:pt>
                <c:pt idx="4">
                  <c:v>0.11850807058392057</c:v>
                </c:pt>
                <c:pt idx="5">
                  <c:v>0.17312311505408792</c:v>
                </c:pt>
                <c:pt idx="6">
                  <c:v>0.23673256793520103</c:v>
                </c:pt>
                <c:pt idx="7">
                  <c:v>0.30902720459937061</c:v>
                </c:pt>
                <c:pt idx="8">
                  <c:v>0.38975250749798418</c:v>
                </c:pt>
                <c:pt idx="9">
                  <c:v>0.47869314179643002</c:v>
                </c:pt>
                <c:pt idx="10">
                  <c:v>0.57566312410441889</c:v>
                </c:pt>
                <c:pt idx="11">
                  <c:v>0.68049921978864192</c:v>
                </c:pt>
                <c:pt idx="12">
                  <c:v>0.79305630424369766</c:v>
                </c:pt>
                <c:pt idx="13">
                  <c:v>0.91320398541567405</c:v>
                </c:pt>
                <c:pt idx="14">
                  <c:v>1.0408240721383217</c:v>
                </c:pt>
                <c:pt idx="15">
                  <c:v>1.1758086301357202</c:v>
                </c:pt>
                <c:pt idx="16">
                  <c:v>1.3180584585804744</c:v>
                </c:pt>
                <c:pt idx="17">
                  <c:v>1.4674818752518164</c:v>
                </c:pt>
                <c:pt idx="18">
                  <c:v>1.623993733066988</c:v>
                </c:pt>
                <c:pt idx="19">
                  <c:v>1.7875146133576172</c:v>
                </c:pt>
                <c:pt idx="20">
                  <c:v>1.95797015639179</c:v>
                </c:pt>
                <c:pt idx="21">
                  <c:v>2.1352905000257052</c:v>
                </c:pt>
                <c:pt idx="22">
                  <c:v>2.319409804652512</c:v>
                </c:pt>
                <c:pt idx="23">
                  <c:v>2.510265847825885</c:v>
                </c:pt>
                <c:pt idx="24">
                  <c:v>2.7077996757279461</c:v>
                </c:pt>
                <c:pt idx="25">
                  <c:v>2.9119553014545323</c:v>
                </c:pt>
                <c:pt idx="26">
                  <c:v>3.12267944219328</c:v>
                </c:pt>
                <c:pt idx="27">
                  <c:v>3.339921288966865</c:v>
                </c:pt>
                <c:pt idx="28">
                  <c:v>3.5636323038412185</c:v>
                </c:pt>
                <c:pt idx="29">
                  <c:v>3.7937660404521933</c:v>
                </c:pt>
                <c:pt idx="30">
                  <c:v>4.0302779844525878</c:v>
                </c:pt>
                <c:pt idx="31">
                  <c:v>4.2731254110740799</c:v>
                </c:pt>
                <c:pt idx="32">
                  <c:v>4.5222672574720688</c:v>
                </c:pt>
                <c:pt idx="33">
                  <c:v>4.7776640079025512</c:v>
                </c:pt>
                <c:pt idx="34">
                  <c:v>5.0392775900892257</c:v>
                </c:pt>
                <c:pt idx="35">
                  <c:v>5.3070712813915248</c:v>
                </c:pt>
                <c:pt idx="36">
                  <c:v>5.5810096235916893</c:v>
                </c:pt>
                <c:pt idx="37">
                  <c:v>5.8610583452905498</c:v>
                </c:pt>
                <c:pt idx="38">
                  <c:v>6.1471842910444447</c:v>
                </c:pt>
                <c:pt idx="39">
                  <c:v>6.439355356494822</c:v>
                </c:pt>
                <c:pt idx="40">
                  <c:v>6.7375404288424399</c:v>
                </c:pt>
                <c:pt idx="41">
                  <c:v>7.0417093321026609</c:v>
                </c:pt>
                <c:pt idx="42">
                  <c:v>7.3518327766500473</c:v>
                </c:pt>
                <c:pt idx="43">
                  <c:v>7.66788231262169</c:v>
                </c:pt>
                <c:pt idx="44">
                  <c:v>7.9898302868009141</c:v>
                </c:pt>
                <c:pt idx="45">
                  <c:v>8.3176498026479262</c:v>
                </c:pt>
                <c:pt idx="46">
                  <c:v>8.6513146831825765</c:v>
                </c:pt>
                <c:pt idx="47">
                  <c:v>8.9907994364580155</c:v>
                </c:pt>
                <c:pt idx="48">
                  <c:v>9.3360792233928134</c:v>
                </c:pt>
                <c:pt idx="49">
                  <c:v>9.6871298277545677</c:v>
                </c:pt>
                <c:pt idx="50">
                  <c:v>10.043927628109902</c:v>
                </c:pt>
                <c:pt idx="51">
                  <c:v>10.406449571575269</c:v>
                </c:pt>
                <c:pt idx="52">
                  <c:v>10.774673149219666</c:v>
                </c:pt>
                <c:pt idx="53">
                  <c:v>11.148576372985545</c:v>
                </c:pt>
                <c:pt idx="54">
                  <c:v>11.528137754007146</c:v>
                </c:pt>
                <c:pt idx="55">
                  <c:v>11.913336282217355</c:v>
                </c:pt>
                <c:pt idx="56">
                  <c:v>12.304151407144296</c:v>
                </c:pt>
                <c:pt idx="57">
                  <c:v>12.70056301980833</c:v>
                </c:pt>
                <c:pt idx="58">
                  <c:v>13.102551435637938</c:v>
                </c:pt>
                <c:pt idx="59">
                  <c:v>13.510097378330743</c:v>
                </c:pt>
                <c:pt idx="60">
                  <c:v>13.923181964592041</c:v>
                </c:pt>
                <c:pt idx="61">
                  <c:v>14.341786689689382</c:v>
                </c:pt>
                <c:pt idx="62">
                  <c:v>14.765893413766708</c:v>
                </c:pt>
                <c:pt idx="63">
                  <c:v>15.195484348866687</c:v>
                </c:pt>
                <c:pt idx="64">
                  <c:v>15.630542046613709</c:v>
                </c:pt>
                <c:pt idx="65">
                  <c:v>16.071049386514222</c:v>
                </c:pt>
                <c:pt idx="66">
                  <c:v>16.516989564834361</c:v>
                </c:pt>
                <c:pt idx="67">
                  <c:v>16.968346084017984</c:v>
                </c:pt>
                <c:pt idx="68">
                  <c:v>17.425102742611415</c:v>
                </c:pt>
                <c:pt idx="69">
                  <c:v>17.887243625663189</c:v>
                </c:pt>
                <c:pt idx="70">
                  <c:v>18.354753095570018</c:v>
                </c:pt>
                <c:pt idx="71">
                  <c:v>18.827615783342168</c:v>
                </c:pt>
                <c:pt idx="72">
                  <c:v>19.305816580263276</c:v>
                </c:pt>
                <c:pt idx="73">
                  <c:v>19.789340629921647</c:v>
                </c:pt>
                <c:pt idx="74">
                  <c:v>20.27817332059151</c:v>
                </c:pt>
                <c:pt idx="75">
                  <c:v>20.772300277944442</c:v>
                </c:pt>
                <c:pt idx="76">
                  <c:v>21.271707358072351</c:v>
                </c:pt>
                <c:pt idx="77">
                  <c:v>21.776380640804796</c:v>
                </c:pt>
                <c:pt idx="78">
                  <c:v>22.28630642330463</c:v>
                </c:pt>
                <c:pt idx="79">
                  <c:v>22.801471213926703</c:v>
                </c:pt>
                <c:pt idx="80">
                  <c:v>23.321861726325999</c:v>
                </c:pt>
                <c:pt idx="81">
                  <c:v>23.847464873801755</c:v>
                </c:pt>
                <c:pt idx="82">
                  <c:v>24.378267763865431</c:v>
                </c:pt>
                <c:pt idx="83">
                  <c:v>24.914257693021064</c:v>
                </c:pt>
                <c:pt idx="84">
                  <c:v>25.45542214174721</c:v>
                </c:pt>
                <c:pt idx="85">
                  <c:v>26.001748769670428</c:v>
                </c:pt>
                <c:pt idx="86">
                  <c:v>26.553225410920646</c:v>
                </c:pt>
                <c:pt idx="87">
                  <c:v>27.109840069659757</c:v>
                </c:pt>
                <c:pt idx="88">
                  <c:v>27.671580915774996</c:v>
                </c:pt>
                <c:pt idx="89">
                  <c:v>28.238436280729005</c:v>
                </c:pt>
                <c:pt idx="90">
                  <c:v>28.810394653559548</c:v>
                </c:pt>
                <c:pt idx="91">
                  <c:v>29.38744467702147</c:v>
                </c:pt>
                <c:pt idx="92">
                  <c:v>29.969575143864834</c:v>
                </c:pt>
                <c:pt idx="93">
                  <c:v>30.556774993242406</c:v>
                </c:pt>
                <c:pt idx="94">
                  <c:v>31.14903330724119</c:v>
                </c:pt>
                <c:pt idx="95">
                  <c:v>31.746339307531972</c:v>
                </c:pt>
                <c:pt idx="96">
                  <c:v>32.348682352132215</c:v>
                </c:pt>
                <c:pt idx="97">
                  <c:v>32.956051932276758</c:v>
                </c:pt>
                <c:pt idx="98">
                  <c:v>33.568437669391933</c:v>
                </c:pt>
                <c:pt idx="99">
                  <c:v>34.185829312168771</c:v>
                </c:pt>
                <c:pt idx="100">
                  <c:v>34.808216733730816</c:v>
                </c:pt>
                <c:pt idx="101">
                  <c:v>35.435589928892789</c:v>
                </c:pt>
                <c:pt idx="102">
                  <c:v>36.067939011506134</c:v>
                </c:pt>
                <c:pt idx="103">
                  <c:v>36.705254211887997</c:v>
                </c:pt>
                <c:pt idx="104">
                  <c:v>37.347525874330323</c:v>
                </c:pt>
                <c:pt idx="105">
                  <c:v>37.994744454685431</c:v>
                </c:pt>
                <c:pt idx="106">
                  <c:v>38.646900518025568</c:v>
                </c:pt>
                <c:pt idx="107">
                  <c:v>39.30398473637289</c:v>
                </c:pt>
                <c:pt idx="108">
                  <c:v>39.965987886497807</c:v>
                </c:pt>
                <c:pt idx="109">
                  <c:v>40.632900847782317</c:v>
                </c:pt>
                <c:pt idx="110">
                  <c:v>41.304714600146319</c:v>
                </c:pt>
                <c:pt idx="111">
                  <c:v>41.981420222034245</c:v>
                </c:pt>
                <c:pt idx="112">
                  <c:v>42.663008888459927</c:v>
                </c:pt>
                <c:pt idx="113">
                  <c:v>43.349471869107262</c:v>
                </c:pt>
                <c:pt idx="114">
                  <c:v>44.040800526484787</c:v>
                </c:pt>
                <c:pt idx="115">
                  <c:v>44.73698631413216</c:v>
                </c:pt>
                <c:pt idx="116">
                  <c:v>45.438020774876577</c:v>
                </c:pt>
                <c:pt idx="117">
                  <c:v>46.143895539137283</c:v>
                </c:pt>
                <c:pt idx="118">
                  <c:v>46.854602323276644</c:v>
                </c:pt>
                <c:pt idx="119">
                  <c:v>47.570132927995857</c:v>
                </c:pt>
                <c:pt idx="120">
                  <c:v>48.290479236773969</c:v>
                </c:pt>
                <c:pt idx="121">
                  <c:v>49.015633214348448</c:v>
                </c:pt>
                <c:pt idx="122">
                  <c:v>49.745586905236102</c:v>
                </c:pt>
                <c:pt idx="123">
                  <c:v>50.480332432292769</c:v>
                </c:pt>
                <c:pt idx="124">
                  <c:v>51.219861995310559</c:v>
                </c:pt>
                <c:pt idx="125">
                  <c:v>51.964167869651284</c:v>
                </c:pt>
                <c:pt idx="126">
                  <c:v>52.713242404914936</c:v>
                </c:pt>
                <c:pt idx="127">
                  <c:v>53.467078023642109</c:v>
                </c:pt>
                <c:pt idx="128">
                  <c:v>54.225667220049019</c:v>
                </c:pt>
                <c:pt idx="129">
                  <c:v>54.989002558794169</c:v>
                </c:pt>
                <c:pt idx="130">
                  <c:v>55.757076673775842</c:v>
                </c:pt>
                <c:pt idx="131">
                  <c:v>56.529882266959035</c:v>
                </c:pt>
                <c:pt idx="132">
                  <c:v>57.307412107231137</c:v>
                </c:pt>
                <c:pt idx="133">
                  <c:v>58.089659029285301</c:v>
                </c:pt>
                <c:pt idx="134">
                  <c:v>58.876615932530946</c:v>
                </c:pt>
                <c:pt idx="135">
                  <c:v>59.668275780030044</c:v>
                </c:pt>
                <c:pt idx="136">
                  <c:v>60.464631597458776</c:v>
                </c:pt>
                <c:pt idx="137">
                  <c:v>61.265676472093638</c:v>
                </c:pt>
                <c:pt idx="138">
                  <c:v>62.071403551821135</c:v>
                </c:pt>
                <c:pt idx="139">
                  <c:v>62.88180604417073</c:v>
                </c:pt>
                <c:pt idx="140">
                  <c:v>63.696877215369774</c:v>
                </c:pt>
                <c:pt idx="141">
                  <c:v>64.516610389420237</c:v>
                </c:pt>
                <c:pt idx="142">
                  <c:v>65.340998947196368</c:v>
                </c:pt>
                <c:pt idx="143">
                  <c:v>66.170036325562791</c:v>
                </c:pt>
                <c:pt idx="144">
                  <c:v>67.003716016512115</c:v>
                </c:pt>
                <c:pt idx="145">
                  <c:v>67.842031566322063</c:v>
                </c:pt>
                <c:pt idx="146">
                  <c:v>68.684976574730911</c:v>
                </c:pt>
                <c:pt idx="147">
                  <c:v>69.532544694131275</c:v>
                </c:pt>
                <c:pt idx="148">
                  <c:v>70.384729628781216</c:v>
                </c:pt>
                <c:pt idx="149">
                  <c:v>71.241525134032599</c:v>
                </c:pt>
                <c:pt idx="150">
                  <c:v>72.102925015576076</c:v>
                </c:pt>
                <c:pt idx="151">
                  <c:v>72.968923128701945</c:v>
                </c:pt>
                <c:pt idx="152">
                  <c:v>73.839513377576964</c:v>
                </c:pt>
                <c:pt idx="153">
                  <c:v>74.714689714536235</c:v>
                </c:pt>
                <c:pt idx="154">
                  <c:v>75.59444613938993</c:v>
                </c:pt>
                <c:pt idx="155">
                  <c:v>76.478776698744539</c:v>
                </c:pt>
                <c:pt idx="156">
                  <c:v>77.367675485337998</c:v>
                </c:pt>
                <c:pt idx="157">
                  <c:v>78.26113663738866</c:v>
                </c:pt>
                <c:pt idx="158">
                  <c:v>79.159154337957219</c:v>
                </c:pt>
                <c:pt idx="159">
                  <c:v>80.061722814321968</c:v>
                </c:pt>
                <c:pt idx="160">
                  <c:v>80.96883633736644</c:v>
                </c:pt>
                <c:pt idx="161">
                  <c:v>81.880489220979143</c:v>
                </c:pt>
                <c:pt idx="162">
                  <c:v>82.796675821465612</c:v>
                </c:pt>
                <c:pt idx="163">
                  <c:v>83.717390536971848</c:v>
                </c:pt>
                <c:pt idx="164">
                  <c:v>84.642627806918881</c:v>
                </c:pt>
                <c:pt idx="165">
                  <c:v>85.572382111449045</c:v>
                </c:pt>
                <c:pt idx="166">
                  <c:v>86.506647970882184</c:v>
                </c:pt>
                <c:pt idx="167">
                  <c:v>87.445419945182948</c:v>
                </c:pt>
                <c:pt idx="168">
                  <c:v>88.388692633438012</c:v>
                </c:pt>
                <c:pt idx="169">
                  <c:v>89.336460673343367</c:v>
                </c:pt>
                <c:pt idx="170">
                  <c:v>90.288718740701341</c:v>
                </c:pt>
                <c:pt idx="171">
                  <c:v>91.245461548927011</c:v>
                </c:pt>
                <c:pt idx="172">
                  <c:v>92.206683848563827</c:v>
                </c:pt>
                <c:pt idx="173">
                  <c:v>93.172380426808502</c:v>
                </c:pt>
                <c:pt idx="174">
                  <c:v>94.142546107044495</c:v>
                </c:pt>
                <c:pt idx="175">
                  <c:v>95.117175748383914</c:v>
                </c:pt>
                <c:pt idx="176">
                  <c:v>96.09626424521835</c:v>
                </c:pt>
                <c:pt idx="177">
                  <c:v>97.079806526777176</c:v>
                </c:pt>
                <c:pt idx="178">
                  <c:v>98.067797556694487</c:v>
                </c:pt>
                <c:pt idx="179">
                  <c:v>99.060232332583382</c:v>
                </c:pt>
                <c:pt idx="180">
                  <c:v>100.05710588561797</c:v>
                </c:pt>
                <c:pt idx="181">
                  <c:v>101.05841328012315</c:v>
                </c:pt>
                <c:pt idx="182">
                  <c:v>102.06414961317104</c:v>
                </c:pt>
                <c:pt idx="183">
                  <c:v>103.07431001418499</c:v>
                </c:pt>
                <c:pt idx="184">
                  <c:v>104.08888964455041</c:v>
                </c:pt>
                <c:pt idx="185">
                  <c:v>105.1078836972322</c:v>
                </c:pt>
                <c:pt idx="186">
                  <c:v>106.13128739639906</c:v>
                </c:pt>
                <c:pt idx="187">
                  <c:v>107.15909599705404</c:v>
                </c:pt>
                <c:pt idx="188">
                  <c:v>108.1913047846715</c:v>
                </c:pt>
                <c:pt idx="189">
                  <c:v>109.22790907484045</c:v>
                </c:pt>
                <c:pt idx="190">
                  <c:v>110.26890421291355</c:v>
                </c:pt>
                <c:pt idx="191">
                  <c:v>111.31428557366232</c:v>
                </c:pt>
                <c:pt idx="192">
                  <c:v>112.36404856093799</c:v>
                </c:pt>
                <c:pt idx="193">
                  <c:v>113.41818860733821</c:v>
                </c:pt>
                <c:pt idx="194">
                  <c:v>114.47670117387887</c:v>
                </c:pt>
                <c:pt idx="195">
                  <c:v>115.53958174967192</c:v>
                </c:pt>
                <c:pt idx="196">
                  <c:v>116.60682585160782</c:v>
                </c:pt>
                <c:pt idx="197">
                  <c:v>117.67842902404384</c:v>
                </c:pt>
                <c:pt idx="198">
                  <c:v>118.7543868384969</c:v>
                </c:pt>
                <c:pt idx="199">
                  <c:v>119.83469489334171</c:v>
                </c:pt>
                <c:pt idx="200">
                  <c:v>120.91934881351355</c:v>
                </c:pt>
                <c:pt idx="201">
                  <c:v>122.00834425021601</c:v>
                </c:pt>
                <c:pt idx="202">
                  <c:v>123.10167688063314</c:v>
                </c:pt>
                <c:pt idx="203">
                  <c:v>124.19934240764647</c:v>
                </c:pt>
                <c:pt idx="204">
                  <c:v>125.30133655955608</c:v>
                </c:pt>
                <c:pt idx="205">
                  <c:v>126.40765508980662</c:v>
                </c:pt>
                <c:pt idx="206">
                  <c:v>127.51829377671706</c:v>
                </c:pt>
                <c:pt idx="207">
                  <c:v>128.63324842321487</c:v>
                </c:pt>
                <c:pt idx="208">
                  <c:v>129.75251485657441</c:v>
                </c:pt>
                <c:pt idx="209">
                  <c:v>130.87608892815922</c:v>
                </c:pt>
                <c:pt idx="210">
                  <c:v>132.00396651316817</c:v>
                </c:pt>
                <c:pt idx="211">
                  <c:v>133.13614351038578</c:v>
                </c:pt>
                <c:pt idx="212">
                  <c:v>134.27261584193596</c:v>
                </c:pt>
                <c:pt idx="213">
                  <c:v>135.41337945303977</c:v>
                </c:pt>
                <c:pt idx="214">
                  <c:v>136.55843031177665</c:v>
                </c:pt>
                <c:pt idx="215">
                  <c:v>137.70776440884936</c:v>
                </c:pt>
                <c:pt idx="216">
                  <c:v>138.86137775735222</c:v>
                </c:pt>
                <c:pt idx="217">
                  <c:v>140.01926639254299</c:v>
                </c:pt>
                <c:pt idx="218">
                  <c:v>141.1814263716179</c:v>
                </c:pt>
                <c:pt idx="219">
                  <c:v>142.34785377349044</c:v>
                </c:pt>
                <c:pt idx="220">
                  <c:v>143.51854469857253</c:v>
                </c:pt>
                <c:pt idx="221">
                  <c:v>144.69349526855996</c:v>
                </c:pt>
                <c:pt idx="222">
                  <c:v>145.87270162621994</c:v>
                </c:pt>
                <c:pt idx="223">
                  <c:v>147.05615993518251</c:v>
                </c:pt>
                <c:pt idx="224">
                  <c:v>148.24386637973427</c:v>
                </c:pt>
                <c:pt idx="225">
                  <c:v>149.4358171646156</c:v>
                </c:pt>
                <c:pt idx="226">
                  <c:v>150.63200851482054</c:v>
                </c:pt>
                <c:pt idx="227">
                  <c:v>151.83243667539946</c:v>
                </c:pt>
                <c:pt idx="228">
                  <c:v>153.03709791126428</c:v>
                </c:pt>
                <c:pt idx="229">
                  <c:v>154.24598850699732</c:v>
                </c:pt>
                <c:pt idx="230">
                  <c:v>155.45910476666171</c:v>
                </c:pt>
                <c:pt idx="231">
                  <c:v>156.67644301361514</c:v>
                </c:pt>
                <c:pt idx="232">
                  <c:v>157.89799959032598</c:v>
                </c:pt>
                <c:pt idx="233">
                  <c:v>159.12377085819193</c:v>
                </c:pt>
                <c:pt idx="234">
                  <c:v>160.35375319736113</c:v>
                </c:pt>
                <c:pt idx="235">
                  <c:v>161.58794300655592</c:v>
                </c:pt>
                <c:pt idx="236">
                  <c:v>162.82633670289866</c:v>
                </c:pt>
                <c:pt idx="237">
                  <c:v>164.06893072174026</c:v>
                </c:pt>
                <c:pt idx="238">
                  <c:v>165.31572151649084</c:v>
                </c:pt>
                <c:pt idx="239">
                  <c:v>166.56670555845258</c:v>
                </c:pt>
                <c:pt idx="240">
                  <c:v>167.82187933665517</c:v>
                </c:pt>
                <c:pt idx="241">
                  <c:v>169.08123935769294</c:v>
                </c:pt>
                <c:pt idx="242">
                  <c:v>170.34478214556464</c:v>
                </c:pt>
                <c:pt idx="243">
                  <c:v>171.61250424151501</c:v>
                </c:pt>
                <c:pt idx="244">
                  <c:v>172.88440220387858</c:v>
                </c:pt>
                <c:pt idx="245">
                  <c:v>174.16047260792556</c:v>
                </c:pt>
                <c:pt idx="246">
                  <c:v>175.44071204570957</c:v>
                </c:pt>
                <c:pt idx="247">
                  <c:v>176.72511712591762</c:v>
                </c:pt>
                <c:pt idx="248">
                  <c:v>178.01368447372164</c:v>
                </c:pt>
                <c:pt idx="249">
                  <c:v>179.30641073063239</c:v>
                </c:pt>
                <c:pt idx="250">
                  <c:v>180.60329255435494</c:v>
                </c:pt>
                <c:pt idx="251">
                  <c:v>181.90432661864605</c:v>
                </c:pt>
                <c:pt idx="252">
                  <c:v>183.20950961317334</c:v>
                </c:pt>
                <c:pt idx="253">
                  <c:v>184.51883824337648</c:v>
                </c:pt>
                <c:pt idx="254">
                  <c:v>185.83230923032994</c:v>
                </c:pt>
                <c:pt idx="255">
                  <c:v>186.79823999999999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9-4947-B7DF-F11DCC713BAC}"/>
            </c:ext>
          </c:extLst>
        </c:ser>
        <c:ser>
          <c:idx val="1"/>
          <c:order val="1"/>
          <c:tx>
            <c:strRef>
              <c:f>'Gamma 1.8 5400K'!$D$16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1.8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1.8 5400K'!$D$17:$D$272</c:f>
              <c:numCache>
                <c:formatCode>0.00_ </c:formatCode>
                <c:ptCount val="256"/>
                <c:pt idx="0">
                  <c:v>8.951714176338387E-4</c:v>
                </c:pt>
                <c:pt idx="1">
                  <c:v>1.479479720028538E-2</c:v>
                </c:pt>
                <c:pt idx="2">
                  <c:v>4.217282927494493E-2</c:v>
                </c:pt>
                <c:pt idx="3">
                  <c:v>8.1419919698359586E-2</c:v>
                </c:pt>
                <c:pt idx="4">
                  <c:v>0.13167563398213397</c:v>
                </c:pt>
                <c:pt idx="5">
                  <c:v>0.19235901672676436</c:v>
                </c:pt>
                <c:pt idx="6">
                  <c:v>0.26303618659466782</c:v>
                </c:pt>
                <c:pt idx="7">
                  <c:v>0.34336356066596735</c:v>
                </c:pt>
                <c:pt idx="8">
                  <c:v>0.43305834166442686</c:v>
                </c:pt>
                <c:pt idx="9">
                  <c:v>0.53188126866270002</c:v>
                </c:pt>
                <c:pt idx="10">
                  <c:v>0.63962569344935427</c:v>
                </c:pt>
                <c:pt idx="11">
                  <c:v>0.75611024420960216</c:v>
                </c:pt>
                <c:pt idx="12">
                  <c:v>0.88117367138188629</c:v>
                </c:pt>
                <c:pt idx="13">
                  <c:v>1.0146710949063045</c:v>
                </c:pt>
                <c:pt idx="14">
                  <c:v>1.156471191264802</c:v>
                </c:pt>
                <c:pt idx="15">
                  <c:v>1.3064540334841337</c:v>
                </c:pt>
                <c:pt idx="16">
                  <c:v>1.4645093984227493</c:v>
                </c:pt>
                <c:pt idx="17">
                  <c:v>1.6305354169464628</c:v>
                </c:pt>
                <c:pt idx="18">
                  <c:v>1.8044374811855424</c:v>
                </c:pt>
                <c:pt idx="19">
                  <c:v>1.9861273481751303</c:v>
                </c:pt>
                <c:pt idx="20">
                  <c:v>2.1755223959908778</c:v>
                </c:pt>
                <c:pt idx="21">
                  <c:v>2.3725450000285613</c:v>
                </c:pt>
                <c:pt idx="22">
                  <c:v>2.5771220051694579</c:v>
                </c:pt>
                <c:pt idx="23">
                  <c:v>2.7891842753620946</c:v>
                </c:pt>
                <c:pt idx="24">
                  <c:v>3.0086663063643848</c:v>
                </c:pt>
                <c:pt idx="25">
                  <c:v>3.2355058905050358</c:v>
                </c:pt>
                <c:pt idx="26">
                  <c:v>3.4696438246592001</c:v>
                </c:pt>
                <c:pt idx="27">
                  <c:v>3.7110236544076276</c:v>
                </c:pt>
                <c:pt idx="28">
                  <c:v>3.959591448712465</c:v>
                </c:pt>
                <c:pt idx="29">
                  <c:v>4.2152956005024373</c:v>
                </c:pt>
                <c:pt idx="30">
                  <c:v>4.4780866493917646</c:v>
                </c:pt>
                <c:pt idx="31">
                  <c:v>4.7479171234156441</c:v>
                </c:pt>
                <c:pt idx="32">
                  <c:v>5.0247413971911872</c:v>
                </c:pt>
                <c:pt idx="33">
                  <c:v>5.3085155643361679</c:v>
                </c:pt>
                <c:pt idx="34">
                  <c:v>5.5991973223213618</c:v>
                </c:pt>
                <c:pt idx="35">
                  <c:v>5.8967458682128058</c:v>
                </c:pt>
                <c:pt idx="36">
                  <c:v>6.2011218039907661</c:v>
                </c:pt>
                <c:pt idx="37">
                  <c:v>6.5122870503228336</c:v>
                </c:pt>
                <c:pt idx="38">
                  <c:v>6.8302047678271611</c:v>
                </c:pt>
                <c:pt idx="39">
                  <c:v>7.1548392849942468</c:v>
                </c:pt>
                <c:pt idx="40">
                  <c:v>7.4861560320471554</c:v>
                </c:pt>
                <c:pt idx="41">
                  <c:v>7.8241214801140675</c:v>
                </c:pt>
                <c:pt idx="42">
                  <c:v>8.1687030851667188</c:v>
                </c:pt>
                <c:pt idx="43">
                  <c:v>8.519869236246322</c:v>
                </c:pt>
                <c:pt idx="44">
                  <c:v>8.8775892075565714</c:v>
                </c:pt>
                <c:pt idx="45">
                  <c:v>9.2418331140532519</c:v>
                </c:pt>
                <c:pt idx="46">
                  <c:v>9.6125718702028617</c:v>
                </c:pt>
                <c:pt idx="47">
                  <c:v>9.9897771516200162</c:v>
                </c:pt>
                <c:pt idx="48">
                  <c:v>10.373421359325349</c:v>
                </c:pt>
                <c:pt idx="49">
                  <c:v>10.763477586393964</c:v>
                </c:pt>
                <c:pt idx="50">
                  <c:v>11.15991958678878</c:v>
                </c:pt>
                <c:pt idx="51">
                  <c:v>11.562721746194743</c:v>
                </c:pt>
                <c:pt idx="52">
                  <c:v>11.971859054688517</c:v>
                </c:pt>
                <c:pt idx="53">
                  <c:v>12.387307081095051</c:v>
                </c:pt>
                <c:pt idx="54">
                  <c:v>12.809041948896828</c:v>
                </c:pt>
                <c:pt idx="55">
                  <c:v>13.237040313574838</c:v>
                </c:pt>
                <c:pt idx="56">
                  <c:v>13.67127934127144</c:v>
                </c:pt>
                <c:pt idx="57">
                  <c:v>14.111736688675922</c:v>
                </c:pt>
                <c:pt idx="58">
                  <c:v>14.558390484042153</c:v>
                </c:pt>
                <c:pt idx="59">
                  <c:v>15.011219309256381</c:v>
                </c:pt>
                <c:pt idx="60">
                  <c:v>15.470202182880046</c:v>
                </c:pt>
                <c:pt idx="61">
                  <c:v>15.935318544099314</c:v>
                </c:pt>
                <c:pt idx="62">
                  <c:v>16.406548237518564</c:v>
                </c:pt>
                <c:pt idx="63">
                  <c:v>16.883871498740763</c:v>
                </c:pt>
                <c:pt idx="64">
                  <c:v>17.3672689406819</c:v>
                </c:pt>
                <c:pt idx="65">
                  <c:v>17.856721540571357</c:v>
                </c:pt>
                <c:pt idx="66">
                  <c:v>18.352210627593735</c:v>
                </c:pt>
                <c:pt idx="67">
                  <c:v>18.853717871131092</c:v>
                </c:pt>
                <c:pt idx="68">
                  <c:v>19.361225269568241</c:v>
                </c:pt>
                <c:pt idx="69">
                  <c:v>19.874715139625764</c:v>
                </c:pt>
                <c:pt idx="70">
                  <c:v>20.394170106188909</c:v>
                </c:pt>
                <c:pt idx="71">
                  <c:v>20.919573092602409</c:v>
                </c:pt>
                <c:pt idx="72">
                  <c:v>21.45090731140364</c:v>
                </c:pt>
                <c:pt idx="73">
                  <c:v>21.988156255468496</c:v>
                </c:pt>
                <c:pt idx="74">
                  <c:v>22.531303689546121</c:v>
                </c:pt>
                <c:pt idx="75">
                  <c:v>23.08033364216049</c:v>
                </c:pt>
                <c:pt idx="76">
                  <c:v>23.635230397858169</c:v>
                </c:pt>
                <c:pt idx="77">
                  <c:v>24.195978489783109</c:v>
                </c:pt>
                <c:pt idx="78">
                  <c:v>24.762562692560699</c:v>
                </c:pt>
                <c:pt idx="79">
                  <c:v>25.334968015474114</c:v>
                </c:pt>
                <c:pt idx="80">
                  <c:v>25.913179695917776</c:v>
                </c:pt>
                <c:pt idx="81">
                  <c:v>26.497183193113059</c:v>
                </c:pt>
                <c:pt idx="82">
                  <c:v>27.086964182072702</c:v>
                </c:pt>
                <c:pt idx="83">
                  <c:v>27.682508547801184</c:v>
                </c:pt>
                <c:pt idx="84">
                  <c:v>28.283802379719123</c:v>
                </c:pt>
                <c:pt idx="85">
                  <c:v>28.890831966300475</c:v>
                </c:pt>
                <c:pt idx="86">
                  <c:v>29.503583789911829</c:v>
                </c:pt>
                <c:pt idx="87">
                  <c:v>30.122044521844174</c:v>
                </c:pt>
                <c:pt idx="88">
                  <c:v>30.746201017527774</c:v>
                </c:pt>
                <c:pt idx="89">
                  <c:v>31.376040311921116</c:v>
                </c:pt>
                <c:pt idx="90">
                  <c:v>32.011549615066166</c:v>
                </c:pt>
                <c:pt idx="91">
                  <c:v>32.652716307801633</c:v>
                </c:pt>
                <c:pt idx="92">
                  <c:v>33.299527937627595</c:v>
                </c:pt>
                <c:pt idx="93">
                  <c:v>33.951972214713784</c:v>
                </c:pt>
                <c:pt idx="94">
                  <c:v>34.610037008045765</c:v>
                </c:pt>
                <c:pt idx="95">
                  <c:v>35.273710341702191</c:v>
                </c:pt>
                <c:pt idx="96">
                  <c:v>35.942980391258018</c:v>
                </c:pt>
                <c:pt idx="97">
                  <c:v>36.617835480307505</c:v>
                </c:pt>
                <c:pt idx="98">
                  <c:v>37.298264077102147</c:v>
                </c:pt>
                <c:pt idx="99">
                  <c:v>37.984254791298632</c:v>
                </c:pt>
                <c:pt idx="100">
                  <c:v>38.675796370812016</c:v>
                </c:pt>
                <c:pt idx="101">
                  <c:v>39.372877698769763</c:v>
                </c:pt>
                <c:pt idx="102">
                  <c:v>40.07548779056237</c:v>
                </c:pt>
                <c:pt idx="103">
                  <c:v>40.783615790986666</c:v>
                </c:pt>
                <c:pt idx="104">
                  <c:v>41.497250971478138</c:v>
                </c:pt>
                <c:pt idx="105">
                  <c:v>42.216382727428261</c:v>
                </c:pt>
                <c:pt idx="106">
                  <c:v>42.941000575583963</c:v>
                </c:pt>
                <c:pt idx="107">
                  <c:v>43.671094151525431</c:v>
                </c:pt>
                <c:pt idx="108">
                  <c:v>44.406653207219783</c:v>
                </c:pt>
                <c:pt idx="109">
                  <c:v>45.147667608647019</c:v>
                </c:pt>
                <c:pt idx="110">
                  <c:v>45.894127333495909</c:v>
                </c:pt>
                <c:pt idx="111">
                  <c:v>46.646022468926937</c:v>
                </c:pt>
                <c:pt idx="112">
                  <c:v>47.403343209399921</c:v>
                </c:pt>
                <c:pt idx="113">
                  <c:v>48.166079854563627</c:v>
                </c:pt>
                <c:pt idx="114">
                  <c:v>48.934222807205316</c:v>
                </c:pt>
                <c:pt idx="115">
                  <c:v>49.707762571257959</c:v>
                </c:pt>
                <c:pt idx="116">
                  <c:v>50.486689749862862</c:v>
                </c:pt>
                <c:pt idx="117">
                  <c:v>51.270995043485868</c:v>
                </c:pt>
                <c:pt idx="118">
                  <c:v>52.060669248085162</c:v>
                </c:pt>
                <c:pt idx="119">
                  <c:v>52.855703253328727</c:v>
                </c:pt>
                <c:pt idx="120">
                  <c:v>53.656088040859963</c:v>
                </c:pt>
                <c:pt idx="121">
                  <c:v>54.461814682609386</c:v>
                </c:pt>
                <c:pt idx="122">
                  <c:v>55.272874339151223</c:v>
                </c:pt>
                <c:pt idx="123">
                  <c:v>56.089258258103079</c:v>
                </c:pt>
                <c:pt idx="124">
                  <c:v>56.910957772567286</c:v>
                </c:pt>
                <c:pt idx="125">
                  <c:v>57.737964299612536</c:v>
                </c:pt>
                <c:pt idx="126">
                  <c:v>58.570269338794375</c:v>
                </c:pt>
                <c:pt idx="127">
                  <c:v>59.407864470713456</c:v>
                </c:pt>
                <c:pt idx="128">
                  <c:v>60.250741355610025</c:v>
                </c:pt>
                <c:pt idx="129">
                  <c:v>61.098891731993518</c:v>
                </c:pt>
                <c:pt idx="130">
                  <c:v>61.952307415306493</c:v>
                </c:pt>
                <c:pt idx="131">
                  <c:v>62.810980296621153</c:v>
                </c:pt>
                <c:pt idx="132">
                  <c:v>63.674902341367932</c:v>
                </c:pt>
                <c:pt idx="133">
                  <c:v>64.544065588094782</c:v>
                </c:pt>
                <c:pt idx="134">
                  <c:v>65.418462147256605</c:v>
                </c:pt>
                <c:pt idx="135">
                  <c:v>66.298084200033387</c:v>
                </c:pt>
                <c:pt idx="136">
                  <c:v>67.182923997176417</c:v>
                </c:pt>
                <c:pt idx="137">
                  <c:v>68.07297385788182</c:v>
                </c:pt>
                <c:pt idx="138">
                  <c:v>68.968226168690151</c:v>
                </c:pt>
                <c:pt idx="139">
                  <c:v>69.868673382411927</c:v>
                </c:pt>
                <c:pt idx="140">
                  <c:v>70.77430801707753</c:v>
                </c:pt>
                <c:pt idx="141">
                  <c:v>71.685122654911382</c:v>
                </c:pt>
                <c:pt idx="142">
                  <c:v>72.601109941329298</c:v>
                </c:pt>
                <c:pt idx="143">
                  <c:v>73.52226258395865</c:v>
                </c:pt>
                <c:pt idx="144">
                  <c:v>74.448573351680125</c:v>
                </c:pt>
                <c:pt idx="145">
                  <c:v>75.380035073691175</c:v>
                </c:pt>
                <c:pt idx="146">
                  <c:v>76.316640638589902</c:v>
                </c:pt>
                <c:pt idx="147">
                  <c:v>77.258382993479188</c:v>
                </c:pt>
                <c:pt idx="148">
                  <c:v>78.205255143090241</c:v>
                </c:pt>
                <c:pt idx="149">
                  <c:v>79.157250148925115</c:v>
                </c:pt>
                <c:pt idx="150">
                  <c:v>80.114361128417869</c:v>
                </c:pt>
                <c:pt idx="151">
                  <c:v>81.076581254113279</c:v>
                </c:pt>
                <c:pt idx="152">
                  <c:v>82.043903752863287</c:v>
                </c:pt>
                <c:pt idx="153">
                  <c:v>83.016321905040257</c:v>
                </c:pt>
                <c:pt idx="154">
                  <c:v>83.993829043766581</c:v>
                </c:pt>
                <c:pt idx="155">
                  <c:v>84.976418554160603</c:v>
                </c:pt>
                <c:pt idx="156">
                  <c:v>85.964083872597783</c:v>
                </c:pt>
                <c:pt idx="157">
                  <c:v>86.956818485987398</c:v>
                </c:pt>
                <c:pt idx="158">
                  <c:v>87.954615931063572</c:v>
                </c:pt>
                <c:pt idx="159">
                  <c:v>88.957469793691075</c:v>
                </c:pt>
                <c:pt idx="160">
                  <c:v>89.965373708184927</c:v>
                </c:pt>
                <c:pt idx="161">
                  <c:v>90.978321356643491</c:v>
                </c:pt>
                <c:pt idx="162">
                  <c:v>91.996306468295131</c:v>
                </c:pt>
                <c:pt idx="163">
                  <c:v>93.019322818857603</c:v>
                </c:pt>
                <c:pt idx="164">
                  <c:v>94.047364229909874</c:v>
                </c:pt>
                <c:pt idx="165">
                  <c:v>95.080424568276712</c:v>
                </c:pt>
                <c:pt idx="166">
                  <c:v>96.118497745424648</c:v>
                </c:pt>
                <c:pt idx="167">
                  <c:v>97.161577716869942</c:v>
                </c:pt>
                <c:pt idx="168">
                  <c:v>98.209658481597785</c:v>
                </c:pt>
                <c:pt idx="169">
                  <c:v>99.262734081492638</c:v>
                </c:pt>
                <c:pt idx="170">
                  <c:v>100.32079860077927</c:v>
                </c:pt>
                <c:pt idx="171">
                  <c:v>101.38384616547447</c:v>
                </c:pt>
                <c:pt idx="172">
                  <c:v>102.4518709428487</c:v>
                </c:pt>
                <c:pt idx="173">
                  <c:v>103.52486714089834</c:v>
                </c:pt>
                <c:pt idx="174">
                  <c:v>104.60282900782721</c:v>
                </c:pt>
                <c:pt idx="175">
                  <c:v>105.68575083153769</c:v>
                </c:pt>
                <c:pt idx="176">
                  <c:v>106.7736269391315</c:v>
                </c:pt>
                <c:pt idx="177">
                  <c:v>107.86645169641909</c:v>
                </c:pt>
                <c:pt idx="178">
                  <c:v>108.96421950743832</c:v>
                </c:pt>
                <c:pt idx="179">
                  <c:v>110.06692481398153</c:v>
                </c:pt>
                <c:pt idx="180">
                  <c:v>111.17456209513108</c:v>
                </c:pt>
                <c:pt idx="181">
                  <c:v>112.28712586680349</c:v>
                </c:pt>
                <c:pt idx="182">
                  <c:v>113.40461068130115</c:v>
                </c:pt>
                <c:pt idx="183">
                  <c:v>114.52701112687221</c:v>
                </c:pt>
                <c:pt idx="184">
                  <c:v>115.65432182727822</c:v>
                </c:pt>
                <c:pt idx="185">
                  <c:v>116.78653744136911</c:v>
                </c:pt>
                <c:pt idx="186">
                  <c:v>117.92365266266562</c:v>
                </c:pt>
                <c:pt idx="187">
                  <c:v>119.06566221894893</c:v>
                </c:pt>
                <c:pt idx="188">
                  <c:v>120.21256087185722</c:v>
                </c:pt>
                <c:pt idx="189">
                  <c:v>121.36434341648939</c:v>
                </c:pt>
                <c:pt idx="190">
                  <c:v>122.52100468101506</c:v>
                </c:pt>
                <c:pt idx="191">
                  <c:v>123.68253952629146</c:v>
                </c:pt>
                <c:pt idx="192">
                  <c:v>124.84894284548666</c:v>
                </c:pt>
                <c:pt idx="193">
                  <c:v>126.02020956370913</c:v>
                </c:pt>
                <c:pt idx="194">
                  <c:v>127.19633463764319</c:v>
                </c:pt>
                <c:pt idx="195">
                  <c:v>128.37731305519102</c:v>
                </c:pt>
                <c:pt idx="196">
                  <c:v>129.56313983511981</c:v>
                </c:pt>
                <c:pt idx="197">
                  <c:v>130.75381002671537</c:v>
                </c:pt>
                <c:pt idx="198">
                  <c:v>131.949318709441</c:v>
                </c:pt>
                <c:pt idx="199">
                  <c:v>133.14966099260189</c:v>
                </c:pt>
                <c:pt idx="200">
                  <c:v>134.35483201501506</c:v>
                </c:pt>
                <c:pt idx="201">
                  <c:v>135.56482694468446</c:v>
                </c:pt>
                <c:pt idx="202">
                  <c:v>136.77964097848127</c:v>
                </c:pt>
                <c:pt idx="203">
                  <c:v>137.9992693418294</c:v>
                </c:pt>
                <c:pt idx="204">
                  <c:v>139.22370728839564</c:v>
                </c:pt>
                <c:pt idx="205">
                  <c:v>140.45295009978514</c:v>
                </c:pt>
                <c:pt idx="206">
                  <c:v>141.68699308524117</c:v>
                </c:pt>
                <c:pt idx="207">
                  <c:v>142.92583158134985</c:v>
                </c:pt>
                <c:pt idx="208">
                  <c:v>144.16946095174936</c:v>
                </c:pt>
                <c:pt idx="209">
                  <c:v>145.41787658684356</c:v>
                </c:pt>
                <c:pt idx="210">
                  <c:v>146.67107390352018</c:v>
                </c:pt>
                <c:pt idx="211">
                  <c:v>147.92904834487308</c:v>
                </c:pt>
                <c:pt idx="212">
                  <c:v>149.19179537992883</c:v>
                </c:pt>
                <c:pt idx="213">
                  <c:v>150.45931050337751</c:v>
                </c:pt>
                <c:pt idx="214">
                  <c:v>151.73158923530738</c:v>
                </c:pt>
                <c:pt idx="215">
                  <c:v>153.00862712094374</c:v>
                </c:pt>
                <c:pt idx="216">
                  <c:v>154.29041973039136</c:v>
                </c:pt>
                <c:pt idx="217">
                  <c:v>155.57696265838109</c:v>
                </c:pt>
                <c:pt idx="218">
                  <c:v>156.86825152401988</c:v>
                </c:pt>
                <c:pt idx="219">
                  <c:v>158.16428197054492</c:v>
                </c:pt>
                <c:pt idx="220">
                  <c:v>159.46504966508058</c:v>
                </c:pt>
                <c:pt idx="221">
                  <c:v>160.77055029839994</c:v>
                </c:pt>
                <c:pt idx="222">
                  <c:v>162.08077958468883</c:v>
                </c:pt>
                <c:pt idx="223">
                  <c:v>163.39573326131389</c:v>
                </c:pt>
                <c:pt idx="224">
                  <c:v>164.71540708859362</c:v>
                </c:pt>
                <c:pt idx="225">
                  <c:v>166.03979684957289</c:v>
                </c:pt>
                <c:pt idx="226">
                  <c:v>167.36889834980062</c:v>
                </c:pt>
                <c:pt idx="227">
                  <c:v>168.7027074171105</c:v>
                </c:pt>
                <c:pt idx="228">
                  <c:v>170.04121990140476</c:v>
                </c:pt>
                <c:pt idx="229">
                  <c:v>171.38443167444146</c:v>
                </c:pt>
                <c:pt idx="230">
                  <c:v>172.73233862962411</c:v>
                </c:pt>
                <c:pt idx="231">
                  <c:v>174.0849366817946</c:v>
                </c:pt>
                <c:pt idx="232">
                  <c:v>175.44222176702888</c:v>
                </c:pt>
                <c:pt idx="233">
                  <c:v>176.80418984243548</c:v>
                </c:pt>
                <c:pt idx="234">
                  <c:v>178.17083688595682</c:v>
                </c:pt>
                <c:pt idx="235">
                  <c:v>179.54215889617325</c:v>
                </c:pt>
                <c:pt idx="236">
                  <c:v>180.91815189210962</c:v>
                </c:pt>
                <c:pt idx="237">
                  <c:v>182.29881191304474</c:v>
                </c:pt>
                <c:pt idx="238">
                  <c:v>183.68413501832316</c:v>
                </c:pt>
                <c:pt idx="239">
                  <c:v>185.07411728716954</c:v>
                </c:pt>
                <c:pt idx="240">
                  <c:v>186.46875481850574</c:v>
                </c:pt>
                <c:pt idx="241">
                  <c:v>187.86804373076993</c:v>
                </c:pt>
                <c:pt idx="242">
                  <c:v>189.27198016173847</c:v>
                </c:pt>
                <c:pt idx="243">
                  <c:v>190.68056026835001</c:v>
                </c:pt>
                <c:pt idx="244">
                  <c:v>192.09378022653175</c:v>
                </c:pt>
                <c:pt idx="245">
                  <c:v>193.5116362310284</c:v>
                </c:pt>
                <c:pt idx="246">
                  <c:v>194.93412449523288</c:v>
                </c:pt>
                <c:pt idx="247">
                  <c:v>196.36124125101958</c:v>
                </c:pt>
                <c:pt idx="248">
                  <c:v>197.79298274857962</c:v>
                </c:pt>
                <c:pt idx="249">
                  <c:v>199.22934525625823</c:v>
                </c:pt>
                <c:pt idx="250">
                  <c:v>200.67032506039439</c:v>
                </c:pt>
                <c:pt idx="251">
                  <c:v>202.11591846516228</c:v>
                </c:pt>
                <c:pt idx="252">
                  <c:v>203.5661217924148</c:v>
                </c:pt>
                <c:pt idx="253">
                  <c:v>205.02093138152944</c:v>
                </c:pt>
                <c:pt idx="254">
                  <c:v>206.48034358925548</c:v>
                </c:pt>
                <c:pt idx="255">
                  <c:v>207.55359999999999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9-4947-B7DF-F11DCC713BAC}"/>
            </c:ext>
          </c:extLst>
        </c:ser>
        <c:ser>
          <c:idx val="2"/>
          <c:order val="2"/>
          <c:tx>
            <c:strRef>
              <c:f>'Gamma 1.8 5400K'!$E$16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1.8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1.8 5400K'!$E$17:$E$272</c:f>
              <c:numCache>
                <c:formatCode>0.00_ </c:formatCode>
                <c:ptCount val="256"/>
                <c:pt idx="0">
                  <c:v>9.8468855939722261E-4</c:v>
                </c:pt>
                <c:pt idx="1">
                  <c:v>1.627427692031392E-2</c:v>
                </c:pt>
                <c:pt idx="2">
                  <c:v>4.6390112202439424E-2</c:v>
                </c:pt>
                <c:pt idx="3">
                  <c:v>8.9561911668195548E-2</c:v>
                </c:pt>
                <c:pt idx="4">
                  <c:v>0.14484319738034737</c:v>
                </c:pt>
                <c:pt idx="5">
                  <c:v>0.21159491839944081</c:v>
                </c:pt>
                <c:pt idx="6">
                  <c:v>0.28933980525413461</c:v>
                </c:pt>
                <c:pt idx="7">
                  <c:v>0.37769991673256409</c:v>
                </c:pt>
                <c:pt idx="8">
                  <c:v>0.47636417583086954</c:v>
                </c:pt>
                <c:pt idx="9">
                  <c:v>0.58506939552897008</c:v>
                </c:pt>
                <c:pt idx="10">
                  <c:v>0.70358826279428965</c:v>
                </c:pt>
                <c:pt idx="11">
                  <c:v>0.83172126863056239</c:v>
                </c:pt>
                <c:pt idx="12">
                  <c:v>0.96929103852007492</c:v>
                </c:pt>
                <c:pt idx="13">
                  <c:v>1.116138204396935</c:v>
                </c:pt>
                <c:pt idx="14">
                  <c:v>1.2721183103912823</c:v>
                </c:pt>
                <c:pt idx="15">
                  <c:v>1.4370994368325472</c:v>
                </c:pt>
                <c:pt idx="16">
                  <c:v>1.6109603382650242</c:v>
                </c:pt>
                <c:pt idx="17">
                  <c:v>1.7935889586411091</c:v>
                </c:pt>
                <c:pt idx="18">
                  <c:v>1.9848812293040967</c:v>
                </c:pt>
                <c:pt idx="19">
                  <c:v>2.1847400829926431</c:v>
                </c:pt>
                <c:pt idx="20">
                  <c:v>2.3930746355899655</c:v>
                </c:pt>
                <c:pt idx="21">
                  <c:v>2.6097995000314174</c:v>
                </c:pt>
                <c:pt idx="22">
                  <c:v>2.8348342056864038</c:v>
                </c:pt>
                <c:pt idx="23">
                  <c:v>3.0681027028983041</c:v>
                </c:pt>
                <c:pt idx="24">
                  <c:v>3.3095329370008235</c:v>
                </c:pt>
                <c:pt idx="25">
                  <c:v>3.5590564795555393</c:v>
                </c:pt>
                <c:pt idx="26">
                  <c:v>3.8166082071251202</c:v>
                </c:pt>
                <c:pt idx="27">
                  <c:v>4.0821260198483902</c:v>
                </c:pt>
                <c:pt idx="28">
                  <c:v>4.3555505935837111</c:v>
                </c:pt>
                <c:pt idx="29">
                  <c:v>4.6368251605526813</c:v>
                </c:pt>
                <c:pt idx="30">
                  <c:v>4.9258953143309414</c:v>
                </c:pt>
                <c:pt idx="31">
                  <c:v>5.2227088357572082</c:v>
                </c:pt>
                <c:pt idx="32">
                  <c:v>5.5272155369103055</c:v>
                </c:pt>
                <c:pt idx="33">
                  <c:v>5.8393671207697846</c:v>
                </c:pt>
                <c:pt idx="34">
                  <c:v>6.1591170545534979</c:v>
                </c:pt>
                <c:pt idx="35">
                  <c:v>6.4864204550340867</c:v>
                </c:pt>
                <c:pt idx="36">
                  <c:v>6.8212339843898429</c:v>
                </c:pt>
                <c:pt idx="37">
                  <c:v>7.1635157553551174</c:v>
                </c:pt>
                <c:pt idx="38">
                  <c:v>7.5132252446098775</c:v>
                </c:pt>
                <c:pt idx="39">
                  <c:v>7.8703232134936716</c:v>
                </c:pt>
                <c:pt idx="40">
                  <c:v>8.2347716352518709</c:v>
                </c:pt>
                <c:pt idx="41">
                  <c:v>8.6065336281254741</c:v>
                </c:pt>
                <c:pt idx="42">
                  <c:v>8.9855733936833904</c:v>
                </c:pt>
                <c:pt idx="43">
                  <c:v>9.3718561598709549</c:v>
                </c:pt>
                <c:pt idx="44">
                  <c:v>9.7653481283122279</c:v>
                </c:pt>
                <c:pt idx="45">
                  <c:v>10.166016425458578</c:v>
                </c:pt>
                <c:pt idx="46">
                  <c:v>10.573829057223147</c:v>
                </c:pt>
                <c:pt idx="47">
                  <c:v>10.988754866782017</c:v>
                </c:pt>
                <c:pt idx="48">
                  <c:v>11.410763495257884</c:v>
                </c:pt>
                <c:pt idx="49">
                  <c:v>11.839825345033361</c:v>
                </c:pt>
                <c:pt idx="50">
                  <c:v>12.275911545467658</c:v>
                </c:pt>
                <c:pt idx="51">
                  <c:v>12.718993920814217</c:v>
                </c:pt>
                <c:pt idx="52">
                  <c:v>13.169044960157368</c:v>
                </c:pt>
                <c:pt idx="53">
                  <c:v>13.626037789204556</c:v>
                </c:pt>
                <c:pt idx="54">
                  <c:v>14.089946143786511</c:v>
                </c:pt>
                <c:pt idx="55">
                  <c:v>14.560744344932321</c:v>
                </c:pt>
                <c:pt idx="56">
                  <c:v>15.038407275398583</c:v>
                </c:pt>
                <c:pt idx="57">
                  <c:v>15.522910357543514</c:v>
                </c:pt>
                <c:pt idx="58">
                  <c:v>16.014229532446368</c:v>
                </c:pt>
                <c:pt idx="59">
                  <c:v>16.512341240182018</c:v>
                </c:pt>
                <c:pt idx="60">
                  <c:v>17.017222401168052</c:v>
                </c:pt>
                <c:pt idx="61">
                  <c:v>17.528850398509245</c:v>
                </c:pt>
                <c:pt idx="62">
                  <c:v>18.04720306127042</c:v>
                </c:pt>
                <c:pt idx="63">
                  <c:v>18.572258648614842</c:v>
                </c:pt>
                <c:pt idx="64">
                  <c:v>19.103995834750091</c:v>
                </c:pt>
                <c:pt idx="65">
                  <c:v>19.642393694628492</c:v>
                </c:pt>
                <c:pt idx="66">
                  <c:v>20.187431690353108</c:v>
                </c:pt>
                <c:pt idx="67">
                  <c:v>20.7390896582442</c:v>
                </c:pt>
                <c:pt idx="68">
                  <c:v>21.297347796525067</c:v>
                </c:pt>
                <c:pt idx="69">
                  <c:v>21.862186653588338</c:v>
                </c:pt>
                <c:pt idx="70">
                  <c:v>22.4335871168078</c:v>
                </c:pt>
                <c:pt idx="71">
                  <c:v>23.01153040186265</c:v>
                </c:pt>
                <c:pt idx="72">
                  <c:v>23.595998042544004</c:v>
                </c:pt>
                <c:pt idx="73">
                  <c:v>24.186971881015346</c:v>
                </c:pt>
                <c:pt idx="74">
                  <c:v>24.784434058500732</c:v>
                </c:pt>
                <c:pt idx="75">
                  <c:v>25.388367006376537</c:v>
                </c:pt>
                <c:pt idx="76">
                  <c:v>25.998753437643987</c:v>
                </c:pt>
                <c:pt idx="77">
                  <c:v>26.615576338761421</c:v>
                </c:pt>
                <c:pt idx="78">
                  <c:v>27.238818961816769</c:v>
                </c:pt>
                <c:pt idx="79">
                  <c:v>27.868464817021525</c:v>
                </c:pt>
                <c:pt idx="80">
                  <c:v>28.504497665509554</c:v>
                </c:pt>
                <c:pt idx="81">
                  <c:v>29.146901512424364</c:v>
                </c:pt>
                <c:pt idx="82">
                  <c:v>29.795660600279973</c:v>
                </c:pt>
                <c:pt idx="83">
                  <c:v>30.450759402581305</c:v>
                </c:pt>
                <c:pt idx="84">
                  <c:v>31.112182617691037</c:v>
                </c:pt>
                <c:pt idx="85">
                  <c:v>31.779915162930521</c:v>
                </c:pt>
                <c:pt idx="86">
                  <c:v>32.453942168903012</c:v>
                </c:pt>
                <c:pt idx="87">
                  <c:v>33.134248974028594</c:v>
                </c:pt>
                <c:pt idx="88">
                  <c:v>33.820821119280552</c:v>
                </c:pt>
                <c:pt idx="89">
                  <c:v>34.513644343113228</c:v>
                </c:pt>
                <c:pt idx="90">
                  <c:v>35.212704576572783</c:v>
                </c:pt>
                <c:pt idx="91">
                  <c:v>35.917987938581796</c:v>
                </c:pt>
                <c:pt idx="92">
                  <c:v>36.629480731390352</c:v>
                </c:pt>
                <c:pt idx="93">
                  <c:v>37.347169436185162</c:v>
                </c:pt>
                <c:pt idx="94">
                  <c:v>38.07104070885034</c:v>
                </c:pt>
                <c:pt idx="95">
                  <c:v>38.801081375872414</c:v>
                </c:pt>
                <c:pt idx="96">
                  <c:v>39.537278430383822</c:v>
                </c:pt>
                <c:pt idx="97">
                  <c:v>40.279619028338253</c:v>
                </c:pt>
                <c:pt idx="98">
                  <c:v>41.02809048481236</c:v>
                </c:pt>
                <c:pt idx="99">
                  <c:v>41.782680270428493</c:v>
                </c:pt>
                <c:pt idx="100">
                  <c:v>42.543376007893215</c:v>
                </c:pt>
                <c:pt idx="101">
                  <c:v>43.310165468646737</c:v>
                </c:pt>
                <c:pt idx="102">
                  <c:v>44.083036569618606</c:v>
                </c:pt>
                <c:pt idx="103">
                  <c:v>44.861977370085334</c:v>
                </c:pt>
                <c:pt idx="104">
                  <c:v>45.646976068625953</c:v>
                </c:pt>
                <c:pt idx="105">
                  <c:v>46.438021000171091</c:v>
                </c:pt>
                <c:pt idx="106">
                  <c:v>47.235100633142359</c:v>
                </c:pt>
                <c:pt idx="107">
                  <c:v>48.038203566677971</c:v>
                </c:pt>
                <c:pt idx="108">
                  <c:v>48.847318527941759</c:v>
                </c:pt>
                <c:pt idx="109">
                  <c:v>49.662434369511722</c:v>
                </c:pt>
                <c:pt idx="110">
                  <c:v>50.483540066845499</c:v>
                </c:pt>
                <c:pt idx="111">
                  <c:v>51.310624715819628</c:v>
                </c:pt>
                <c:pt idx="112">
                  <c:v>52.143677530339914</c:v>
                </c:pt>
                <c:pt idx="113">
                  <c:v>52.982687840019992</c:v>
                </c:pt>
                <c:pt idx="114">
                  <c:v>53.827645087925845</c:v>
                </c:pt>
                <c:pt idx="115">
                  <c:v>54.678538828383758</c:v>
                </c:pt>
                <c:pt idx="116">
                  <c:v>55.535358724849146</c:v>
                </c:pt>
                <c:pt idx="117">
                  <c:v>56.398094547834454</c:v>
                </c:pt>
                <c:pt idx="118">
                  <c:v>57.26673617289368</c:v>
                </c:pt>
                <c:pt idx="119">
                  <c:v>58.141273578661597</c:v>
                </c:pt>
                <c:pt idx="120">
                  <c:v>59.021696844945957</c:v>
                </c:pt>
                <c:pt idx="121">
                  <c:v>59.907996150870325</c:v>
                </c:pt>
                <c:pt idx="122">
                  <c:v>60.800161773066343</c:v>
                </c:pt>
                <c:pt idx="123">
                  <c:v>61.698184083913389</c:v>
                </c:pt>
                <c:pt idx="124">
                  <c:v>62.602053549824014</c:v>
                </c:pt>
                <c:pt idx="125">
                  <c:v>63.511760729573787</c:v>
                </c:pt>
                <c:pt idx="126">
                  <c:v>64.427296272673814</c:v>
                </c:pt>
                <c:pt idx="127">
                  <c:v>65.348650917784795</c:v>
                </c:pt>
                <c:pt idx="128">
                  <c:v>66.275815491171031</c:v>
                </c:pt>
                <c:pt idx="129">
                  <c:v>67.208780905192867</c:v>
                </c:pt>
                <c:pt idx="130">
                  <c:v>68.147538156837143</c:v>
                </c:pt>
                <c:pt idx="131">
                  <c:v>69.092078326283271</c:v>
                </c:pt>
                <c:pt idx="132">
                  <c:v>70.042392575504721</c:v>
                </c:pt>
                <c:pt idx="133">
                  <c:v>70.998472146904263</c:v>
                </c:pt>
                <c:pt idx="134">
                  <c:v>71.960308361982271</c:v>
                </c:pt>
                <c:pt idx="135">
                  <c:v>72.927892620036729</c:v>
                </c:pt>
                <c:pt idx="136">
                  <c:v>73.901216396894057</c:v>
                </c:pt>
                <c:pt idx="137">
                  <c:v>74.880271243669995</c:v>
                </c:pt>
                <c:pt idx="138">
                  <c:v>75.865048785559168</c:v>
                </c:pt>
                <c:pt idx="139">
                  <c:v>76.855540720653124</c:v>
                </c:pt>
                <c:pt idx="140">
                  <c:v>77.851738818785279</c:v>
                </c:pt>
                <c:pt idx="141">
                  <c:v>78.853634920402527</c:v>
                </c:pt>
                <c:pt idx="142">
                  <c:v>79.861220935462228</c:v>
                </c:pt>
                <c:pt idx="143">
                  <c:v>80.874488842354509</c:v>
                </c:pt>
                <c:pt idx="144">
                  <c:v>81.893430686848134</c:v>
                </c:pt>
                <c:pt idx="145">
                  <c:v>82.918038581060287</c:v>
                </c:pt>
                <c:pt idx="146">
                  <c:v>83.948304702448894</c:v>
                </c:pt>
                <c:pt idx="147">
                  <c:v>84.984221292827101</c:v>
                </c:pt>
                <c:pt idx="148">
                  <c:v>86.025780657399267</c:v>
                </c:pt>
                <c:pt idx="149">
                  <c:v>87.072975163817631</c:v>
                </c:pt>
                <c:pt idx="150">
                  <c:v>88.125797241259662</c:v>
                </c:pt>
                <c:pt idx="151">
                  <c:v>89.184239379524612</c:v>
                </c:pt>
                <c:pt idx="152">
                  <c:v>90.24829412814961</c:v>
                </c:pt>
                <c:pt idx="153">
                  <c:v>91.31795409554428</c:v>
                </c:pt>
                <c:pt idx="154">
                  <c:v>92.393211948143232</c:v>
                </c:pt>
                <c:pt idx="155">
                  <c:v>93.474060409576666</c:v>
                </c:pt>
                <c:pt idx="156">
                  <c:v>94.560492259857568</c:v>
                </c:pt>
                <c:pt idx="157">
                  <c:v>95.652500334586136</c:v>
                </c:pt>
                <c:pt idx="158">
                  <c:v>96.750077524169924</c:v>
                </c:pt>
                <c:pt idx="159">
                  <c:v>97.853216773060183</c:v>
                </c:pt>
                <c:pt idx="160">
                  <c:v>98.961911079003414</c:v>
                </c:pt>
                <c:pt idx="161">
                  <c:v>100.07615349230784</c:v>
                </c:pt>
                <c:pt idx="162">
                  <c:v>101.19593711512465</c:v>
                </c:pt>
                <c:pt idx="163">
                  <c:v>102.32125510074336</c:v>
                </c:pt>
                <c:pt idx="164">
                  <c:v>103.45210065290087</c:v>
                </c:pt>
                <c:pt idx="165">
                  <c:v>104.58846702510438</c:v>
                </c:pt>
                <c:pt idx="166">
                  <c:v>105.73034751996711</c:v>
                </c:pt>
                <c:pt idx="167">
                  <c:v>106.87773548855694</c:v>
                </c:pt>
                <c:pt idx="168">
                  <c:v>108.03062432975756</c:v>
                </c:pt>
                <c:pt idx="169">
                  <c:v>109.18900748964191</c:v>
                </c:pt>
                <c:pt idx="170">
                  <c:v>110.3528784608572</c:v>
                </c:pt>
                <c:pt idx="171">
                  <c:v>111.52223078202192</c:v>
                </c:pt>
                <c:pt idx="172">
                  <c:v>112.69705803713357</c:v>
                </c:pt>
                <c:pt idx="173">
                  <c:v>113.87735385498817</c:v>
                </c:pt>
                <c:pt idx="174">
                  <c:v>115.06311190860993</c:v>
                </c:pt>
                <c:pt idx="175">
                  <c:v>116.25432591469146</c:v>
                </c:pt>
                <c:pt idx="176">
                  <c:v>117.45098963304466</c:v>
                </c:pt>
                <c:pt idx="177">
                  <c:v>118.65309686606101</c:v>
                </c:pt>
                <c:pt idx="178">
                  <c:v>119.86064145818214</c:v>
                </c:pt>
                <c:pt idx="179">
                  <c:v>121.07361729537968</c:v>
                </c:pt>
                <c:pt idx="180">
                  <c:v>122.29201830464419</c:v>
                </c:pt>
                <c:pt idx="181">
                  <c:v>123.51583845348384</c:v>
                </c:pt>
                <c:pt idx="182">
                  <c:v>124.74507174943126</c:v>
                </c:pt>
                <c:pt idx="183">
                  <c:v>125.97971223955943</c:v>
                </c:pt>
                <c:pt idx="184">
                  <c:v>127.21975401000604</c:v>
                </c:pt>
                <c:pt idx="185">
                  <c:v>128.46519118550603</c:v>
                </c:pt>
                <c:pt idx="186">
                  <c:v>129.71601792893219</c:v>
                </c:pt>
                <c:pt idx="187">
                  <c:v>130.97222844084382</c:v>
                </c:pt>
                <c:pt idx="188">
                  <c:v>132.23381695904294</c:v>
                </c:pt>
                <c:pt idx="189">
                  <c:v>133.50077775813833</c:v>
                </c:pt>
                <c:pt idx="190">
                  <c:v>134.77310514911656</c:v>
                </c:pt>
                <c:pt idx="191">
                  <c:v>136.05079347892061</c:v>
                </c:pt>
                <c:pt idx="192">
                  <c:v>137.33383713003533</c:v>
                </c:pt>
                <c:pt idx="193">
                  <c:v>138.62223052008005</c:v>
                </c:pt>
                <c:pt idx="194">
                  <c:v>139.91596810140751</c:v>
                </c:pt>
                <c:pt idx="195">
                  <c:v>141.21504436071012</c:v>
                </c:pt>
                <c:pt idx="196">
                  <c:v>142.5194538186318</c:v>
                </c:pt>
                <c:pt idx="197">
                  <c:v>143.82919102938692</c:v>
                </c:pt>
                <c:pt idx="198">
                  <c:v>145.14425058038509</c:v>
                </c:pt>
                <c:pt idx="199">
                  <c:v>146.4646270918621</c:v>
                </c:pt>
                <c:pt idx="200">
                  <c:v>147.79031521651657</c:v>
                </c:pt>
                <c:pt idx="201">
                  <c:v>149.12130963915291</c:v>
                </c:pt>
                <c:pt idx="202">
                  <c:v>150.4576050763294</c:v>
                </c:pt>
                <c:pt idx="203">
                  <c:v>151.79919627601234</c:v>
                </c:pt>
                <c:pt idx="204">
                  <c:v>153.1460780172352</c:v>
                </c:pt>
                <c:pt idx="205">
                  <c:v>154.49824510976364</c:v>
                </c:pt>
                <c:pt idx="206">
                  <c:v>155.85569239376528</c:v>
                </c:pt>
                <c:pt idx="207">
                  <c:v>157.21841473948484</c:v>
                </c:pt>
                <c:pt idx="208">
                  <c:v>158.58640704692431</c:v>
                </c:pt>
                <c:pt idx="209">
                  <c:v>159.9596642455279</c:v>
                </c:pt>
                <c:pt idx="210">
                  <c:v>161.3381812938722</c:v>
                </c:pt>
                <c:pt idx="211">
                  <c:v>162.72195317936038</c:v>
                </c:pt>
                <c:pt idx="212">
                  <c:v>164.11097491792171</c:v>
                </c:pt>
                <c:pt idx="213">
                  <c:v>165.50524155371525</c:v>
                </c:pt>
                <c:pt idx="214">
                  <c:v>166.90474815883812</c:v>
                </c:pt>
                <c:pt idx="215">
                  <c:v>168.30948983303813</c:v>
                </c:pt>
                <c:pt idx="216">
                  <c:v>169.71946170343051</c:v>
                </c:pt>
                <c:pt idx="217">
                  <c:v>171.1346589242192</c:v>
                </c:pt>
                <c:pt idx="218">
                  <c:v>172.55507667642186</c:v>
                </c:pt>
                <c:pt idx="219">
                  <c:v>173.9807101675994</c:v>
                </c:pt>
                <c:pt idx="220">
                  <c:v>175.41155463158864</c:v>
                </c:pt>
                <c:pt idx="221">
                  <c:v>176.84760532823992</c:v>
                </c:pt>
                <c:pt idx="222">
                  <c:v>178.28885754315772</c:v>
                </c:pt>
                <c:pt idx="223">
                  <c:v>179.73530658744528</c:v>
                </c:pt>
                <c:pt idx="224">
                  <c:v>181.18694779745297</c:v>
                </c:pt>
                <c:pt idx="225">
                  <c:v>182.64377653453019</c:v>
                </c:pt>
                <c:pt idx="226">
                  <c:v>184.10578818478069</c:v>
                </c:pt>
                <c:pt idx="227">
                  <c:v>185.57297815882154</c:v>
                </c:pt>
                <c:pt idx="228">
                  <c:v>187.04534189154523</c:v>
                </c:pt>
                <c:pt idx="229">
                  <c:v>188.5228748418856</c:v>
                </c:pt>
                <c:pt idx="230">
                  <c:v>190.00557249258651</c:v>
                </c:pt>
                <c:pt idx="231">
                  <c:v>191.49343034997406</c:v>
                </c:pt>
                <c:pt idx="232">
                  <c:v>192.98644394373179</c:v>
                </c:pt>
                <c:pt idx="233">
                  <c:v>194.48460882667902</c:v>
                </c:pt>
                <c:pt idx="234">
                  <c:v>195.9879205745525</c:v>
                </c:pt>
                <c:pt idx="235">
                  <c:v>197.49637478579058</c:v>
                </c:pt>
                <c:pt idx="236">
                  <c:v>199.00996708132058</c:v>
                </c:pt>
                <c:pt idx="237">
                  <c:v>200.52869310434923</c:v>
                </c:pt>
                <c:pt idx="238">
                  <c:v>202.05254852015548</c:v>
                </c:pt>
                <c:pt idx="239">
                  <c:v>203.5815290158865</c:v>
                </c:pt>
                <c:pt idx="240">
                  <c:v>205.11563030035632</c:v>
                </c:pt>
                <c:pt idx="241">
                  <c:v>206.65484810384692</c:v>
                </c:pt>
                <c:pt idx="242">
                  <c:v>208.1991781779123</c:v>
                </c:pt>
                <c:pt idx="243">
                  <c:v>209.748616295185</c:v>
                </c:pt>
                <c:pt idx="244">
                  <c:v>211.30315824918492</c:v>
                </c:pt>
                <c:pt idx="245">
                  <c:v>212.86279985413125</c:v>
                </c:pt>
                <c:pt idx="246">
                  <c:v>214.42753694475618</c:v>
                </c:pt>
                <c:pt idx="247">
                  <c:v>215.99736537612154</c:v>
                </c:pt>
                <c:pt idx="248">
                  <c:v>217.5722810234376</c:v>
                </c:pt>
                <c:pt idx="249">
                  <c:v>219.15227978188406</c:v>
                </c:pt>
                <c:pt idx="250">
                  <c:v>220.73735756643384</c:v>
                </c:pt>
                <c:pt idx="251">
                  <c:v>222.32751031167851</c:v>
                </c:pt>
                <c:pt idx="252">
                  <c:v>223.92273397165627</c:v>
                </c:pt>
                <c:pt idx="253">
                  <c:v>225.52302451968239</c:v>
                </c:pt>
                <c:pt idx="254">
                  <c:v>227.12837794818103</c:v>
                </c:pt>
                <c:pt idx="255">
                  <c:v>228.30895999999998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69-4947-B7DF-F11DCC713BAC}"/>
            </c:ext>
          </c:extLst>
        </c:ser>
        <c:ser>
          <c:idx val="3"/>
          <c:order val="3"/>
          <c:tx>
            <c:strRef>
              <c:f>'Gamma 1.8 5400K'!$F$16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1.8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1.8 5400K'!$F$17:$F$272</c:f>
              <c:numCache>
                <c:formatCode>General</c:formatCode>
                <c:ptCount val="256"/>
                <c:pt idx="0">
                  <c:v>0.2666</c:v>
                </c:pt>
                <c:pt idx="1">
                  <c:v>0.28120000000000001</c:v>
                </c:pt>
                <c:pt idx="2">
                  <c:v>0.29399999999999998</c:v>
                </c:pt>
                <c:pt idx="3">
                  <c:v>0.31259999999999999</c:v>
                </c:pt>
                <c:pt idx="4">
                  <c:v>0.32690000000000002</c:v>
                </c:pt>
                <c:pt idx="5">
                  <c:v>0.3604</c:v>
                </c:pt>
                <c:pt idx="6">
                  <c:v>0.3997</c:v>
                </c:pt>
                <c:pt idx="7">
                  <c:v>0.46800000000000003</c:v>
                </c:pt>
                <c:pt idx="8">
                  <c:v>0.51570000000000005</c:v>
                </c:pt>
                <c:pt idx="9">
                  <c:v>0.60629999999999995</c:v>
                </c:pt>
                <c:pt idx="10">
                  <c:v>0.70799999999999996</c:v>
                </c:pt>
                <c:pt idx="11">
                  <c:v>0.83079999999999998</c:v>
                </c:pt>
                <c:pt idx="12">
                  <c:v>0.90959999999999996</c:v>
                </c:pt>
                <c:pt idx="13">
                  <c:v>1.1049</c:v>
                </c:pt>
                <c:pt idx="14">
                  <c:v>1.1813</c:v>
                </c:pt>
                <c:pt idx="15">
                  <c:v>1.3738999999999999</c:v>
                </c:pt>
                <c:pt idx="16">
                  <c:v>1.4823999999999999</c:v>
                </c:pt>
                <c:pt idx="17">
                  <c:v>1.6594</c:v>
                </c:pt>
                <c:pt idx="18">
                  <c:v>1.7672000000000001</c:v>
                </c:pt>
                <c:pt idx="19">
                  <c:v>1.9650000000000001</c:v>
                </c:pt>
                <c:pt idx="20">
                  <c:v>2.1566999999999998</c:v>
                </c:pt>
                <c:pt idx="21">
                  <c:v>2.2599</c:v>
                </c:pt>
                <c:pt idx="22">
                  <c:v>2.5156000000000001</c:v>
                </c:pt>
                <c:pt idx="23">
                  <c:v>2.6802999999999999</c:v>
                </c:pt>
                <c:pt idx="24">
                  <c:v>2.8698000000000001</c:v>
                </c:pt>
                <c:pt idx="25">
                  <c:v>3.1625000000000001</c:v>
                </c:pt>
                <c:pt idx="26">
                  <c:v>3.3738999999999999</c:v>
                </c:pt>
                <c:pt idx="27">
                  <c:v>3.5303</c:v>
                </c:pt>
                <c:pt idx="28">
                  <c:v>3.7353000000000001</c:v>
                </c:pt>
                <c:pt idx="29">
                  <c:v>4.0715000000000003</c:v>
                </c:pt>
                <c:pt idx="30">
                  <c:v>4.3173000000000004</c:v>
                </c:pt>
                <c:pt idx="31">
                  <c:v>4.4786000000000001</c:v>
                </c:pt>
                <c:pt idx="32">
                  <c:v>4.9112</c:v>
                </c:pt>
                <c:pt idx="33">
                  <c:v>5.2508999999999997</c:v>
                </c:pt>
                <c:pt idx="34">
                  <c:v>5.4687000000000001</c:v>
                </c:pt>
                <c:pt idx="35">
                  <c:v>5.6577000000000002</c:v>
                </c:pt>
                <c:pt idx="36">
                  <c:v>6.2013999999999996</c:v>
                </c:pt>
                <c:pt idx="37">
                  <c:v>6.5105000000000004</c:v>
                </c:pt>
                <c:pt idx="38">
                  <c:v>6.8326000000000002</c:v>
                </c:pt>
                <c:pt idx="39">
                  <c:v>7.0918999999999999</c:v>
                </c:pt>
                <c:pt idx="40">
                  <c:v>7.3939000000000004</c:v>
                </c:pt>
                <c:pt idx="41">
                  <c:v>8.0195000000000007</c:v>
                </c:pt>
                <c:pt idx="42">
                  <c:v>8.2986000000000004</c:v>
                </c:pt>
                <c:pt idx="43">
                  <c:v>8.6845999999999997</c:v>
                </c:pt>
                <c:pt idx="44">
                  <c:v>9.0174000000000003</c:v>
                </c:pt>
                <c:pt idx="45">
                  <c:v>9.3106000000000009</c:v>
                </c:pt>
                <c:pt idx="46">
                  <c:v>9.7331000000000003</c:v>
                </c:pt>
                <c:pt idx="47">
                  <c:v>10.448399999999999</c:v>
                </c:pt>
                <c:pt idx="48">
                  <c:v>10.8508</c:v>
                </c:pt>
                <c:pt idx="49">
                  <c:v>11.1561</c:v>
                </c:pt>
                <c:pt idx="50">
                  <c:v>11.6107</c:v>
                </c:pt>
                <c:pt idx="51">
                  <c:v>11.920500000000001</c:v>
                </c:pt>
                <c:pt idx="52">
                  <c:v>12.4079</c:v>
                </c:pt>
                <c:pt idx="53">
                  <c:v>12.8384</c:v>
                </c:pt>
                <c:pt idx="54">
                  <c:v>13.271599999999999</c:v>
                </c:pt>
                <c:pt idx="55">
                  <c:v>13.589499999999999</c:v>
                </c:pt>
                <c:pt idx="56">
                  <c:v>14.180099999999999</c:v>
                </c:pt>
                <c:pt idx="57">
                  <c:v>14.6457</c:v>
                </c:pt>
                <c:pt idx="58">
                  <c:v>15.087</c:v>
                </c:pt>
                <c:pt idx="59">
                  <c:v>15.651</c:v>
                </c:pt>
                <c:pt idx="60">
                  <c:v>16.008400000000002</c:v>
                </c:pt>
                <c:pt idx="61">
                  <c:v>16.5929</c:v>
                </c:pt>
                <c:pt idx="62">
                  <c:v>17.020499999999998</c:v>
                </c:pt>
                <c:pt idx="63">
                  <c:v>17.584099999999999</c:v>
                </c:pt>
                <c:pt idx="64">
                  <c:v>18.2194</c:v>
                </c:pt>
                <c:pt idx="65">
                  <c:v>18.669</c:v>
                </c:pt>
                <c:pt idx="66">
                  <c:v>19.157599999999999</c:v>
                </c:pt>
                <c:pt idx="67">
                  <c:v>19.6692</c:v>
                </c:pt>
                <c:pt idx="68">
                  <c:v>20.106200000000001</c:v>
                </c:pt>
                <c:pt idx="69">
                  <c:v>20.745899999999999</c:v>
                </c:pt>
                <c:pt idx="70">
                  <c:v>21.277999999999999</c:v>
                </c:pt>
                <c:pt idx="71">
                  <c:v>21.8691</c:v>
                </c:pt>
                <c:pt idx="72">
                  <c:v>22.383500000000002</c:v>
                </c:pt>
                <c:pt idx="73">
                  <c:v>22.935700000000001</c:v>
                </c:pt>
                <c:pt idx="74">
                  <c:v>23.679500000000001</c:v>
                </c:pt>
                <c:pt idx="75">
                  <c:v>24.182300000000001</c:v>
                </c:pt>
                <c:pt idx="76">
                  <c:v>24.586099999999998</c:v>
                </c:pt>
                <c:pt idx="77">
                  <c:v>25.306000000000001</c:v>
                </c:pt>
                <c:pt idx="78">
                  <c:v>25.854900000000001</c:v>
                </c:pt>
                <c:pt idx="79">
                  <c:v>26.055299999999999</c:v>
                </c:pt>
                <c:pt idx="80">
                  <c:v>26.8231</c:v>
                </c:pt>
                <c:pt idx="81">
                  <c:v>27.351299999999998</c:v>
                </c:pt>
                <c:pt idx="82">
                  <c:v>27.9023</c:v>
                </c:pt>
                <c:pt idx="83">
                  <c:v>28.487200000000001</c:v>
                </c:pt>
                <c:pt idx="84">
                  <c:v>28.9634</c:v>
                </c:pt>
                <c:pt idx="85">
                  <c:v>29.1341</c:v>
                </c:pt>
                <c:pt idx="86">
                  <c:v>29.770299999999999</c:v>
                </c:pt>
                <c:pt idx="87">
                  <c:v>30.564499999999999</c:v>
                </c:pt>
                <c:pt idx="88">
                  <c:v>31.1846</c:v>
                </c:pt>
                <c:pt idx="89">
                  <c:v>31.731999999999999</c:v>
                </c:pt>
                <c:pt idx="90">
                  <c:v>31.9695</c:v>
                </c:pt>
                <c:pt idx="91">
                  <c:v>32.596600000000002</c:v>
                </c:pt>
                <c:pt idx="92">
                  <c:v>33.398499999999999</c:v>
                </c:pt>
                <c:pt idx="93">
                  <c:v>34.035400000000003</c:v>
                </c:pt>
                <c:pt idx="94">
                  <c:v>34.669499999999999</c:v>
                </c:pt>
                <c:pt idx="95">
                  <c:v>35.563600000000001</c:v>
                </c:pt>
                <c:pt idx="96">
                  <c:v>35.759599999999999</c:v>
                </c:pt>
                <c:pt idx="97">
                  <c:v>36.454500000000003</c:v>
                </c:pt>
                <c:pt idx="98">
                  <c:v>37.115400000000001</c:v>
                </c:pt>
                <c:pt idx="99">
                  <c:v>37.757800000000003</c:v>
                </c:pt>
                <c:pt idx="100">
                  <c:v>38.447899999999997</c:v>
                </c:pt>
                <c:pt idx="101">
                  <c:v>39.259700000000002</c:v>
                </c:pt>
                <c:pt idx="102">
                  <c:v>39.939</c:v>
                </c:pt>
                <c:pt idx="103">
                  <c:v>40.608199999999997</c:v>
                </c:pt>
                <c:pt idx="104">
                  <c:v>40.841799999999999</c:v>
                </c:pt>
                <c:pt idx="105">
                  <c:v>41.831899999999997</c:v>
                </c:pt>
                <c:pt idx="106">
                  <c:v>42.553699999999999</c:v>
                </c:pt>
                <c:pt idx="107">
                  <c:v>43.253799999999998</c:v>
                </c:pt>
                <c:pt idx="108">
                  <c:v>44.207999999999998</c:v>
                </c:pt>
                <c:pt idx="109">
                  <c:v>44.9054</c:v>
                </c:pt>
                <c:pt idx="110">
                  <c:v>45.910400000000003</c:v>
                </c:pt>
                <c:pt idx="111">
                  <c:v>46.638199999999998</c:v>
                </c:pt>
                <c:pt idx="112">
                  <c:v>46.8596</c:v>
                </c:pt>
                <c:pt idx="113">
                  <c:v>47.601199999999999</c:v>
                </c:pt>
                <c:pt idx="114">
                  <c:v>48.616999999999997</c:v>
                </c:pt>
                <c:pt idx="115">
                  <c:v>49.383000000000003</c:v>
                </c:pt>
                <c:pt idx="116">
                  <c:v>50.137099999999997</c:v>
                </c:pt>
                <c:pt idx="117">
                  <c:v>51.163400000000003</c:v>
                </c:pt>
                <c:pt idx="118">
                  <c:v>51.927399999999999</c:v>
                </c:pt>
                <c:pt idx="119">
                  <c:v>52.709099999999999</c:v>
                </c:pt>
                <c:pt idx="120">
                  <c:v>53.484999999999999</c:v>
                </c:pt>
                <c:pt idx="121">
                  <c:v>53.731299999999997</c:v>
                </c:pt>
                <c:pt idx="122">
                  <c:v>54.804400000000001</c:v>
                </c:pt>
                <c:pt idx="123">
                  <c:v>55.6342</c:v>
                </c:pt>
                <c:pt idx="124">
                  <c:v>56.438600000000001</c:v>
                </c:pt>
                <c:pt idx="125">
                  <c:v>57.528199999999998</c:v>
                </c:pt>
                <c:pt idx="126">
                  <c:v>58.395299999999999</c:v>
                </c:pt>
                <c:pt idx="127">
                  <c:v>59.522100000000002</c:v>
                </c:pt>
                <c:pt idx="128">
                  <c:v>60.433900000000001</c:v>
                </c:pt>
                <c:pt idx="129">
                  <c:v>61.276600000000002</c:v>
                </c:pt>
                <c:pt idx="130">
                  <c:v>61.557699999999997</c:v>
                </c:pt>
                <c:pt idx="131">
                  <c:v>62.753399999999999</c:v>
                </c:pt>
                <c:pt idx="132">
                  <c:v>63.651400000000002</c:v>
                </c:pt>
                <c:pt idx="133">
                  <c:v>64.532399999999996</c:v>
                </c:pt>
                <c:pt idx="134">
                  <c:v>65.472300000000004</c:v>
                </c:pt>
                <c:pt idx="135">
                  <c:v>66.631</c:v>
                </c:pt>
                <c:pt idx="136">
                  <c:v>67.641099999999994</c:v>
                </c:pt>
                <c:pt idx="137">
                  <c:v>67.952699999999993</c:v>
                </c:pt>
                <c:pt idx="138">
                  <c:v>69.025999999999996</c:v>
                </c:pt>
                <c:pt idx="139">
                  <c:v>70.3673</c:v>
                </c:pt>
                <c:pt idx="140">
                  <c:v>71.354500000000002</c:v>
                </c:pt>
                <c:pt idx="141">
                  <c:v>72.313100000000006</c:v>
                </c:pt>
                <c:pt idx="142">
                  <c:v>73.588999999999999</c:v>
                </c:pt>
                <c:pt idx="143">
                  <c:v>73.560599999999994</c:v>
                </c:pt>
                <c:pt idx="144">
                  <c:v>74.479299999999995</c:v>
                </c:pt>
                <c:pt idx="145">
                  <c:v>75.751199999999997</c:v>
                </c:pt>
                <c:pt idx="146">
                  <c:v>76.805000000000007</c:v>
                </c:pt>
                <c:pt idx="147">
                  <c:v>77.750399999999999</c:v>
                </c:pt>
                <c:pt idx="148">
                  <c:v>78.011600000000001</c:v>
                </c:pt>
                <c:pt idx="149">
                  <c:v>79.012500000000003</c:v>
                </c:pt>
                <c:pt idx="150">
                  <c:v>80.198400000000007</c:v>
                </c:pt>
                <c:pt idx="151">
                  <c:v>81.6798</c:v>
                </c:pt>
                <c:pt idx="152">
                  <c:v>82.713800000000006</c:v>
                </c:pt>
                <c:pt idx="153">
                  <c:v>83.061499999999995</c:v>
                </c:pt>
                <c:pt idx="154">
                  <c:v>84.087900000000005</c:v>
                </c:pt>
                <c:pt idx="155">
                  <c:v>85.150499999999994</c:v>
                </c:pt>
                <c:pt idx="156">
                  <c:v>86.222200000000001</c:v>
                </c:pt>
                <c:pt idx="157">
                  <c:v>86.461600000000004</c:v>
                </c:pt>
                <c:pt idx="158">
                  <c:v>87.535200000000003</c:v>
                </c:pt>
                <c:pt idx="159">
                  <c:v>88.957700000000003</c:v>
                </c:pt>
                <c:pt idx="160">
                  <c:v>90.066199999999995</c:v>
                </c:pt>
                <c:pt idx="161">
                  <c:v>90.154200000000003</c:v>
                </c:pt>
                <c:pt idx="162">
                  <c:v>91.570700000000002</c:v>
                </c:pt>
                <c:pt idx="163">
                  <c:v>92.704700000000003</c:v>
                </c:pt>
                <c:pt idx="164">
                  <c:v>93.801299999999998</c:v>
                </c:pt>
                <c:pt idx="165">
                  <c:v>95.312200000000004</c:v>
                </c:pt>
                <c:pt idx="166">
                  <c:v>95.622500000000002</c:v>
                </c:pt>
                <c:pt idx="167">
                  <c:v>96.674800000000005</c:v>
                </c:pt>
                <c:pt idx="168">
                  <c:v>97.779899999999998</c:v>
                </c:pt>
                <c:pt idx="169">
                  <c:v>99.090299999999999</c:v>
                </c:pt>
                <c:pt idx="170">
                  <c:v>100.21299999999999</c:v>
                </c:pt>
                <c:pt idx="171">
                  <c:v>100.6572</c:v>
                </c:pt>
                <c:pt idx="172">
                  <c:v>102.21599999999999</c:v>
                </c:pt>
                <c:pt idx="173">
                  <c:v>103.3159</c:v>
                </c:pt>
                <c:pt idx="174">
                  <c:v>104.1024</c:v>
                </c:pt>
                <c:pt idx="175">
                  <c:v>104.4637</c:v>
                </c:pt>
                <c:pt idx="176">
                  <c:v>105.8869</c:v>
                </c:pt>
                <c:pt idx="177">
                  <c:v>107.114</c:v>
                </c:pt>
                <c:pt idx="178">
                  <c:v>108.7611</c:v>
                </c:pt>
                <c:pt idx="179">
                  <c:v>108.8172</c:v>
                </c:pt>
                <c:pt idx="180">
                  <c:v>110.434</c:v>
                </c:pt>
                <c:pt idx="181">
                  <c:v>111.27670000000001</c:v>
                </c:pt>
                <c:pt idx="182">
                  <c:v>112.79689999999999</c:v>
                </c:pt>
                <c:pt idx="183">
                  <c:v>113.1365</c:v>
                </c:pt>
                <c:pt idx="184">
                  <c:v>114.3994</c:v>
                </c:pt>
                <c:pt idx="185">
                  <c:v>115.6649</c:v>
                </c:pt>
                <c:pt idx="186">
                  <c:v>117.2728</c:v>
                </c:pt>
                <c:pt idx="187">
                  <c:v>118.4521</c:v>
                </c:pt>
                <c:pt idx="188">
                  <c:v>119.01779999999999</c:v>
                </c:pt>
                <c:pt idx="189">
                  <c:v>119.80970000000001</c:v>
                </c:pt>
                <c:pt idx="190">
                  <c:v>121.4961</c:v>
                </c:pt>
                <c:pt idx="191">
                  <c:v>122.721</c:v>
                </c:pt>
                <c:pt idx="192">
                  <c:v>123.16160000000001</c:v>
                </c:pt>
                <c:pt idx="193">
                  <c:v>124.4148</c:v>
                </c:pt>
                <c:pt idx="194">
                  <c:v>126.0074</c:v>
                </c:pt>
                <c:pt idx="195">
                  <c:v>127.2912</c:v>
                </c:pt>
                <c:pt idx="196">
                  <c:v>127.25190000000001</c:v>
                </c:pt>
                <c:pt idx="197">
                  <c:v>128.97049999999999</c:v>
                </c:pt>
                <c:pt idx="198">
                  <c:v>130.25729999999999</c:v>
                </c:pt>
                <c:pt idx="199">
                  <c:v>131.5412</c:v>
                </c:pt>
                <c:pt idx="200">
                  <c:v>131.91159999999999</c:v>
                </c:pt>
                <c:pt idx="201">
                  <c:v>133.65389999999999</c:v>
                </c:pt>
                <c:pt idx="202">
                  <c:v>134.9718</c:v>
                </c:pt>
                <c:pt idx="203">
                  <c:v>136.33580000000001</c:v>
                </c:pt>
                <c:pt idx="204">
                  <c:v>137.67689999999999</c:v>
                </c:pt>
                <c:pt idx="205">
                  <c:v>138.07149999999999</c:v>
                </c:pt>
                <c:pt idx="206">
                  <c:v>139.41569999999999</c:v>
                </c:pt>
                <c:pt idx="207">
                  <c:v>141.21279999999999</c:v>
                </c:pt>
                <c:pt idx="208">
                  <c:v>142.5684</c:v>
                </c:pt>
                <c:pt idx="209">
                  <c:v>143.84200000000001</c:v>
                </c:pt>
                <c:pt idx="210">
                  <c:v>144.1825</c:v>
                </c:pt>
                <c:pt idx="211">
                  <c:v>146.02670000000001</c:v>
                </c:pt>
                <c:pt idx="212">
                  <c:v>147.41130000000001</c:v>
                </c:pt>
                <c:pt idx="213">
                  <c:v>148.80240000000001</c:v>
                </c:pt>
                <c:pt idx="214">
                  <c:v>150.6206</c:v>
                </c:pt>
                <c:pt idx="215">
                  <c:v>150.6397</c:v>
                </c:pt>
                <c:pt idx="216">
                  <c:v>152.51050000000001</c:v>
                </c:pt>
                <c:pt idx="217">
                  <c:v>153.9111</c:v>
                </c:pt>
                <c:pt idx="218">
                  <c:v>155.29040000000001</c:v>
                </c:pt>
                <c:pt idx="219">
                  <c:v>157.20519999999999</c:v>
                </c:pt>
                <c:pt idx="220">
                  <c:v>157.6686</c:v>
                </c:pt>
                <c:pt idx="221">
                  <c:v>159.09790000000001</c:v>
                </c:pt>
                <c:pt idx="222">
                  <c:v>160.4494</c:v>
                </c:pt>
                <c:pt idx="223">
                  <c:v>161.86179999999999</c:v>
                </c:pt>
                <c:pt idx="224">
                  <c:v>163.1953</c:v>
                </c:pt>
                <c:pt idx="225">
                  <c:v>163.6627</c:v>
                </c:pt>
                <c:pt idx="226">
                  <c:v>165.5898</c:v>
                </c:pt>
                <c:pt idx="227">
                  <c:v>167.08080000000001</c:v>
                </c:pt>
                <c:pt idx="228">
                  <c:v>168.5548</c:v>
                </c:pt>
                <c:pt idx="229">
                  <c:v>170.4896</c:v>
                </c:pt>
                <c:pt idx="230">
                  <c:v>171.96870000000001</c:v>
                </c:pt>
                <c:pt idx="231">
                  <c:v>172.4966</c:v>
                </c:pt>
                <c:pt idx="232">
                  <c:v>173.9605</c:v>
                </c:pt>
                <c:pt idx="233">
                  <c:v>175.4109</c:v>
                </c:pt>
                <c:pt idx="234">
                  <c:v>176.8698</c:v>
                </c:pt>
                <c:pt idx="235">
                  <c:v>178.83199999999999</c:v>
                </c:pt>
                <c:pt idx="236">
                  <c:v>178.8032</c:v>
                </c:pt>
                <c:pt idx="237">
                  <c:v>180.88149999999999</c:v>
                </c:pt>
                <c:pt idx="238">
                  <c:v>182.4324</c:v>
                </c:pt>
                <c:pt idx="239">
                  <c:v>183.96019999999999</c:v>
                </c:pt>
                <c:pt idx="240">
                  <c:v>185.80549999999999</c:v>
                </c:pt>
                <c:pt idx="241">
                  <c:v>187.17850000000001</c:v>
                </c:pt>
                <c:pt idx="242">
                  <c:v>187.5103</c:v>
                </c:pt>
                <c:pt idx="243">
                  <c:v>189.3425</c:v>
                </c:pt>
                <c:pt idx="244">
                  <c:v>190.49700000000001</c:v>
                </c:pt>
                <c:pt idx="245">
                  <c:v>192.00839999999999</c:v>
                </c:pt>
                <c:pt idx="246">
                  <c:v>193.4357</c:v>
                </c:pt>
                <c:pt idx="247">
                  <c:v>194.489</c:v>
                </c:pt>
                <c:pt idx="248">
                  <c:v>196.29929999999999</c:v>
                </c:pt>
                <c:pt idx="249">
                  <c:v>198.22470000000001</c:v>
                </c:pt>
                <c:pt idx="250">
                  <c:v>200.76390000000001</c:v>
                </c:pt>
                <c:pt idx="251">
                  <c:v>202.49029999999999</c:v>
                </c:pt>
                <c:pt idx="252">
                  <c:v>204.19919999999999</c:v>
                </c:pt>
                <c:pt idx="253">
                  <c:v>204.59139999999999</c:v>
                </c:pt>
                <c:pt idx="254">
                  <c:v>206.19640000000001</c:v>
                </c:pt>
                <c:pt idx="255">
                  <c:v>207.55359999999999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69-4947-B7DF-F11DCC713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642528"/>
        <c:axId val="1881640128"/>
      </c:lineChart>
      <c:catAx>
        <c:axId val="188164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1640128"/>
        <c:crosses val="autoZero"/>
        <c:auto val="1"/>
        <c:lblAlgn val="ctr"/>
        <c:lblOffset val="100"/>
        <c:noMultiLvlLbl val="0"/>
      </c:catAx>
      <c:valAx>
        <c:axId val="18816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164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Gamma2.0_5400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'Gamma 2.0 5400K'!$C$16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2.0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2.0 5400K'!$C$17:$C$272</c:f>
              <c:numCache>
                <c:formatCode>0.00_ </c:formatCode>
                <c:ptCount val="256"/>
                <c:pt idx="0">
                  <c:v>1.6871692436008307E-4</c:v>
                </c:pt>
                <c:pt idx="1">
                  <c:v>4.4262888872666573E-3</c:v>
                </c:pt>
                <c:pt idx="2">
                  <c:v>1.4417192338062504E-2</c:v>
                </c:pt>
                <c:pt idx="3">
                  <c:v>3.014142727674763E-2</c:v>
                </c:pt>
                <c:pt idx="4">
                  <c:v>5.1598993703322035E-2</c:v>
                </c:pt>
                <c:pt idx="5">
                  <c:v>7.8789891617785698E-2</c:v>
                </c:pt>
                <c:pt idx="6">
                  <c:v>0.11171412102013864</c:v>
                </c:pt>
                <c:pt idx="7">
                  <c:v>0.15037168191038086</c:v>
                </c:pt>
                <c:pt idx="8">
                  <c:v>0.19476257428851232</c:v>
                </c:pt>
                <c:pt idx="9">
                  <c:v>0.2448867981545331</c:v>
                </c:pt>
                <c:pt idx="10">
                  <c:v>0.30074435350844314</c:v>
                </c:pt>
                <c:pt idx="11">
                  <c:v>0.36233524035024245</c:v>
                </c:pt>
                <c:pt idx="12">
                  <c:v>0.42965945867993094</c:v>
                </c:pt>
                <c:pt idx="13">
                  <c:v>0.50271700849750878</c:v>
                </c:pt>
                <c:pt idx="14">
                  <c:v>0.58150788980297596</c:v>
                </c:pt>
                <c:pt idx="15">
                  <c:v>0.66603210259633228</c:v>
                </c:pt>
                <c:pt idx="16">
                  <c:v>0.75628964687757827</c:v>
                </c:pt>
                <c:pt idx="17">
                  <c:v>0.85228052264671317</c:v>
                </c:pt>
                <c:pt idx="18">
                  <c:v>0.95400472990373753</c:v>
                </c:pt>
                <c:pt idx="19">
                  <c:v>1.061462268648651</c:v>
                </c:pt>
                <c:pt idx="20">
                  <c:v>1.1746531388814536</c:v>
                </c:pt>
                <c:pt idx="21">
                  <c:v>1.2935773406021458</c:v>
                </c:pt>
                <c:pt idx="22">
                  <c:v>1.4182348738107269</c:v>
                </c:pt>
                <c:pt idx="23">
                  <c:v>1.5486257385071975</c:v>
                </c:pt>
                <c:pt idx="24">
                  <c:v>1.6847499346915575</c:v>
                </c:pt>
                <c:pt idx="25">
                  <c:v>1.8266074623638064</c:v>
                </c:pt>
                <c:pt idx="26">
                  <c:v>1.9741983215239451</c:v>
                </c:pt>
                <c:pt idx="27">
                  <c:v>2.1275225121719727</c:v>
                </c:pt>
                <c:pt idx="28">
                  <c:v>2.2865800343078901</c:v>
                </c:pt>
                <c:pt idx="29">
                  <c:v>2.451370887931696</c:v>
                </c:pt>
                <c:pt idx="30">
                  <c:v>2.6218950730433916</c:v>
                </c:pt>
                <c:pt idx="31">
                  <c:v>2.7981525896429762</c:v>
                </c:pt>
                <c:pt idx="32">
                  <c:v>2.9801434377304505</c:v>
                </c:pt>
                <c:pt idx="33">
                  <c:v>3.1678676173058142</c:v>
                </c:pt>
                <c:pt idx="34">
                  <c:v>3.3613251283690664</c:v>
                </c:pt>
                <c:pt idx="35">
                  <c:v>3.5605159709202088</c:v>
                </c:pt>
                <c:pt idx="36">
                  <c:v>3.7654401449592396</c:v>
                </c:pt>
                <c:pt idx="37">
                  <c:v>3.9760976504861607</c:v>
                </c:pt>
                <c:pt idx="38">
                  <c:v>4.1924884875009694</c:v>
                </c:pt>
                <c:pt idx="39">
                  <c:v>4.4146126560036691</c:v>
                </c:pt>
                <c:pt idx="40">
                  <c:v>4.6424701559942561</c:v>
                </c:pt>
                <c:pt idx="41">
                  <c:v>4.8760609874727345</c:v>
                </c:pt>
                <c:pt idx="42">
                  <c:v>5.1153851504391001</c:v>
                </c:pt>
                <c:pt idx="43">
                  <c:v>5.3604426448933573</c:v>
                </c:pt>
                <c:pt idx="44">
                  <c:v>5.6112334708355025</c:v>
                </c:pt>
                <c:pt idx="45">
                  <c:v>5.8677576282655375</c:v>
                </c:pt>
                <c:pt idx="46">
                  <c:v>6.1300151171834605</c:v>
                </c:pt>
                <c:pt idx="47">
                  <c:v>6.398005937589275</c:v>
                </c:pt>
                <c:pt idx="48">
                  <c:v>6.6717300894829767</c:v>
                </c:pt>
                <c:pt idx="49">
                  <c:v>6.9511875728645691</c:v>
                </c:pt>
                <c:pt idx="50">
                  <c:v>7.2363783877340486</c:v>
                </c:pt>
                <c:pt idx="51">
                  <c:v>7.5273025340914206</c:v>
                </c:pt>
                <c:pt idx="52">
                  <c:v>7.8239600119366788</c:v>
                </c:pt>
                <c:pt idx="53">
                  <c:v>8.1263508212698294</c:v>
                </c:pt>
                <c:pt idx="54">
                  <c:v>8.4344749620908672</c:v>
                </c:pt>
                <c:pt idx="55">
                  <c:v>8.7483324343997939</c:v>
                </c:pt>
                <c:pt idx="56">
                  <c:v>9.0679232381966095</c:v>
                </c:pt>
                <c:pt idx="57">
                  <c:v>9.3932473734813176</c:v>
                </c:pt>
                <c:pt idx="58">
                  <c:v>9.724304840253911</c:v>
                </c:pt>
                <c:pt idx="59">
                  <c:v>10.061095638514395</c:v>
                </c:pt>
                <c:pt idx="60">
                  <c:v>10.403619768262768</c:v>
                </c:pt>
                <c:pt idx="61">
                  <c:v>10.751877229499033</c:v>
                </c:pt>
                <c:pt idx="62">
                  <c:v>11.105868022223184</c:v>
                </c:pt>
                <c:pt idx="63">
                  <c:v>11.465592146435226</c:v>
                </c:pt>
                <c:pt idx="64">
                  <c:v>11.831049602135158</c:v>
                </c:pt>
                <c:pt idx="65">
                  <c:v>12.202240389322974</c:v>
                </c:pt>
                <c:pt idx="66">
                  <c:v>12.579164507998682</c:v>
                </c:pt>
                <c:pt idx="67">
                  <c:v>12.961821958162279</c:v>
                </c:pt>
                <c:pt idx="68">
                  <c:v>13.350212739813772</c:v>
                </c:pt>
                <c:pt idx="69">
                  <c:v>13.744336852953147</c:v>
                </c:pt>
                <c:pt idx="70">
                  <c:v>14.144194297580412</c:v>
                </c:pt>
                <c:pt idx="71">
                  <c:v>14.549785073695567</c:v>
                </c:pt>
                <c:pt idx="72">
                  <c:v>14.961109181298617</c:v>
                </c:pt>
                <c:pt idx="73">
                  <c:v>15.37816662038955</c:v>
                </c:pt>
                <c:pt idx="74">
                  <c:v>15.800957390968371</c:v>
                </c:pt>
                <c:pt idx="75">
                  <c:v>16.229481493035081</c:v>
                </c:pt>
                <c:pt idx="76">
                  <c:v>16.663738926589687</c:v>
                </c:pt>
                <c:pt idx="77">
                  <c:v>17.103729691632182</c:v>
                </c:pt>
                <c:pt idx="78">
                  <c:v>17.549453788162555</c:v>
                </c:pt>
                <c:pt idx="79">
                  <c:v>18.000911216180828</c:v>
                </c:pt>
                <c:pt idx="80">
                  <c:v>18.45810197568699</c:v>
                </c:pt>
                <c:pt idx="81">
                  <c:v>18.921026066681037</c:v>
                </c:pt>
                <c:pt idx="82">
                  <c:v>19.389683489162973</c:v>
                </c:pt>
                <c:pt idx="83">
                  <c:v>19.864074243132801</c:v>
                </c:pt>
                <c:pt idx="84">
                  <c:v>20.344198328590519</c:v>
                </c:pt>
                <c:pt idx="85">
                  <c:v>20.830055745536125</c:v>
                </c:pt>
                <c:pt idx="86">
                  <c:v>21.321646493969617</c:v>
                </c:pt>
                <c:pt idx="87">
                  <c:v>21.818970573891001</c:v>
                </c:pt>
                <c:pt idx="88">
                  <c:v>22.322027985300277</c:v>
                </c:pt>
                <c:pt idx="89">
                  <c:v>22.830818728197436</c:v>
                </c:pt>
                <c:pt idx="90">
                  <c:v>23.345342802582486</c:v>
                </c:pt>
                <c:pt idx="91">
                  <c:v>23.86560020845543</c:v>
                </c:pt>
                <c:pt idx="92">
                  <c:v>24.391590945816265</c:v>
                </c:pt>
                <c:pt idx="93">
                  <c:v>24.923315014664983</c:v>
                </c:pt>
                <c:pt idx="94">
                  <c:v>25.460772415001593</c:v>
                </c:pt>
                <c:pt idx="95">
                  <c:v>26.003963146826084</c:v>
                </c:pt>
                <c:pt idx="96">
                  <c:v>26.552887210138479</c:v>
                </c:pt>
                <c:pt idx="97">
                  <c:v>27.107544604938752</c:v>
                </c:pt>
                <c:pt idx="98">
                  <c:v>27.667935331226918</c:v>
                </c:pt>
                <c:pt idx="99">
                  <c:v>28.234059389002972</c:v>
                </c:pt>
                <c:pt idx="100">
                  <c:v>28.805916778266919</c:v>
                </c:pt>
                <c:pt idx="101">
                  <c:v>29.383507499018755</c:v>
                </c:pt>
                <c:pt idx="102">
                  <c:v>29.96683155125848</c:v>
                </c:pt>
                <c:pt idx="103">
                  <c:v>30.555888934986083</c:v>
                </c:pt>
                <c:pt idx="104">
                  <c:v>31.150679650201592</c:v>
                </c:pt>
                <c:pt idx="105">
                  <c:v>31.751203696904987</c:v>
                </c:pt>
                <c:pt idx="106">
                  <c:v>32.357461075096261</c:v>
                </c:pt>
                <c:pt idx="107">
                  <c:v>32.969451784775423</c:v>
                </c:pt>
                <c:pt idx="108">
                  <c:v>33.587175825942495</c:v>
                </c:pt>
                <c:pt idx="109">
                  <c:v>34.210633198597442</c:v>
                </c:pt>
                <c:pt idx="110">
                  <c:v>34.839823902740271</c:v>
                </c:pt>
                <c:pt idx="111">
                  <c:v>35.474747938370996</c:v>
                </c:pt>
                <c:pt idx="112">
                  <c:v>36.115405305489617</c:v>
                </c:pt>
                <c:pt idx="113">
                  <c:v>36.761796004096126</c:v>
                </c:pt>
                <c:pt idx="114">
                  <c:v>37.413920034190518</c:v>
                </c:pt>
                <c:pt idx="115">
                  <c:v>38.071777395772799</c:v>
                </c:pt>
                <c:pt idx="116">
                  <c:v>38.735368088842982</c:v>
                </c:pt>
                <c:pt idx="117">
                  <c:v>39.40469211340104</c:v>
                </c:pt>
                <c:pt idx="118">
                  <c:v>40.079749469446988</c:v>
                </c:pt>
                <c:pt idx="119">
                  <c:v>40.760540156980824</c:v>
                </c:pt>
                <c:pt idx="120">
                  <c:v>41.447064176002556</c:v>
                </c:pt>
                <c:pt idx="121">
                  <c:v>42.139321526512184</c:v>
                </c:pt>
                <c:pt idx="122">
                  <c:v>42.837312208509687</c:v>
                </c:pt>
                <c:pt idx="123">
                  <c:v>43.541036221995078</c:v>
                </c:pt>
                <c:pt idx="124">
                  <c:v>44.250493566968373</c:v>
                </c:pt>
                <c:pt idx="125">
                  <c:v>44.96568424342955</c:v>
                </c:pt>
                <c:pt idx="126">
                  <c:v>45.686608251378615</c:v>
                </c:pt>
                <c:pt idx="127">
                  <c:v>46.41326559081557</c:v>
                </c:pt>
                <c:pt idx="128">
                  <c:v>47.145656261740427</c:v>
                </c:pt>
                <c:pt idx="129">
                  <c:v>47.883780264153152</c:v>
                </c:pt>
                <c:pt idx="130">
                  <c:v>48.627637598053774</c:v>
                </c:pt>
                <c:pt idx="131">
                  <c:v>49.377228263442291</c:v>
                </c:pt>
                <c:pt idx="132">
                  <c:v>50.13255226031869</c:v>
                </c:pt>
                <c:pt idx="133">
                  <c:v>50.89360958868297</c:v>
                </c:pt>
                <c:pt idx="134">
                  <c:v>51.660400248535176</c:v>
                </c:pt>
                <c:pt idx="135">
                  <c:v>52.432924239875241</c:v>
                </c:pt>
                <c:pt idx="136">
                  <c:v>53.211181562703196</c:v>
                </c:pt>
                <c:pt idx="137">
                  <c:v>53.995172217019032</c:v>
                </c:pt>
                <c:pt idx="138">
                  <c:v>54.784896202822779</c:v>
                </c:pt>
                <c:pt idx="139">
                  <c:v>55.580353520114393</c:v>
                </c:pt>
                <c:pt idx="140">
                  <c:v>56.381544168893903</c:v>
                </c:pt>
                <c:pt idx="141">
                  <c:v>57.188468149161338</c:v>
                </c:pt>
                <c:pt idx="142">
                  <c:v>58.001125460916626</c:v>
                </c:pt>
                <c:pt idx="143">
                  <c:v>58.819516104159817</c:v>
                </c:pt>
                <c:pt idx="144">
                  <c:v>59.643640078890876</c:v>
                </c:pt>
                <c:pt idx="145">
                  <c:v>60.473497385109845</c:v>
                </c:pt>
                <c:pt idx="146">
                  <c:v>61.309088022816688</c:v>
                </c:pt>
                <c:pt idx="147">
                  <c:v>62.150411992011414</c:v>
                </c:pt>
                <c:pt idx="148">
                  <c:v>62.997469292694049</c:v>
                </c:pt>
                <c:pt idx="149">
                  <c:v>63.850259924864595</c:v>
                </c:pt>
                <c:pt idx="150">
                  <c:v>64.708783888523001</c:v>
                </c:pt>
                <c:pt idx="151">
                  <c:v>65.573041183669289</c:v>
                </c:pt>
                <c:pt idx="152">
                  <c:v>66.443031810303467</c:v>
                </c:pt>
                <c:pt idx="153">
                  <c:v>67.318755768425547</c:v>
                </c:pt>
                <c:pt idx="154">
                  <c:v>68.200213058035501</c:v>
                </c:pt>
                <c:pt idx="155">
                  <c:v>69.087403679133359</c:v>
                </c:pt>
                <c:pt idx="156">
                  <c:v>69.980327631719092</c:v>
                </c:pt>
                <c:pt idx="157">
                  <c:v>70.878984915792756</c:v>
                </c:pt>
                <c:pt idx="158">
                  <c:v>71.783375531354281</c:v>
                </c:pt>
                <c:pt idx="159">
                  <c:v>72.69349947840368</c:v>
                </c:pt>
                <c:pt idx="160">
                  <c:v>73.609356756940983</c:v>
                </c:pt>
                <c:pt idx="161">
                  <c:v>74.530947366966174</c:v>
                </c:pt>
                <c:pt idx="162">
                  <c:v>75.45827130847924</c:v>
                </c:pt>
                <c:pt idx="163">
                  <c:v>76.391328581480209</c:v>
                </c:pt>
                <c:pt idx="164">
                  <c:v>77.330119185969053</c:v>
                </c:pt>
                <c:pt idx="165">
                  <c:v>78.274643121945843</c:v>
                </c:pt>
                <c:pt idx="166">
                  <c:v>79.224900389410465</c:v>
                </c:pt>
                <c:pt idx="167">
                  <c:v>80.180890988363004</c:v>
                </c:pt>
                <c:pt idx="168">
                  <c:v>81.142614918803403</c:v>
                </c:pt>
                <c:pt idx="169">
                  <c:v>82.110072180731706</c:v>
                </c:pt>
                <c:pt idx="170">
                  <c:v>83.083262774147897</c:v>
                </c:pt>
                <c:pt idx="171">
                  <c:v>84.062186699051978</c:v>
                </c:pt>
                <c:pt idx="172">
                  <c:v>85.046843955443933</c:v>
                </c:pt>
                <c:pt idx="173">
                  <c:v>86.037234543323834</c:v>
                </c:pt>
                <c:pt idx="174">
                  <c:v>87.033358462691581</c:v>
                </c:pt>
                <c:pt idx="175">
                  <c:v>88.035215713547203</c:v>
                </c:pt>
                <c:pt idx="176">
                  <c:v>89.042806295890728</c:v>
                </c:pt>
                <c:pt idx="177">
                  <c:v>90.056130209722156</c:v>
                </c:pt>
                <c:pt idx="178">
                  <c:v>91.075187455041458</c:v>
                </c:pt>
                <c:pt idx="179">
                  <c:v>92.099978031848664</c:v>
                </c:pt>
                <c:pt idx="180">
                  <c:v>93.130501940143731</c:v>
                </c:pt>
                <c:pt idx="181">
                  <c:v>94.166759179926743</c:v>
                </c:pt>
                <c:pt idx="182">
                  <c:v>95.208749751197615</c:v>
                </c:pt>
                <c:pt idx="183">
                  <c:v>96.256473653956363</c:v>
                </c:pt>
                <c:pt idx="184">
                  <c:v>97.309930888202985</c:v>
                </c:pt>
                <c:pt idx="185">
                  <c:v>98.36912145393751</c:v>
                </c:pt>
                <c:pt idx="186">
                  <c:v>99.434045351159938</c:v>
                </c:pt>
                <c:pt idx="187">
                  <c:v>100.50470257987025</c:v>
                </c:pt>
                <c:pt idx="188">
                  <c:v>101.58109314006845</c:v>
                </c:pt>
                <c:pt idx="189">
                  <c:v>102.66321703175457</c:v>
                </c:pt>
                <c:pt idx="190">
                  <c:v>103.75107425492854</c:v>
                </c:pt>
                <c:pt idx="191">
                  <c:v>104.8446648095904</c:v>
                </c:pt>
                <c:pt idx="192">
                  <c:v>105.94398869574015</c:v>
                </c:pt>
                <c:pt idx="193">
                  <c:v>107.04904591337778</c:v>
                </c:pt>
                <c:pt idx="194">
                  <c:v>108.15983646250334</c:v>
                </c:pt>
                <c:pt idx="195">
                  <c:v>109.27636034311675</c:v>
                </c:pt>
                <c:pt idx="196">
                  <c:v>110.39861755521805</c:v>
                </c:pt>
                <c:pt idx="197">
                  <c:v>111.5266080988073</c:v>
                </c:pt>
                <c:pt idx="198">
                  <c:v>112.6603319738844</c:v>
                </c:pt>
                <c:pt idx="199">
                  <c:v>113.79978918044937</c:v>
                </c:pt>
                <c:pt idx="200">
                  <c:v>114.94497971850222</c:v>
                </c:pt>
                <c:pt idx="201">
                  <c:v>116.09590358804299</c:v>
                </c:pt>
                <c:pt idx="202">
                  <c:v>117.25256078907165</c:v>
                </c:pt>
                <c:pt idx="203">
                  <c:v>118.41495132158818</c:v>
                </c:pt>
                <c:pt idx="204">
                  <c:v>119.58307518559259</c:v>
                </c:pt>
                <c:pt idx="205">
                  <c:v>120.75693238108494</c:v>
                </c:pt>
                <c:pt idx="206">
                  <c:v>121.93652290806514</c:v>
                </c:pt>
                <c:pt idx="207">
                  <c:v>123.12184676653324</c:v>
                </c:pt>
                <c:pt idx="208">
                  <c:v>124.31290395648922</c:v>
                </c:pt>
                <c:pt idx="209">
                  <c:v>125.50969447793308</c:v>
                </c:pt>
                <c:pt idx="210">
                  <c:v>126.71221833086484</c:v>
                </c:pt>
                <c:pt idx="211">
                  <c:v>127.92047551528451</c:v>
                </c:pt>
                <c:pt idx="212">
                  <c:v>129.13446603119203</c:v>
                </c:pt>
                <c:pt idx="213">
                  <c:v>130.3541898785875</c:v>
                </c:pt>
                <c:pt idx="214">
                  <c:v>131.57964705747082</c:v>
                </c:pt>
                <c:pt idx="215">
                  <c:v>132.81083756784201</c:v>
                </c:pt>
                <c:pt idx="216">
                  <c:v>134.04776140970114</c:v>
                </c:pt>
                <c:pt idx="217">
                  <c:v>135.29041858304811</c:v>
                </c:pt>
                <c:pt idx="218">
                  <c:v>136.53880908788295</c:v>
                </c:pt>
                <c:pt idx="219">
                  <c:v>137.79293292420576</c:v>
                </c:pt>
                <c:pt idx="220">
                  <c:v>139.05279009201638</c:v>
                </c:pt>
                <c:pt idx="221">
                  <c:v>140.31838059131499</c:v>
                </c:pt>
                <c:pt idx="222">
                  <c:v>141.58970442210142</c:v>
                </c:pt>
                <c:pt idx="223">
                  <c:v>142.86676158437572</c:v>
                </c:pt>
                <c:pt idx="224">
                  <c:v>144.14955207813796</c:v>
                </c:pt>
                <c:pt idx="225">
                  <c:v>145.43807590338804</c:v>
                </c:pt>
                <c:pt idx="226">
                  <c:v>146.73233306012602</c:v>
                </c:pt>
                <c:pt idx="227">
                  <c:v>148.03232354835194</c:v>
                </c:pt>
                <c:pt idx="228">
                  <c:v>149.33804736806567</c:v>
                </c:pt>
                <c:pt idx="229">
                  <c:v>150.64950451926737</c:v>
                </c:pt>
                <c:pt idx="230">
                  <c:v>151.96669500195694</c:v>
                </c:pt>
                <c:pt idx="231">
                  <c:v>153.28961881613435</c:v>
                </c:pt>
                <c:pt idx="232">
                  <c:v>154.61827596179967</c:v>
                </c:pt>
                <c:pt idx="233">
                  <c:v>155.95266643895289</c:v>
                </c:pt>
                <c:pt idx="234">
                  <c:v>157.29279024759398</c:v>
                </c:pt>
                <c:pt idx="235">
                  <c:v>158.63864738772298</c:v>
                </c:pt>
                <c:pt idx="236">
                  <c:v>159.99023785933986</c:v>
                </c:pt>
                <c:pt idx="237">
                  <c:v>161.34756166244469</c:v>
                </c:pt>
                <c:pt idx="238">
                  <c:v>162.71061879703734</c:v>
                </c:pt>
                <c:pt idx="239">
                  <c:v>164.0794092631179</c:v>
                </c:pt>
                <c:pt idx="240">
                  <c:v>165.45393306068632</c:v>
                </c:pt>
                <c:pt idx="241">
                  <c:v>166.83419018974266</c:v>
                </c:pt>
                <c:pt idx="242">
                  <c:v>168.22018065028686</c:v>
                </c:pt>
                <c:pt idx="243">
                  <c:v>169.61190444231897</c:v>
                </c:pt>
                <c:pt idx="244">
                  <c:v>171.00936156583896</c:v>
                </c:pt>
                <c:pt idx="245">
                  <c:v>172.41255202084687</c:v>
                </c:pt>
                <c:pt idx="246">
                  <c:v>173.82147580734267</c:v>
                </c:pt>
                <c:pt idx="247">
                  <c:v>175.23613292532633</c:v>
                </c:pt>
                <c:pt idx="248">
                  <c:v>176.65652337479787</c:v>
                </c:pt>
                <c:pt idx="249">
                  <c:v>178.08264715575731</c:v>
                </c:pt>
                <c:pt idx="250">
                  <c:v>179.51450426820463</c:v>
                </c:pt>
                <c:pt idx="251">
                  <c:v>180.95209471213985</c:v>
                </c:pt>
                <c:pt idx="252">
                  <c:v>182.39541848756298</c:v>
                </c:pt>
                <c:pt idx="253">
                  <c:v>183.84447559447403</c:v>
                </c:pt>
                <c:pt idx="254">
                  <c:v>185.29926603287288</c:v>
                </c:pt>
                <c:pt idx="255">
                  <c:v>186.40494000000001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2-47AC-ABF8-F249AE347D2A}"/>
            </c:ext>
          </c:extLst>
        </c:ser>
        <c:ser>
          <c:idx val="1"/>
          <c:order val="1"/>
          <c:tx>
            <c:strRef>
              <c:f>'Gamma 2.0 5400K'!$D$16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2.0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2.0 5400K'!$D$17:$D$272</c:f>
              <c:numCache>
                <c:formatCode>0.00_ </c:formatCode>
                <c:ptCount val="256"/>
                <c:pt idx="0">
                  <c:v>1.8746324928898119E-4</c:v>
                </c:pt>
                <c:pt idx="1">
                  <c:v>4.9180987636296188E-3</c:v>
                </c:pt>
                <c:pt idx="2">
                  <c:v>1.6019102597847227E-2</c:v>
                </c:pt>
                <c:pt idx="3">
                  <c:v>3.3490474751941814E-2</c:v>
                </c:pt>
                <c:pt idx="4">
                  <c:v>5.7332215225913377E-2</c:v>
                </c:pt>
                <c:pt idx="5">
                  <c:v>8.7544324019761893E-2</c:v>
                </c:pt>
                <c:pt idx="6">
                  <c:v>0.12412680113348738</c:v>
                </c:pt>
                <c:pt idx="7">
                  <c:v>0.16707964656708985</c:v>
                </c:pt>
                <c:pt idx="8">
                  <c:v>0.21640286032056924</c:v>
                </c:pt>
                <c:pt idx="9">
                  <c:v>0.27209644239392566</c:v>
                </c:pt>
                <c:pt idx="10">
                  <c:v>0.33416039278715903</c:v>
                </c:pt>
                <c:pt idx="11">
                  <c:v>0.40259471150026938</c:v>
                </c:pt>
                <c:pt idx="12">
                  <c:v>0.47739939853325664</c:v>
                </c:pt>
                <c:pt idx="13">
                  <c:v>0.55857445388612093</c:v>
                </c:pt>
                <c:pt idx="14">
                  <c:v>0.64611987755886224</c:v>
                </c:pt>
                <c:pt idx="15">
                  <c:v>0.74003566955148037</c:v>
                </c:pt>
                <c:pt idx="16">
                  <c:v>0.84032182986397586</c:v>
                </c:pt>
                <c:pt idx="17">
                  <c:v>0.94697835849634793</c:v>
                </c:pt>
                <c:pt idx="18">
                  <c:v>1.0600052554485973</c:v>
                </c:pt>
                <c:pt idx="19">
                  <c:v>1.1794025207207233</c:v>
                </c:pt>
                <c:pt idx="20">
                  <c:v>1.3051701543127263</c:v>
                </c:pt>
                <c:pt idx="21">
                  <c:v>1.4373081562246064</c:v>
                </c:pt>
                <c:pt idx="22">
                  <c:v>1.5758165264563633</c:v>
                </c:pt>
                <c:pt idx="23">
                  <c:v>1.7206952650079974</c:v>
                </c:pt>
                <c:pt idx="24">
                  <c:v>1.8719443718795084</c:v>
                </c:pt>
                <c:pt idx="25">
                  <c:v>2.0295638470708961</c:v>
                </c:pt>
                <c:pt idx="26">
                  <c:v>2.1935536905821613</c:v>
                </c:pt>
                <c:pt idx="27">
                  <c:v>2.3639139024133029</c:v>
                </c:pt>
                <c:pt idx="28">
                  <c:v>2.5406444825643222</c:v>
                </c:pt>
                <c:pt idx="29">
                  <c:v>2.7237454310352178</c:v>
                </c:pt>
                <c:pt idx="30">
                  <c:v>2.9132167478259907</c:v>
                </c:pt>
                <c:pt idx="31">
                  <c:v>3.1090584329366404</c:v>
                </c:pt>
                <c:pt idx="32">
                  <c:v>3.3112704863671674</c:v>
                </c:pt>
                <c:pt idx="33">
                  <c:v>3.5198529081175716</c:v>
                </c:pt>
                <c:pt idx="34">
                  <c:v>3.7348056981878517</c:v>
                </c:pt>
                <c:pt idx="35">
                  <c:v>3.9561288565780099</c:v>
                </c:pt>
                <c:pt idx="36">
                  <c:v>4.1838223832880441</c:v>
                </c:pt>
                <c:pt idx="37">
                  <c:v>4.4178862783179564</c:v>
                </c:pt>
                <c:pt idx="38">
                  <c:v>4.6583205416677433</c:v>
                </c:pt>
                <c:pt idx="39">
                  <c:v>4.9051251733374102</c:v>
                </c:pt>
                <c:pt idx="40">
                  <c:v>5.1583001733269516</c:v>
                </c:pt>
                <c:pt idx="41">
                  <c:v>5.417845541636372</c:v>
                </c:pt>
                <c:pt idx="42">
                  <c:v>5.683761278265667</c:v>
                </c:pt>
                <c:pt idx="43">
                  <c:v>5.956047383214842</c:v>
                </c:pt>
                <c:pt idx="44">
                  <c:v>6.2347038564838915</c:v>
                </c:pt>
                <c:pt idx="45">
                  <c:v>6.5197306980728191</c:v>
                </c:pt>
                <c:pt idx="46">
                  <c:v>6.8111279079816232</c:v>
                </c:pt>
                <c:pt idx="47">
                  <c:v>7.1088954862103062</c:v>
                </c:pt>
                <c:pt idx="48">
                  <c:v>7.413033432758863</c:v>
                </c:pt>
                <c:pt idx="49">
                  <c:v>7.7235417476272987</c:v>
                </c:pt>
                <c:pt idx="50">
                  <c:v>8.04042043081561</c:v>
                </c:pt>
                <c:pt idx="51">
                  <c:v>8.3636694823238003</c:v>
                </c:pt>
                <c:pt idx="52">
                  <c:v>8.6932889021518651</c:v>
                </c:pt>
                <c:pt idx="53">
                  <c:v>9.0292786902998099</c:v>
                </c:pt>
                <c:pt idx="54">
                  <c:v>9.3716388467676293</c:v>
                </c:pt>
                <c:pt idx="55">
                  <c:v>9.7203693715553268</c:v>
                </c:pt>
                <c:pt idx="56">
                  <c:v>10.075470264662899</c:v>
                </c:pt>
                <c:pt idx="57">
                  <c:v>10.436941526090353</c:v>
                </c:pt>
                <c:pt idx="58">
                  <c:v>10.804783155837679</c:v>
                </c:pt>
                <c:pt idx="59">
                  <c:v>11.178995153904884</c:v>
                </c:pt>
                <c:pt idx="60">
                  <c:v>11.559577520291965</c:v>
                </c:pt>
                <c:pt idx="61">
                  <c:v>11.946530254998926</c:v>
                </c:pt>
                <c:pt idx="62">
                  <c:v>12.33985335802576</c:v>
                </c:pt>
                <c:pt idx="63">
                  <c:v>12.739546829372474</c:v>
                </c:pt>
                <c:pt idx="64">
                  <c:v>13.145610669039064</c:v>
                </c:pt>
                <c:pt idx="65">
                  <c:v>13.558044877025527</c:v>
                </c:pt>
                <c:pt idx="66">
                  <c:v>13.976849453331869</c:v>
                </c:pt>
                <c:pt idx="67">
                  <c:v>14.402024397958089</c:v>
                </c:pt>
                <c:pt idx="68">
                  <c:v>14.833569710904191</c:v>
                </c:pt>
                <c:pt idx="69">
                  <c:v>15.271485392170163</c:v>
                </c:pt>
                <c:pt idx="70">
                  <c:v>15.715771441756013</c:v>
                </c:pt>
                <c:pt idx="71">
                  <c:v>16.166427859661741</c:v>
                </c:pt>
                <c:pt idx="72">
                  <c:v>16.623454645887353</c:v>
                </c:pt>
                <c:pt idx="73">
                  <c:v>17.086851800432832</c:v>
                </c:pt>
                <c:pt idx="74">
                  <c:v>17.55661932329819</c:v>
                </c:pt>
                <c:pt idx="75">
                  <c:v>18.032757214483425</c:v>
                </c:pt>
                <c:pt idx="76">
                  <c:v>18.515265473988542</c:v>
                </c:pt>
                <c:pt idx="77">
                  <c:v>19.004144101813534</c:v>
                </c:pt>
                <c:pt idx="78">
                  <c:v>19.499393097958396</c:v>
                </c:pt>
                <c:pt idx="79">
                  <c:v>20.001012462423141</c:v>
                </c:pt>
                <c:pt idx="80">
                  <c:v>20.509002195207767</c:v>
                </c:pt>
                <c:pt idx="81">
                  <c:v>21.023362296312264</c:v>
                </c:pt>
                <c:pt idx="82">
                  <c:v>21.544092765736636</c:v>
                </c:pt>
                <c:pt idx="83">
                  <c:v>22.071193603480889</c:v>
                </c:pt>
                <c:pt idx="84">
                  <c:v>22.604664809545021</c:v>
                </c:pt>
                <c:pt idx="85">
                  <c:v>23.144506383929027</c:v>
                </c:pt>
                <c:pt idx="86">
                  <c:v>23.690718326632908</c:v>
                </c:pt>
                <c:pt idx="87">
                  <c:v>24.243300637656667</c:v>
                </c:pt>
                <c:pt idx="88">
                  <c:v>24.802253317000307</c:v>
                </c:pt>
                <c:pt idx="89">
                  <c:v>25.367576364663819</c:v>
                </c:pt>
                <c:pt idx="90">
                  <c:v>25.939269780647209</c:v>
                </c:pt>
                <c:pt idx="91">
                  <c:v>26.517333564950476</c:v>
                </c:pt>
                <c:pt idx="92">
                  <c:v>27.10176771757363</c:v>
                </c:pt>
                <c:pt idx="93">
                  <c:v>27.692572238516647</c:v>
                </c:pt>
                <c:pt idx="94">
                  <c:v>28.289747127779545</c:v>
                </c:pt>
                <c:pt idx="95">
                  <c:v>28.893292385362315</c:v>
                </c:pt>
                <c:pt idx="96">
                  <c:v>29.503208011264977</c:v>
                </c:pt>
                <c:pt idx="97">
                  <c:v>30.119494005487503</c:v>
                </c:pt>
                <c:pt idx="98">
                  <c:v>30.742150368029908</c:v>
                </c:pt>
                <c:pt idx="99">
                  <c:v>31.371177098892193</c:v>
                </c:pt>
                <c:pt idx="100">
                  <c:v>32.006574198074354</c:v>
                </c:pt>
                <c:pt idx="101">
                  <c:v>32.648341665576396</c:v>
                </c:pt>
                <c:pt idx="102">
                  <c:v>33.296479501398309</c:v>
                </c:pt>
                <c:pt idx="103">
                  <c:v>33.950987705540093</c:v>
                </c:pt>
                <c:pt idx="104">
                  <c:v>34.61186627800177</c:v>
                </c:pt>
                <c:pt idx="105">
                  <c:v>35.279115218783318</c:v>
                </c:pt>
                <c:pt idx="106">
                  <c:v>35.952734527884736</c:v>
                </c:pt>
                <c:pt idx="107">
                  <c:v>36.632724205306026</c:v>
                </c:pt>
                <c:pt idx="108">
                  <c:v>37.319084251047215</c:v>
                </c:pt>
                <c:pt idx="109">
                  <c:v>38.011814665108268</c:v>
                </c:pt>
                <c:pt idx="110">
                  <c:v>38.710915447489192</c:v>
                </c:pt>
                <c:pt idx="111">
                  <c:v>39.416386598189995</c:v>
                </c:pt>
                <c:pt idx="112">
                  <c:v>40.128228117210689</c:v>
                </c:pt>
                <c:pt idx="113">
                  <c:v>40.846440004551248</c:v>
                </c:pt>
                <c:pt idx="114">
                  <c:v>41.571022260211684</c:v>
                </c:pt>
                <c:pt idx="115">
                  <c:v>42.301974884191999</c:v>
                </c:pt>
                <c:pt idx="116">
                  <c:v>43.039297876492199</c:v>
                </c:pt>
                <c:pt idx="117">
                  <c:v>43.782991237112263</c:v>
                </c:pt>
                <c:pt idx="118">
                  <c:v>44.533054966052205</c:v>
                </c:pt>
                <c:pt idx="119">
                  <c:v>45.289489063312026</c:v>
                </c:pt>
                <c:pt idx="120">
                  <c:v>46.052293528891731</c:v>
                </c:pt>
                <c:pt idx="121">
                  <c:v>46.821468362791315</c:v>
                </c:pt>
                <c:pt idx="122">
                  <c:v>47.597013565010762</c:v>
                </c:pt>
                <c:pt idx="123">
                  <c:v>48.378929135550088</c:v>
                </c:pt>
                <c:pt idx="124">
                  <c:v>49.167215074409306</c:v>
                </c:pt>
                <c:pt idx="125">
                  <c:v>49.961871381588388</c:v>
                </c:pt>
                <c:pt idx="126">
                  <c:v>50.762898057087348</c:v>
                </c:pt>
                <c:pt idx="127">
                  <c:v>51.570295100906186</c:v>
                </c:pt>
                <c:pt idx="128">
                  <c:v>52.384062513044917</c:v>
                </c:pt>
                <c:pt idx="129">
                  <c:v>53.204200293503504</c:v>
                </c:pt>
                <c:pt idx="130">
                  <c:v>54.03070844228197</c:v>
                </c:pt>
                <c:pt idx="131">
                  <c:v>54.863586959380321</c:v>
                </c:pt>
                <c:pt idx="132">
                  <c:v>55.702835844798543</c:v>
                </c:pt>
                <c:pt idx="133">
                  <c:v>56.548455098536635</c:v>
                </c:pt>
                <c:pt idx="134">
                  <c:v>57.400444720594642</c:v>
                </c:pt>
                <c:pt idx="135">
                  <c:v>58.258804710972491</c:v>
                </c:pt>
                <c:pt idx="136">
                  <c:v>59.123535069670218</c:v>
                </c:pt>
                <c:pt idx="137">
                  <c:v>59.994635796687817</c:v>
                </c:pt>
                <c:pt idx="138">
                  <c:v>60.872106892025307</c:v>
                </c:pt>
                <c:pt idx="139">
                  <c:v>61.755948355682662</c:v>
                </c:pt>
                <c:pt idx="140">
                  <c:v>62.646160187659895</c:v>
                </c:pt>
                <c:pt idx="141">
                  <c:v>63.542742387957041</c:v>
                </c:pt>
                <c:pt idx="142">
                  <c:v>64.44569495657403</c:v>
                </c:pt>
                <c:pt idx="143">
                  <c:v>65.355017893510905</c:v>
                </c:pt>
                <c:pt idx="144">
                  <c:v>66.270711198767643</c:v>
                </c:pt>
                <c:pt idx="145">
                  <c:v>67.192774872344273</c:v>
                </c:pt>
                <c:pt idx="146">
                  <c:v>68.121208914240768</c:v>
                </c:pt>
                <c:pt idx="147">
                  <c:v>69.056013324457126</c:v>
                </c:pt>
                <c:pt idx="148">
                  <c:v>69.997188102993391</c:v>
                </c:pt>
                <c:pt idx="149">
                  <c:v>70.944733249849548</c:v>
                </c:pt>
                <c:pt idx="150">
                  <c:v>71.898648765025555</c:v>
                </c:pt>
                <c:pt idx="151">
                  <c:v>72.858934648521441</c:v>
                </c:pt>
                <c:pt idx="152">
                  <c:v>73.82559090033719</c:v>
                </c:pt>
                <c:pt idx="153">
                  <c:v>74.798617520472831</c:v>
                </c:pt>
                <c:pt idx="154">
                  <c:v>75.778014508928337</c:v>
                </c:pt>
                <c:pt idx="155">
                  <c:v>76.763781865703734</c:v>
                </c:pt>
                <c:pt idx="156">
                  <c:v>77.755919590798996</c:v>
                </c:pt>
                <c:pt idx="157">
                  <c:v>78.754427684214178</c:v>
                </c:pt>
                <c:pt idx="158">
                  <c:v>79.759306145949196</c:v>
                </c:pt>
                <c:pt idx="159">
                  <c:v>80.770554976004092</c:v>
                </c:pt>
                <c:pt idx="160">
                  <c:v>81.788174174378867</c:v>
                </c:pt>
                <c:pt idx="161">
                  <c:v>82.812163741073533</c:v>
                </c:pt>
                <c:pt idx="162">
                  <c:v>83.842523676088049</c:v>
                </c:pt>
                <c:pt idx="163">
                  <c:v>84.879253979422458</c:v>
                </c:pt>
                <c:pt idx="164">
                  <c:v>85.922354651076731</c:v>
                </c:pt>
                <c:pt idx="165">
                  <c:v>86.971825691050938</c:v>
                </c:pt>
                <c:pt idx="166">
                  <c:v>88.027667099344967</c:v>
                </c:pt>
                <c:pt idx="167">
                  <c:v>89.089878875958888</c:v>
                </c:pt>
                <c:pt idx="168">
                  <c:v>90.158461020892673</c:v>
                </c:pt>
                <c:pt idx="169">
                  <c:v>91.233413534146337</c:v>
                </c:pt>
                <c:pt idx="170">
                  <c:v>92.314736415719892</c:v>
                </c:pt>
                <c:pt idx="171">
                  <c:v>93.402429665613312</c:v>
                </c:pt>
                <c:pt idx="172">
                  <c:v>94.496493283826595</c:v>
                </c:pt>
                <c:pt idx="173">
                  <c:v>95.596927270359814</c:v>
                </c:pt>
                <c:pt idx="174">
                  <c:v>96.703731625212868</c:v>
                </c:pt>
                <c:pt idx="175">
                  <c:v>97.816906348385785</c:v>
                </c:pt>
                <c:pt idx="176">
                  <c:v>98.936451439878596</c:v>
                </c:pt>
                <c:pt idx="177">
                  <c:v>100.06236689969128</c:v>
                </c:pt>
                <c:pt idx="178">
                  <c:v>101.19465272782385</c:v>
                </c:pt>
                <c:pt idx="179">
                  <c:v>102.3333089242763</c:v>
                </c:pt>
                <c:pt idx="180">
                  <c:v>103.47833548904859</c:v>
                </c:pt>
                <c:pt idx="181">
                  <c:v>104.62973242214083</c:v>
                </c:pt>
                <c:pt idx="182">
                  <c:v>105.7874997235529</c:v>
                </c:pt>
                <c:pt idx="183">
                  <c:v>106.95163739328484</c:v>
                </c:pt>
                <c:pt idx="184">
                  <c:v>108.12214543133665</c:v>
                </c:pt>
                <c:pt idx="185">
                  <c:v>109.29902383770835</c:v>
                </c:pt>
                <c:pt idx="186">
                  <c:v>110.48227261239994</c:v>
                </c:pt>
                <c:pt idx="187">
                  <c:v>111.67189175541139</c:v>
                </c:pt>
                <c:pt idx="188">
                  <c:v>112.86788126674271</c:v>
                </c:pt>
                <c:pt idx="189">
                  <c:v>114.07024114639397</c:v>
                </c:pt>
                <c:pt idx="190">
                  <c:v>115.27897139436504</c:v>
                </c:pt>
                <c:pt idx="191">
                  <c:v>116.494072010656</c:v>
                </c:pt>
                <c:pt idx="192">
                  <c:v>117.71554299526683</c:v>
                </c:pt>
                <c:pt idx="193">
                  <c:v>118.94338434819754</c:v>
                </c:pt>
                <c:pt idx="194">
                  <c:v>120.17759606944814</c:v>
                </c:pt>
                <c:pt idx="195">
                  <c:v>121.41817815901861</c:v>
                </c:pt>
                <c:pt idx="196">
                  <c:v>122.66513061690895</c:v>
                </c:pt>
                <c:pt idx="197">
                  <c:v>123.91845344311922</c:v>
                </c:pt>
                <c:pt idx="198">
                  <c:v>125.17814663764933</c:v>
                </c:pt>
                <c:pt idx="199">
                  <c:v>126.4442102004993</c:v>
                </c:pt>
                <c:pt idx="200">
                  <c:v>127.71664413166914</c:v>
                </c:pt>
                <c:pt idx="201">
                  <c:v>128.99544843115888</c:v>
                </c:pt>
                <c:pt idx="202">
                  <c:v>130.2806230989685</c:v>
                </c:pt>
                <c:pt idx="203">
                  <c:v>131.57216813509797</c:v>
                </c:pt>
                <c:pt idx="204">
                  <c:v>132.87008353954732</c:v>
                </c:pt>
                <c:pt idx="205">
                  <c:v>134.1743693123166</c:v>
                </c:pt>
                <c:pt idx="206">
                  <c:v>135.48502545340571</c:v>
                </c:pt>
                <c:pt idx="207">
                  <c:v>136.80205196281472</c:v>
                </c:pt>
                <c:pt idx="208">
                  <c:v>138.12544884054358</c:v>
                </c:pt>
                <c:pt idx="209">
                  <c:v>139.45521608659232</c:v>
                </c:pt>
                <c:pt idx="210">
                  <c:v>140.79135370096094</c:v>
                </c:pt>
                <c:pt idx="211">
                  <c:v>142.13386168364946</c:v>
                </c:pt>
                <c:pt idx="212">
                  <c:v>143.48274003465781</c:v>
                </c:pt>
                <c:pt idx="213">
                  <c:v>144.83798875398611</c:v>
                </c:pt>
                <c:pt idx="214">
                  <c:v>146.19960784163425</c:v>
                </c:pt>
                <c:pt idx="215">
                  <c:v>147.56759729760225</c:v>
                </c:pt>
                <c:pt idx="216">
                  <c:v>148.94195712189014</c:v>
                </c:pt>
                <c:pt idx="217">
                  <c:v>150.3226873144979</c:v>
                </c:pt>
                <c:pt idx="218">
                  <c:v>151.70978787542552</c:v>
                </c:pt>
                <c:pt idx="219">
                  <c:v>153.10325880467306</c:v>
                </c:pt>
                <c:pt idx="220">
                  <c:v>154.50310010224044</c:v>
                </c:pt>
                <c:pt idx="221">
                  <c:v>155.90931176812776</c:v>
                </c:pt>
                <c:pt idx="222">
                  <c:v>157.3218938023349</c:v>
                </c:pt>
                <c:pt idx="223">
                  <c:v>158.74084620486192</c:v>
                </c:pt>
                <c:pt idx="224">
                  <c:v>160.16616897570884</c:v>
                </c:pt>
                <c:pt idx="225">
                  <c:v>161.5978621148756</c:v>
                </c:pt>
                <c:pt idx="226">
                  <c:v>163.03592562236224</c:v>
                </c:pt>
                <c:pt idx="227">
                  <c:v>164.48035949816881</c:v>
                </c:pt>
                <c:pt idx="228">
                  <c:v>165.93116374229518</c:v>
                </c:pt>
                <c:pt idx="229">
                  <c:v>167.38833835474151</c:v>
                </c:pt>
                <c:pt idx="230">
                  <c:v>168.85188333550769</c:v>
                </c:pt>
                <c:pt idx="231">
                  <c:v>170.32179868459372</c:v>
                </c:pt>
                <c:pt idx="232">
                  <c:v>171.79808440199963</c:v>
                </c:pt>
                <c:pt idx="233">
                  <c:v>173.28074048772544</c:v>
                </c:pt>
                <c:pt idx="234">
                  <c:v>174.76976694177111</c:v>
                </c:pt>
                <c:pt idx="235">
                  <c:v>176.26516376413664</c:v>
                </c:pt>
                <c:pt idx="236">
                  <c:v>177.76693095482207</c:v>
                </c:pt>
                <c:pt idx="237">
                  <c:v>179.27506851382742</c:v>
                </c:pt>
                <c:pt idx="238">
                  <c:v>180.7895764411526</c:v>
                </c:pt>
                <c:pt idx="239">
                  <c:v>182.31045473679765</c:v>
                </c:pt>
                <c:pt idx="240">
                  <c:v>183.83770340076259</c:v>
                </c:pt>
                <c:pt idx="241">
                  <c:v>185.3713224330474</c:v>
                </c:pt>
                <c:pt idx="242">
                  <c:v>186.91131183365206</c:v>
                </c:pt>
                <c:pt idx="243">
                  <c:v>188.45767160257662</c:v>
                </c:pt>
                <c:pt idx="244">
                  <c:v>190.01040173982108</c:v>
                </c:pt>
                <c:pt idx="245">
                  <c:v>191.56950224538542</c:v>
                </c:pt>
                <c:pt idx="246">
                  <c:v>193.13497311926963</c:v>
                </c:pt>
                <c:pt idx="247">
                  <c:v>194.7068143614737</c:v>
                </c:pt>
                <c:pt idx="248">
                  <c:v>196.28502597199764</c:v>
                </c:pt>
                <c:pt idx="249">
                  <c:v>197.86960795084147</c:v>
                </c:pt>
                <c:pt idx="250">
                  <c:v>199.46056029800516</c:v>
                </c:pt>
                <c:pt idx="251">
                  <c:v>201.05788301348872</c:v>
                </c:pt>
                <c:pt idx="252">
                  <c:v>202.6615760972922</c:v>
                </c:pt>
                <c:pt idx="253">
                  <c:v>204.2716395494156</c:v>
                </c:pt>
                <c:pt idx="254">
                  <c:v>205.88807336985877</c:v>
                </c:pt>
                <c:pt idx="255">
                  <c:v>207.11660000000001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2-47AC-ABF8-F249AE347D2A}"/>
            </c:ext>
          </c:extLst>
        </c:ser>
        <c:ser>
          <c:idx val="2"/>
          <c:order val="2"/>
          <c:tx>
            <c:strRef>
              <c:f>'Gamma 2.0 5400K'!$E$16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2.0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2.0 5400K'!$E$17:$E$272</c:f>
              <c:numCache>
                <c:formatCode>0.00_ </c:formatCode>
                <c:ptCount val="256"/>
                <c:pt idx="0">
                  <c:v>2.062095742178793E-4</c:v>
                </c:pt>
                <c:pt idx="1">
                  <c:v>5.4099086399925804E-3</c:v>
                </c:pt>
                <c:pt idx="2">
                  <c:v>1.762101285763195E-2</c:v>
                </c:pt>
                <c:pt idx="3">
                  <c:v>3.6839522227135997E-2</c:v>
                </c:pt>
                <c:pt idx="4">
                  <c:v>6.3065436748504719E-2</c:v>
                </c:pt>
                <c:pt idx="5">
                  <c:v>9.6298756421738088E-2</c:v>
                </c:pt>
                <c:pt idx="6">
                  <c:v>0.13653948124683613</c:v>
                </c:pt>
                <c:pt idx="7">
                  <c:v>0.18378761122379883</c:v>
                </c:pt>
                <c:pt idx="8">
                  <c:v>0.23804314635262616</c:v>
                </c:pt>
                <c:pt idx="9">
                  <c:v>0.29930608663331826</c:v>
                </c:pt>
                <c:pt idx="10">
                  <c:v>0.36757643206587493</c:v>
                </c:pt>
                <c:pt idx="11">
                  <c:v>0.4428541826502963</c:v>
                </c:pt>
                <c:pt idx="12">
                  <c:v>0.52513933838658233</c:v>
                </c:pt>
                <c:pt idx="13">
                  <c:v>0.61443189927473307</c:v>
                </c:pt>
                <c:pt idx="14">
                  <c:v>0.71073186531474852</c:v>
                </c:pt>
                <c:pt idx="15">
                  <c:v>0.81403923650662846</c:v>
                </c:pt>
                <c:pt idx="16">
                  <c:v>0.92435401285037344</c:v>
                </c:pt>
                <c:pt idx="17">
                  <c:v>1.0416761943459827</c:v>
                </c:pt>
                <c:pt idx="18">
                  <c:v>1.166005780993457</c:v>
                </c:pt>
                <c:pt idx="19">
                  <c:v>1.2973427727927955</c:v>
                </c:pt>
                <c:pt idx="20">
                  <c:v>1.435687169743999</c:v>
                </c:pt>
                <c:pt idx="21">
                  <c:v>1.581038971847067</c:v>
                </c:pt>
                <c:pt idx="22">
                  <c:v>1.7333981791019997</c:v>
                </c:pt>
                <c:pt idx="23">
                  <c:v>1.8927647915087973</c:v>
                </c:pt>
                <c:pt idx="24">
                  <c:v>2.0591388090674592</c:v>
                </c:pt>
                <c:pt idx="25">
                  <c:v>2.2325202317779858</c:v>
                </c:pt>
                <c:pt idx="26">
                  <c:v>2.4129090596403775</c:v>
                </c:pt>
                <c:pt idx="27">
                  <c:v>2.6003052926546331</c:v>
                </c:pt>
                <c:pt idx="28">
                  <c:v>2.7947089308207542</c:v>
                </c:pt>
                <c:pt idx="29">
                  <c:v>2.9961199741387397</c:v>
                </c:pt>
                <c:pt idx="30">
                  <c:v>3.2045384226085898</c:v>
                </c:pt>
                <c:pt idx="31">
                  <c:v>3.4199642762303046</c:v>
                </c:pt>
                <c:pt idx="32">
                  <c:v>3.6423975350038842</c:v>
                </c:pt>
                <c:pt idx="33">
                  <c:v>3.8718381989293289</c:v>
                </c:pt>
                <c:pt idx="34">
                  <c:v>4.108286268006637</c:v>
                </c:pt>
                <c:pt idx="35">
                  <c:v>4.3517417422358111</c:v>
                </c:pt>
                <c:pt idx="36">
                  <c:v>4.6022046216168482</c:v>
                </c:pt>
                <c:pt idx="37">
                  <c:v>4.8596749061497517</c:v>
                </c:pt>
                <c:pt idx="38">
                  <c:v>5.1241525958345173</c:v>
                </c:pt>
                <c:pt idx="39">
                  <c:v>5.3956376906711512</c:v>
                </c:pt>
                <c:pt idx="40">
                  <c:v>5.6741301906596471</c:v>
                </c:pt>
                <c:pt idx="41">
                  <c:v>5.9596300958000095</c:v>
                </c:pt>
                <c:pt idx="42">
                  <c:v>6.2521374060922339</c:v>
                </c:pt>
                <c:pt idx="43">
                  <c:v>6.5516521215363266</c:v>
                </c:pt>
                <c:pt idx="44">
                  <c:v>6.8581742421322804</c:v>
                </c:pt>
                <c:pt idx="45">
                  <c:v>7.1717037678801008</c:v>
                </c:pt>
                <c:pt idx="46">
                  <c:v>7.4922406987797858</c:v>
                </c:pt>
                <c:pt idx="47">
                  <c:v>7.8197850348313374</c:v>
                </c:pt>
                <c:pt idx="48">
                  <c:v>8.15433677603475</c:v>
                </c:pt>
                <c:pt idx="49">
                  <c:v>8.4958959223900283</c:v>
                </c:pt>
                <c:pt idx="50">
                  <c:v>8.8444624738971704</c:v>
                </c:pt>
                <c:pt idx="51">
                  <c:v>9.2000364305561799</c:v>
                </c:pt>
                <c:pt idx="52">
                  <c:v>9.5626177923670515</c:v>
                </c:pt>
                <c:pt idx="53">
                  <c:v>9.9322065593297904</c:v>
                </c:pt>
                <c:pt idx="54">
                  <c:v>10.308802731444391</c:v>
                </c:pt>
                <c:pt idx="55">
                  <c:v>10.69240630871086</c:v>
                </c:pt>
                <c:pt idx="56">
                  <c:v>11.083017291129188</c:v>
                </c:pt>
                <c:pt idx="57">
                  <c:v>11.480635678699388</c:v>
                </c:pt>
                <c:pt idx="58">
                  <c:v>11.885261471421448</c:v>
                </c:pt>
                <c:pt idx="59">
                  <c:v>12.296894669295373</c:v>
                </c:pt>
                <c:pt idx="60">
                  <c:v>12.715535272321162</c:v>
                </c:pt>
                <c:pt idx="61">
                  <c:v>13.141183280498819</c:v>
                </c:pt>
                <c:pt idx="62">
                  <c:v>13.573838693828336</c:v>
                </c:pt>
                <c:pt idx="63">
                  <c:v>14.013501512309722</c:v>
                </c:pt>
                <c:pt idx="64">
                  <c:v>14.46017173594297</c:v>
                </c:pt>
                <c:pt idx="65">
                  <c:v>14.91384936472808</c:v>
                </c:pt>
                <c:pt idx="66">
                  <c:v>15.374534398665057</c:v>
                </c:pt>
                <c:pt idx="67">
                  <c:v>15.842226837753898</c:v>
                </c:pt>
                <c:pt idx="68">
                  <c:v>16.316926681994609</c:v>
                </c:pt>
                <c:pt idx="69">
                  <c:v>16.79863393138718</c:v>
                </c:pt>
                <c:pt idx="70">
                  <c:v>17.287348585931614</c:v>
                </c:pt>
                <c:pt idx="71">
                  <c:v>17.783070645627916</c:v>
                </c:pt>
                <c:pt idx="72">
                  <c:v>18.285800110476089</c:v>
                </c:pt>
                <c:pt idx="73">
                  <c:v>18.795536980476115</c:v>
                </c:pt>
                <c:pt idx="74">
                  <c:v>19.312281255628008</c:v>
                </c:pt>
                <c:pt idx="75">
                  <c:v>19.836032935931769</c:v>
                </c:pt>
                <c:pt idx="76">
                  <c:v>20.366792021387397</c:v>
                </c:pt>
                <c:pt idx="77">
                  <c:v>20.904558511994885</c:v>
                </c:pt>
                <c:pt idx="78">
                  <c:v>21.449332407754238</c:v>
                </c:pt>
                <c:pt idx="79">
                  <c:v>22.001113708665454</c:v>
                </c:pt>
                <c:pt idx="80">
                  <c:v>22.559902414728544</c:v>
                </c:pt>
                <c:pt idx="81">
                  <c:v>23.125698525943491</c:v>
                </c:pt>
                <c:pt idx="82">
                  <c:v>23.698502042310299</c:v>
                </c:pt>
                <c:pt idx="83">
                  <c:v>24.278312963828977</c:v>
                </c:pt>
                <c:pt idx="84">
                  <c:v>24.865131290499523</c:v>
                </c:pt>
                <c:pt idx="85">
                  <c:v>25.458957022321929</c:v>
                </c:pt>
                <c:pt idx="86">
                  <c:v>26.059790159296199</c:v>
                </c:pt>
                <c:pt idx="87">
                  <c:v>26.667630701422333</c:v>
                </c:pt>
                <c:pt idx="88">
                  <c:v>27.282478648700337</c:v>
                </c:pt>
                <c:pt idx="89">
                  <c:v>27.904334001130202</c:v>
                </c:pt>
                <c:pt idx="90">
                  <c:v>28.533196758711931</c:v>
                </c:pt>
                <c:pt idx="91">
                  <c:v>29.169066921445523</c:v>
                </c:pt>
                <c:pt idx="92">
                  <c:v>29.811944489330994</c:v>
                </c:pt>
                <c:pt idx="93">
                  <c:v>30.461829462368311</c:v>
                </c:pt>
                <c:pt idx="94">
                  <c:v>31.118721840557498</c:v>
                </c:pt>
                <c:pt idx="95">
                  <c:v>31.782621623898546</c:v>
                </c:pt>
                <c:pt idx="96">
                  <c:v>32.453528812391475</c:v>
                </c:pt>
                <c:pt idx="97">
                  <c:v>33.131443406036254</c:v>
                </c:pt>
                <c:pt idx="98">
                  <c:v>33.816365404832901</c:v>
                </c:pt>
                <c:pt idx="99">
                  <c:v>34.508294808781415</c:v>
                </c:pt>
                <c:pt idx="100">
                  <c:v>35.207231617881789</c:v>
                </c:pt>
                <c:pt idx="101">
                  <c:v>35.913175832134037</c:v>
                </c:pt>
                <c:pt idx="102">
                  <c:v>36.626127451538139</c:v>
                </c:pt>
                <c:pt idx="103">
                  <c:v>37.346086476094101</c:v>
                </c:pt>
                <c:pt idx="104">
                  <c:v>38.073052905801944</c:v>
                </c:pt>
                <c:pt idx="105">
                  <c:v>38.807026740661648</c:v>
                </c:pt>
                <c:pt idx="106">
                  <c:v>39.548007980673212</c:v>
                </c:pt>
                <c:pt idx="107">
                  <c:v>40.295996625836629</c:v>
                </c:pt>
                <c:pt idx="108">
                  <c:v>41.050992676151935</c:v>
                </c:pt>
                <c:pt idx="109">
                  <c:v>41.812996131619094</c:v>
                </c:pt>
                <c:pt idx="110">
                  <c:v>42.582006992238114</c:v>
                </c:pt>
                <c:pt idx="111">
                  <c:v>43.358025258008993</c:v>
                </c:pt>
                <c:pt idx="112">
                  <c:v>44.141050928931762</c:v>
                </c:pt>
                <c:pt idx="113">
                  <c:v>44.931084005006369</c:v>
                </c:pt>
                <c:pt idx="114">
                  <c:v>45.728124486232851</c:v>
                </c:pt>
                <c:pt idx="115">
                  <c:v>46.5321723726112</c:v>
                </c:pt>
                <c:pt idx="116">
                  <c:v>47.343227664141416</c:v>
                </c:pt>
                <c:pt idx="117">
                  <c:v>48.161290360823486</c:v>
                </c:pt>
                <c:pt idx="118">
                  <c:v>48.986360462657423</c:v>
                </c:pt>
                <c:pt idx="119">
                  <c:v>49.818437969643227</c:v>
                </c:pt>
                <c:pt idx="120">
                  <c:v>50.657522881780906</c:v>
                </c:pt>
                <c:pt idx="121">
                  <c:v>51.503615199070445</c:v>
                </c:pt>
                <c:pt idx="122">
                  <c:v>52.356714921511838</c:v>
                </c:pt>
                <c:pt idx="123">
                  <c:v>53.216822049105097</c:v>
                </c:pt>
                <c:pt idx="124">
                  <c:v>54.083936581850239</c:v>
                </c:pt>
                <c:pt idx="125">
                  <c:v>54.958058519747226</c:v>
                </c:pt>
                <c:pt idx="126">
                  <c:v>55.839187862796081</c:v>
                </c:pt>
                <c:pt idx="127">
                  <c:v>56.727324610996803</c:v>
                </c:pt>
                <c:pt idx="128">
                  <c:v>57.622468764349406</c:v>
                </c:pt>
                <c:pt idx="129">
                  <c:v>58.524620322853856</c:v>
                </c:pt>
                <c:pt idx="130">
                  <c:v>59.433779286510166</c:v>
                </c:pt>
                <c:pt idx="131">
                  <c:v>60.349945655318351</c:v>
                </c:pt>
                <c:pt idx="132">
                  <c:v>61.273119429278395</c:v>
                </c:pt>
                <c:pt idx="133">
                  <c:v>62.2033006083903</c:v>
                </c:pt>
                <c:pt idx="134">
                  <c:v>63.140489192654108</c:v>
                </c:pt>
                <c:pt idx="135">
                  <c:v>64.084685182069734</c:v>
                </c:pt>
                <c:pt idx="136">
                  <c:v>65.035888576637234</c:v>
                </c:pt>
                <c:pt idx="137">
                  <c:v>65.994099376356601</c:v>
                </c:pt>
                <c:pt idx="138">
                  <c:v>66.959317581227836</c:v>
                </c:pt>
                <c:pt idx="139">
                  <c:v>67.931543191250924</c:v>
                </c:pt>
                <c:pt idx="140">
                  <c:v>68.910776206425879</c:v>
                </c:pt>
                <c:pt idx="141">
                  <c:v>69.897016626752745</c:v>
                </c:pt>
                <c:pt idx="142">
                  <c:v>70.890264452231435</c:v>
                </c:pt>
                <c:pt idx="143">
                  <c:v>71.890519682861992</c:v>
                </c:pt>
                <c:pt idx="144">
                  <c:v>72.897782318644403</c:v>
                </c:pt>
                <c:pt idx="145">
                  <c:v>73.912052359578695</c:v>
                </c:pt>
                <c:pt idx="146">
                  <c:v>74.93332980566484</c:v>
                </c:pt>
                <c:pt idx="147">
                  <c:v>75.961614656902839</c:v>
                </c:pt>
                <c:pt idx="148">
                  <c:v>76.996906913292733</c:v>
                </c:pt>
                <c:pt idx="149">
                  <c:v>78.039206574834509</c:v>
                </c:pt>
                <c:pt idx="150">
                  <c:v>79.08851364152811</c:v>
                </c:pt>
                <c:pt idx="151">
                  <c:v>80.144828113373592</c:v>
                </c:pt>
                <c:pt idx="152">
                  <c:v>81.208149990370913</c:v>
                </c:pt>
                <c:pt idx="153">
                  <c:v>82.278479272520116</c:v>
                </c:pt>
                <c:pt idx="154">
                  <c:v>83.355815959821172</c:v>
                </c:pt>
                <c:pt idx="155">
                  <c:v>84.440160052274109</c:v>
                </c:pt>
                <c:pt idx="156">
                  <c:v>85.5315115498789</c:v>
                </c:pt>
                <c:pt idx="157">
                  <c:v>86.6298704526356</c:v>
                </c:pt>
                <c:pt idx="158">
                  <c:v>87.735236760544112</c:v>
                </c:pt>
                <c:pt idx="159">
                  <c:v>88.847610473604504</c:v>
                </c:pt>
                <c:pt idx="160">
                  <c:v>89.96699159181675</c:v>
                </c:pt>
                <c:pt idx="161">
                  <c:v>91.093380115180892</c:v>
                </c:pt>
                <c:pt idx="162">
                  <c:v>92.226776043696859</c:v>
                </c:pt>
                <c:pt idx="163">
                  <c:v>93.367179377364707</c:v>
                </c:pt>
                <c:pt idx="164">
                  <c:v>94.514590116184408</c:v>
                </c:pt>
                <c:pt idx="165">
                  <c:v>95.669008260156033</c:v>
                </c:pt>
                <c:pt idx="166">
                  <c:v>96.830433809279469</c:v>
                </c:pt>
                <c:pt idx="167">
                  <c:v>97.998866763554773</c:v>
                </c:pt>
                <c:pt idx="168">
                  <c:v>99.174307122981944</c:v>
                </c:pt>
                <c:pt idx="169">
                  <c:v>100.35675488756097</c:v>
                </c:pt>
                <c:pt idx="170">
                  <c:v>101.54621005729189</c:v>
                </c:pt>
                <c:pt idx="171">
                  <c:v>102.74267263217465</c:v>
                </c:pt>
                <c:pt idx="172">
                  <c:v>103.94614261220926</c:v>
                </c:pt>
                <c:pt idx="173">
                  <c:v>105.15661999739579</c:v>
                </c:pt>
                <c:pt idx="174">
                  <c:v>106.37410478773415</c:v>
                </c:pt>
                <c:pt idx="175">
                  <c:v>107.59859698322437</c:v>
                </c:pt>
                <c:pt idx="176">
                  <c:v>108.83009658386646</c:v>
                </c:pt>
                <c:pt idx="177">
                  <c:v>110.06860358966041</c:v>
                </c:pt>
                <c:pt idx="178">
                  <c:v>111.31411800060624</c:v>
                </c:pt>
                <c:pt idx="179">
                  <c:v>112.56663981670393</c:v>
                </c:pt>
                <c:pt idx="180">
                  <c:v>113.82616903795345</c:v>
                </c:pt>
                <c:pt idx="181">
                  <c:v>115.09270566435492</c:v>
                </c:pt>
                <c:pt idx="182">
                  <c:v>116.36624969590818</c:v>
                </c:pt>
                <c:pt idx="183">
                  <c:v>117.64680113261332</c:v>
                </c:pt>
                <c:pt idx="184">
                  <c:v>118.93435997447031</c:v>
                </c:pt>
                <c:pt idx="185">
                  <c:v>120.22892622147918</c:v>
                </c:pt>
                <c:pt idx="186">
                  <c:v>121.53049987363994</c:v>
                </c:pt>
                <c:pt idx="187">
                  <c:v>122.83908093095253</c:v>
                </c:pt>
                <c:pt idx="188">
                  <c:v>124.15466939341698</c:v>
                </c:pt>
                <c:pt idx="189">
                  <c:v>125.47726526103337</c:v>
                </c:pt>
                <c:pt idx="190">
                  <c:v>126.80686853380155</c:v>
                </c:pt>
                <c:pt idx="191">
                  <c:v>128.1434792117216</c:v>
                </c:pt>
                <c:pt idx="192">
                  <c:v>129.4870972947935</c:v>
                </c:pt>
                <c:pt idx="193">
                  <c:v>130.83772278301728</c:v>
                </c:pt>
                <c:pt idx="194">
                  <c:v>132.19535567639295</c:v>
                </c:pt>
                <c:pt idx="195">
                  <c:v>133.55999597492047</c:v>
                </c:pt>
                <c:pt idx="196">
                  <c:v>134.93164367859984</c:v>
                </c:pt>
                <c:pt idx="197">
                  <c:v>136.31029878743115</c:v>
                </c:pt>
                <c:pt idx="198">
                  <c:v>137.69596130141426</c:v>
                </c:pt>
                <c:pt idx="199">
                  <c:v>139.08863122054922</c:v>
                </c:pt>
                <c:pt idx="200">
                  <c:v>140.48830854483606</c:v>
                </c:pt>
                <c:pt idx="201">
                  <c:v>141.89499327427475</c:v>
                </c:pt>
                <c:pt idx="202">
                  <c:v>143.30868540886536</c:v>
                </c:pt>
                <c:pt idx="203">
                  <c:v>144.72938494860776</c:v>
                </c:pt>
                <c:pt idx="204">
                  <c:v>146.15709189350207</c:v>
                </c:pt>
                <c:pt idx="205">
                  <c:v>147.59180624354826</c:v>
                </c:pt>
                <c:pt idx="206">
                  <c:v>149.03352799874628</c:v>
                </c:pt>
                <c:pt idx="207">
                  <c:v>150.48225715909618</c:v>
                </c:pt>
                <c:pt idx="208">
                  <c:v>151.93799372459793</c:v>
                </c:pt>
                <c:pt idx="209">
                  <c:v>153.40073769525154</c:v>
                </c:pt>
                <c:pt idx="210">
                  <c:v>154.87048907105702</c:v>
                </c:pt>
                <c:pt idx="211">
                  <c:v>156.34724785201439</c:v>
                </c:pt>
                <c:pt idx="212">
                  <c:v>157.83101403812358</c:v>
                </c:pt>
                <c:pt idx="213">
                  <c:v>159.32178762938472</c:v>
                </c:pt>
                <c:pt idx="214">
                  <c:v>160.81956862579767</c:v>
                </c:pt>
                <c:pt idx="215">
                  <c:v>162.32435702736248</c:v>
                </c:pt>
                <c:pt idx="216">
                  <c:v>163.83615283407914</c:v>
                </c:pt>
                <c:pt idx="217">
                  <c:v>165.35495604594769</c:v>
                </c:pt>
                <c:pt idx="218">
                  <c:v>166.88076666296809</c:v>
                </c:pt>
                <c:pt idx="219">
                  <c:v>168.41358468514036</c:v>
                </c:pt>
                <c:pt idx="220">
                  <c:v>169.9534101124645</c:v>
                </c:pt>
                <c:pt idx="221">
                  <c:v>171.50024294494054</c:v>
                </c:pt>
                <c:pt idx="222">
                  <c:v>173.05408318256838</c:v>
                </c:pt>
                <c:pt idx="223">
                  <c:v>174.61493082534813</c:v>
                </c:pt>
                <c:pt idx="224">
                  <c:v>176.18278587327973</c:v>
                </c:pt>
                <c:pt idx="225">
                  <c:v>177.75764832636315</c:v>
                </c:pt>
                <c:pt idx="226">
                  <c:v>179.33951818459846</c:v>
                </c:pt>
                <c:pt idx="227">
                  <c:v>180.92839544798568</c:v>
                </c:pt>
                <c:pt idx="228">
                  <c:v>182.52428011652469</c:v>
                </c:pt>
                <c:pt idx="229">
                  <c:v>184.12717219021565</c:v>
                </c:pt>
                <c:pt idx="230">
                  <c:v>185.73707166905845</c:v>
                </c:pt>
                <c:pt idx="231">
                  <c:v>187.35397855305308</c:v>
                </c:pt>
                <c:pt idx="232">
                  <c:v>188.97789284219959</c:v>
                </c:pt>
                <c:pt idx="233">
                  <c:v>190.60881453649799</c:v>
                </c:pt>
                <c:pt idx="234">
                  <c:v>192.24674363594823</c:v>
                </c:pt>
                <c:pt idx="235">
                  <c:v>193.89168014055031</c:v>
                </c:pt>
                <c:pt idx="236">
                  <c:v>195.54362405030429</c:v>
                </c:pt>
                <c:pt idx="237">
                  <c:v>197.20257536521015</c:v>
                </c:pt>
                <c:pt idx="238">
                  <c:v>198.86853408526787</c:v>
                </c:pt>
                <c:pt idx="239">
                  <c:v>200.54150021047741</c:v>
                </c:pt>
                <c:pt idx="240">
                  <c:v>202.22147374083886</c:v>
                </c:pt>
                <c:pt idx="241">
                  <c:v>203.90845467635214</c:v>
                </c:pt>
                <c:pt idx="242">
                  <c:v>205.60244301701726</c:v>
                </c:pt>
                <c:pt idx="243">
                  <c:v>207.30343876283428</c:v>
                </c:pt>
                <c:pt idx="244">
                  <c:v>209.0114419138032</c:v>
                </c:pt>
                <c:pt idx="245">
                  <c:v>210.72645246992397</c:v>
                </c:pt>
                <c:pt idx="246">
                  <c:v>212.4484704311966</c:v>
                </c:pt>
                <c:pt idx="247">
                  <c:v>214.17749579762108</c:v>
                </c:pt>
                <c:pt idx="248">
                  <c:v>215.91352856919741</c:v>
                </c:pt>
                <c:pt idx="249">
                  <c:v>217.65656874592563</c:v>
                </c:pt>
                <c:pt idx="250">
                  <c:v>219.40661632780569</c:v>
                </c:pt>
                <c:pt idx="251">
                  <c:v>221.16367131483759</c:v>
                </c:pt>
                <c:pt idx="252">
                  <c:v>222.92773370702142</c:v>
                </c:pt>
                <c:pt idx="253">
                  <c:v>224.69880350435716</c:v>
                </c:pt>
                <c:pt idx="254">
                  <c:v>226.47688070684467</c:v>
                </c:pt>
                <c:pt idx="255">
                  <c:v>227.82826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02-47AC-ABF8-F249AE347D2A}"/>
            </c:ext>
          </c:extLst>
        </c:ser>
        <c:ser>
          <c:idx val="3"/>
          <c:order val="3"/>
          <c:tx>
            <c:strRef>
              <c:f>'Gamma 2.0 5400K'!$F$16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2.0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2.0 5400K'!$F$17:$F$272</c:f>
              <c:numCache>
                <c:formatCode>General</c:formatCode>
                <c:ptCount val="256"/>
                <c:pt idx="0">
                  <c:v>0.24260000000000001</c:v>
                </c:pt>
                <c:pt idx="1">
                  <c:v>0.24199999999999999</c:v>
                </c:pt>
                <c:pt idx="2">
                  <c:v>0.24210000000000001</c:v>
                </c:pt>
                <c:pt idx="3">
                  <c:v>0.25540000000000002</c:v>
                </c:pt>
                <c:pt idx="4">
                  <c:v>0.2712</c:v>
                </c:pt>
                <c:pt idx="5">
                  <c:v>0.29160000000000003</c:v>
                </c:pt>
                <c:pt idx="6">
                  <c:v>0.31390000000000001</c:v>
                </c:pt>
                <c:pt idx="7">
                  <c:v>0.34429999999999999</c:v>
                </c:pt>
                <c:pt idx="8">
                  <c:v>0.38650000000000001</c:v>
                </c:pt>
                <c:pt idx="9">
                  <c:v>0.44090000000000001</c:v>
                </c:pt>
                <c:pt idx="10">
                  <c:v>0.50780000000000003</c:v>
                </c:pt>
                <c:pt idx="11">
                  <c:v>0.58740000000000003</c:v>
                </c:pt>
                <c:pt idx="12">
                  <c:v>0.64729999999999999</c:v>
                </c:pt>
                <c:pt idx="13">
                  <c:v>0.72950000000000004</c:v>
                </c:pt>
                <c:pt idx="14">
                  <c:v>0.84099999999999997</c:v>
                </c:pt>
                <c:pt idx="15">
                  <c:v>1.0049999999999999</c:v>
                </c:pt>
                <c:pt idx="16">
                  <c:v>1.0914999999999999</c:v>
                </c:pt>
                <c:pt idx="17">
                  <c:v>1.1942999999999999</c:v>
                </c:pt>
                <c:pt idx="18">
                  <c:v>1.2750999999999999</c:v>
                </c:pt>
                <c:pt idx="19">
                  <c:v>1.3862000000000001</c:v>
                </c:pt>
                <c:pt idx="20">
                  <c:v>1.506</c:v>
                </c:pt>
                <c:pt idx="21">
                  <c:v>1.5702</c:v>
                </c:pt>
                <c:pt idx="22">
                  <c:v>1.7070000000000001</c:v>
                </c:pt>
                <c:pt idx="23">
                  <c:v>1.8368</c:v>
                </c:pt>
                <c:pt idx="24">
                  <c:v>2.0451000000000001</c:v>
                </c:pt>
                <c:pt idx="25">
                  <c:v>2.1375000000000002</c:v>
                </c:pt>
                <c:pt idx="26">
                  <c:v>2.3069000000000002</c:v>
                </c:pt>
                <c:pt idx="27">
                  <c:v>2.4763000000000002</c:v>
                </c:pt>
                <c:pt idx="28">
                  <c:v>2.6478999999999999</c:v>
                </c:pt>
                <c:pt idx="29">
                  <c:v>2.7774999999999999</c:v>
                </c:pt>
                <c:pt idx="30">
                  <c:v>2.9895999999999998</c:v>
                </c:pt>
                <c:pt idx="31">
                  <c:v>3.2749000000000001</c:v>
                </c:pt>
                <c:pt idx="32">
                  <c:v>3.49</c:v>
                </c:pt>
                <c:pt idx="33">
                  <c:v>3.6575000000000002</c:v>
                </c:pt>
                <c:pt idx="34">
                  <c:v>3.8855</c:v>
                </c:pt>
                <c:pt idx="35">
                  <c:v>4.0492999999999997</c:v>
                </c:pt>
                <c:pt idx="36">
                  <c:v>4.2412000000000001</c:v>
                </c:pt>
                <c:pt idx="37">
                  <c:v>4.4714999999999998</c:v>
                </c:pt>
                <c:pt idx="38">
                  <c:v>4.7119</c:v>
                </c:pt>
                <c:pt idx="39">
                  <c:v>5.0076000000000001</c:v>
                </c:pt>
                <c:pt idx="40">
                  <c:v>5.4352999999999998</c:v>
                </c:pt>
                <c:pt idx="41">
                  <c:v>5.6725000000000003</c:v>
                </c:pt>
                <c:pt idx="42">
                  <c:v>5.8727</c:v>
                </c:pt>
                <c:pt idx="43">
                  <c:v>6.1847000000000003</c:v>
                </c:pt>
                <c:pt idx="44">
                  <c:v>6.4218999999999999</c:v>
                </c:pt>
                <c:pt idx="45">
                  <c:v>6.7190000000000003</c:v>
                </c:pt>
                <c:pt idx="46">
                  <c:v>7.0149999999999997</c:v>
                </c:pt>
                <c:pt idx="47">
                  <c:v>7.3106999999999998</c:v>
                </c:pt>
                <c:pt idx="48">
                  <c:v>7.6725000000000003</c:v>
                </c:pt>
                <c:pt idx="49">
                  <c:v>8.1247000000000007</c:v>
                </c:pt>
                <c:pt idx="50">
                  <c:v>8.5033999999999992</c:v>
                </c:pt>
                <c:pt idx="51">
                  <c:v>8.7897999999999996</c:v>
                </c:pt>
                <c:pt idx="52">
                  <c:v>9.1752000000000002</c:v>
                </c:pt>
                <c:pt idx="53">
                  <c:v>9.4552999999999994</c:v>
                </c:pt>
                <c:pt idx="54">
                  <c:v>9.9313000000000002</c:v>
                </c:pt>
                <c:pt idx="55">
                  <c:v>10.2241</c:v>
                </c:pt>
                <c:pt idx="56">
                  <c:v>10.614100000000001</c:v>
                </c:pt>
                <c:pt idx="57">
                  <c:v>11.014699999999999</c:v>
                </c:pt>
                <c:pt idx="58">
                  <c:v>11.3201</c:v>
                </c:pt>
                <c:pt idx="59">
                  <c:v>11.805999999999999</c:v>
                </c:pt>
                <c:pt idx="60">
                  <c:v>12.1273</c:v>
                </c:pt>
                <c:pt idx="61">
                  <c:v>12.463100000000001</c:v>
                </c:pt>
                <c:pt idx="62">
                  <c:v>12.917</c:v>
                </c:pt>
                <c:pt idx="63">
                  <c:v>13.3439</c:v>
                </c:pt>
                <c:pt idx="64">
                  <c:v>13.4321</c:v>
                </c:pt>
                <c:pt idx="65">
                  <c:v>13.8423</c:v>
                </c:pt>
                <c:pt idx="66">
                  <c:v>14.3484</c:v>
                </c:pt>
                <c:pt idx="67">
                  <c:v>14.818899999999999</c:v>
                </c:pt>
                <c:pt idx="68">
                  <c:v>15.361700000000001</c:v>
                </c:pt>
                <c:pt idx="69">
                  <c:v>15.757400000000001</c:v>
                </c:pt>
                <c:pt idx="70">
                  <c:v>16.328900000000001</c:v>
                </c:pt>
                <c:pt idx="71">
                  <c:v>16.7684</c:v>
                </c:pt>
                <c:pt idx="72">
                  <c:v>16.855599999999999</c:v>
                </c:pt>
                <c:pt idx="73">
                  <c:v>17.349</c:v>
                </c:pt>
                <c:pt idx="74">
                  <c:v>17.946400000000001</c:v>
                </c:pt>
                <c:pt idx="75">
                  <c:v>18.358899999999998</c:v>
                </c:pt>
                <c:pt idx="76">
                  <c:v>18.846399999999999</c:v>
                </c:pt>
                <c:pt idx="77">
                  <c:v>19.4574</c:v>
                </c:pt>
                <c:pt idx="78">
                  <c:v>19.863700000000001</c:v>
                </c:pt>
                <c:pt idx="79">
                  <c:v>20.4817</c:v>
                </c:pt>
                <c:pt idx="80">
                  <c:v>21.0015</c:v>
                </c:pt>
                <c:pt idx="81">
                  <c:v>21.498699999999999</c:v>
                </c:pt>
                <c:pt idx="82">
                  <c:v>22.167000000000002</c:v>
                </c:pt>
                <c:pt idx="83">
                  <c:v>22.640899999999998</c:v>
                </c:pt>
                <c:pt idx="84">
                  <c:v>23.149799999999999</c:v>
                </c:pt>
                <c:pt idx="85">
                  <c:v>23.898599999999998</c:v>
                </c:pt>
                <c:pt idx="86">
                  <c:v>24.463200000000001</c:v>
                </c:pt>
                <c:pt idx="87">
                  <c:v>24.6128</c:v>
                </c:pt>
                <c:pt idx="88">
                  <c:v>25.067299999999999</c:v>
                </c:pt>
                <c:pt idx="89">
                  <c:v>25.7409</c:v>
                </c:pt>
                <c:pt idx="90">
                  <c:v>26.349900000000002</c:v>
                </c:pt>
                <c:pt idx="91">
                  <c:v>27.097300000000001</c:v>
                </c:pt>
                <c:pt idx="92">
                  <c:v>27.676200000000001</c:v>
                </c:pt>
                <c:pt idx="93">
                  <c:v>28.251999999999999</c:v>
                </c:pt>
                <c:pt idx="94">
                  <c:v>29.016400000000001</c:v>
                </c:pt>
                <c:pt idx="95">
                  <c:v>29.6</c:v>
                </c:pt>
                <c:pt idx="96">
                  <c:v>30.2834</c:v>
                </c:pt>
                <c:pt idx="97">
                  <c:v>30.865500000000001</c:v>
                </c:pt>
                <c:pt idx="98">
                  <c:v>31.506399999999999</c:v>
                </c:pt>
                <c:pt idx="99">
                  <c:v>31.7424</c:v>
                </c:pt>
                <c:pt idx="100">
                  <c:v>32.537700000000001</c:v>
                </c:pt>
                <c:pt idx="101">
                  <c:v>33.178699999999999</c:v>
                </c:pt>
                <c:pt idx="102">
                  <c:v>34.019599999999997</c:v>
                </c:pt>
                <c:pt idx="103">
                  <c:v>34.652799999999999</c:v>
                </c:pt>
                <c:pt idx="104">
                  <c:v>35.308599999999998</c:v>
                </c:pt>
                <c:pt idx="105">
                  <c:v>36.221600000000002</c:v>
                </c:pt>
                <c:pt idx="106">
                  <c:v>36.912199999999999</c:v>
                </c:pt>
                <c:pt idx="107">
                  <c:v>37.121499999999997</c:v>
                </c:pt>
                <c:pt idx="108">
                  <c:v>37.811199999999999</c:v>
                </c:pt>
                <c:pt idx="109">
                  <c:v>38.725499999999997</c:v>
                </c:pt>
                <c:pt idx="110">
                  <c:v>39.393099999999997</c:v>
                </c:pt>
                <c:pt idx="111">
                  <c:v>40.090200000000003</c:v>
                </c:pt>
                <c:pt idx="112">
                  <c:v>40.777900000000002</c:v>
                </c:pt>
                <c:pt idx="113">
                  <c:v>41.365699999999997</c:v>
                </c:pt>
                <c:pt idx="114">
                  <c:v>41.556600000000003</c:v>
                </c:pt>
                <c:pt idx="115">
                  <c:v>42.509300000000003</c:v>
                </c:pt>
                <c:pt idx="116">
                  <c:v>43.285499999999999</c:v>
                </c:pt>
                <c:pt idx="117">
                  <c:v>44.017299999999999</c:v>
                </c:pt>
                <c:pt idx="118">
                  <c:v>45.021799999999999</c:v>
                </c:pt>
                <c:pt idx="119">
                  <c:v>45.745699999999999</c:v>
                </c:pt>
                <c:pt idx="120">
                  <c:v>46.659599999999998</c:v>
                </c:pt>
                <c:pt idx="121">
                  <c:v>47.426600000000001</c:v>
                </c:pt>
                <c:pt idx="122">
                  <c:v>48.109699999999997</c:v>
                </c:pt>
                <c:pt idx="123">
                  <c:v>48.334699999999998</c:v>
                </c:pt>
                <c:pt idx="124">
                  <c:v>49.301900000000003</c:v>
                </c:pt>
                <c:pt idx="125">
                  <c:v>50.118099999999998</c:v>
                </c:pt>
                <c:pt idx="126">
                  <c:v>50.928100000000001</c:v>
                </c:pt>
                <c:pt idx="127">
                  <c:v>51.970799999999997</c:v>
                </c:pt>
                <c:pt idx="128">
                  <c:v>52.768999999999998</c:v>
                </c:pt>
                <c:pt idx="129">
                  <c:v>53.520299999999999</c:v>
                </c:pt>
                <c:pt idx="130">
                  <c:v>54.5745</c:v>
                </c:pt>
                <c:pt idx="131">
                  <c:v>55.369700000000002</c:v>
                </c:pt>
                <c:pt idx="132">
                  <c:v>55.640599999999999</c:v>
                </c:pt>
                <c:pt idx="133">
                  <c:v>56.781399999999998</c:v>
                </c:pt>
                <c:pt idx="134">
                  <c:v>57.634700000000002</c:v>
                </c:pt>
                <c:pt idx="135">
                  <c:v>58.4724</c:v>
                </c:pt>
                <c:pt idx="136">
                  <c:v>59.633299999999998</c:v>
                </c:pt>
                <c:pt idx="137">
                  <c:v>60.546999999999997</c:v>
                </c:pt>
                <c:pt idx="138">
                  <c:v>60.588799999999999</c:v>
                </c:pt>
                <c:pt idx="139">
                  <c:v>61.7911</c:v>
                </c:pt>
                <c:pt idx="140">
                  <c:v>62.715899999999998</c:v>
                </c:pt>
                <c:pt idx="141">
                  <c:v>63.895899999999997</c:v>
                </c:pt>
                <c:pt idx="142">
                  <c:v>64.794200000000004</c:v>
                </c:pt>
                <c:pt idx="143">
                  <c:v>65.725399999999993</c:v>
                </c:pt>
                <c:pt idx="144">
                  <c:v>66.030199999999994</c:v>
                </c:pt>
                <c:pt idx="145">
                  <c:v>67.253900000000002</c:v>
                </c:pt>
                <c:pt idx="146">
                  <c:v>68.174400000000006</c:v>
                </c:pt>
                <c:pt idx="147">
                  <c:v>69.150800000000004</c:v>
                </c:pt>
                <c:pt idx="148">
                  <c:v>70.213499999999996</c:v>
                </c:pt>
                <c:pt idx="149">
                  <c:v>71.230999999999995</c:v>
                </c:pt>
                <c:pt idx="150">
                  <c:v>71.4923</c:v>
                </c:pt>
                <c:pt idx="151">
                  <c:v>72.807900000000004</c:v>
                </c:pt>
                <c:pt idx="152">
                  <c:v>73.763999999999996</c:v>
                </c:pt>
                <c:pt idx="153">
                  <c:v>74.675799999999995</c:v>
                </c:pt>
                <c:pt idx="154">
                  <c:v>75.875</c:v>
                </c:pt>
                <c:pt idx="155">
                  <c:v>76.806299999999993</c:v>
                </c:pt>
                <c:pt idx="156">
                  <c:v>77.834400000000002</c:v>
                </c:pt>
                <c:pt idx="157">
                  <c:v>78.1404</c:v>
                </c:pt>
                <c:pt idx="158">
                  <c:v>79.667000000000002</c:v>
                </c:pt>
                <c:pt idx="159">
                  <c:v>80.697400000000002</c:v>
                </c:pt>
                <c:pt idx="160">
                  <c:v>81.846400000000003</c:v>
                </c:pt>
                <c:pt idx="161">
                  <c:v>82.911600000000007</c:v>
                </c:pt>
                <c:pt idx="162">
                  <c:v>84.2744</c:v>
                </c:pt>
                <c:pt idx="163">
                  <c:v>85.306299999999993</c:v>
                </c:pt>
                <c:pt idx="164">
                  <c:v>86.354600000000005</c:v>
                </c:pt>
                <c:pt idx="165">
                  <c:v>86.652600000000007</c:v>
                </c:pt>
                <c:pt idx="166">
                  <c:v>87.971100000000007</c:v>
                </c:pt>
                <c:pt idx="167">
                  <c:v>89.088300000000004</c:v>
                </c:pt>
                <c:pt idx="168">
                  <c:v>90.201400000000007</c:v>
                </c:pt>
                <c:pt idx="169">
                  <c:v>91.348399999999998</c:v>
                </c:pt>
                <c:pt idx="170">
                  <c:v>92.4636</c:v>
                </c:pt>
                <c:pt idx="171">
                  <c:v>93.972099999999998</c:v>
                </c:pt>
                <c:pt idx="172">
                  <c:v>95.033900000000003</c:v>
                </c:pt>
                <c:pt idx="173">
                  <c:v>95.3626</c:v>
                </c:pt>
                <c:pt idx="174">
                  <c:v>96.446299999999994</c:v>
                </c:pt>
                <c:pt idx="175">
                  <c:v>97.935100000000006</c:v>
                </c:pt>
                <c:pt idx="176">
                  <c:v>99.091300000000004</c:v>
                </c:pt>
                <c:pt idx="177">
                  <c:v>100.2996</c:v>
                </c:pt>
                <c:pt idx="178">
                  <c:v>101.8772</c:v>
                </c:pt>
                <c:pt idx="179">
                  <c:v>103.0723</c:v>
                </c:pt>
                <c:pt idx="180">
                  <c:v>104.61499999999999</c:v>
                </c:pt>
                <c:pt idx="181">
                  <c:v>104.5834</c:v>
                </c:pt>
                <c:pt idx="182">
                  <c:v>105.69840000000001</c:v>
                </c:pt>
                <c:pt idx="183">
                  <c:v>106.8412</c:v>
                </c:pt>
                <c:pt idx="184">
                  <c:v>108.3583</c:v>
                </c:pt>
                <c:pt idx="185">
                  <c:v>109.5848</c:v>
                </c:pt>
                <c:pt idx="186">
                  <c:v>111.18040000000001</c:v>
                </c:pt>
                <c:pt idx="187">
                  <c:v>112.4695</c:v>
                </c:pt>
                <c:pt idx="188">
                  <c:v>112.9029</c:v>
                </c:pt>
                <c:pt idx="189">
                  <c:v>114.0887</c:v>
                </c:pt>
                <c:pt idx="190">
                  <c:v>115.6653</c:v>
                </c:pt>
                <c:pt idx="191">
                  <c:v>116.7756</c:v>
                </c:pt>
                <c:pt idx="192">
                  <c:v>117.96259999999999</c:v>
                </c:pt>
                <c:pt idx="193">
                  <c:v>119.6815</c:v>
                </c:pt>
                <c:pt idx="194">
                  <c:v>120.9466</c:v>
                </c:pt>
                <c:pt idx="195">
                  <c:v>121.4068</c:v>
                </c:pt>
                <c:pt idx="196">
                  <c:v>122.6529</c:v>
                </c:pt>
                <c:pt idx="197">
                  <c:v>124.3492</c:v>
                </c:pt>
                <c:pt idx="198">
                  <c:v>125.5782</c:v>
                </c:pt>
                <c:pt idx="199">
                  <c:v>126.8073</c:v>
                </c:pt>
                <c:pt idx="200">
                  <c:v>128.02500000000001</c:v>
                </c:pt>
                <c:pt idx="201">
                  <c:v>128.49270000000001</c:v>
                </c:pt>
                <c:pt idx="202">
                  <c:v>130.17490000000001</c:v>
                </c:pt>
                <c:pt idx="203">
                  <c:v>131.38679999999999</c:v>
                </c:pt>
                <c:pt idx="204">
                  <c:v>132.64410000000001</c:v>
                </c:pt>
                <c:pt idx="205">
                  <c:v>134.35890000000001</c:v>
                </c:pt>
                <c:pt idx="206">
                  <c:v>135.6627</c:v>
                </c:pt>
                <c:pt idx="207">
                  <c:v>137.0164</c:v>
                </c:pt>
                <c:pt idx="208">
                  <c:v>137.46860000000001</c:v>
                </c:pt>
                <c:pt idx="209">
                  <c:v>139.2011</c:v>
                </c:pt>
                <c:pt idx="210">
                  <c:v>140.5367</c:v>
                </c:pt>
                <c:pt idx="211">
                  <c:v>142.32149999999999</c:v>
                </c:pt>
                <c:pt idx="212">
                  <c:v>143.6883</c:v>
                </c:pt>
                <c:pt idx="213">
                  <c:v>144.92269999999999</c:v>
                </c:pt>
                <c:pt idx="214">
                  <c:v>146.57560000000001</c:v>
                </c:pt>
                <c:pt idx="215">
                  <c:v>147.98830000000001</c:v>
                </c:pt>
                <c:pt idx="216">
                  <c:v>149.35390000000001</c:v>
                </c:pt>
                <c:pt idx="217">
                  <c:v>149.8005</c:v>
                </c:pt>
                <c:pt idx="218">
                  <c:v>151.61580000000001</c:v>
                </c:pt>
                <c:pt idx="219">
                  <c:v>153.02869999999999</c:v>
                </c:pt>
                <c:pt idx="220">
                  <c:v>154.39439999999999</c:v>
                </c:pt>
                <c:pt idx="221">
                  <c:v>155.7551</c:v>
                </c:pt>
                <c:pt idx="222">
                  <c:v>157.16659999999999</c:v>
                </c:pt>
                <c:pt idx="223">
                  <c:v>159.04949999999999</c:v>
                </c:pt>
                <c:pt idx="224">
                  <c:v>160.43889999999999</c:v>
                </c:pt>
                <c:pt idx="225">
                  <c:v>160.84700000000001</c:v>
                </c:pt>
                <c:pt idx="226">
                  <c:v>162.24510000000001</c:v>
                </c:pt>
                <c:pt idx="227">
                  <c:v>164.04089999999999</c:v>
                </c:pt>
                <c:pt idx="228">
                  <c:v>165.4068</c:v>
                </c:pt>
                <c:pt idx="229">
                  <c:v>166.8458</c:v>
                </c:pt>
                <c:pt idx="230">
                  <c:v>168.79900000000001</c:v>
                </c:pt>
                <c:pt idx="231">
                  <c:v>170.2011</c:v>
                </c:pt>
                <c:pt idx="232">
                  <c:v>171.65309999999999</c:v>
                </c:pt>
                <c:pt idx="233">
                  <c:v>173.60509999999999</c:v>
                </c:pt>
                <c:pt idx="234">
                  <c:v>174.08619999999999</c:v>
                </c:pt>
                <c:pt idx="235">
                  <c:v>175.51130000000001</c:v>
                </c:pt>
                <c:pt idx="236">
                  <c:v>177.42339999999999</c:v>
                </c:pt>
                <c:pt idx="237">
                  <c:v>178.83949999999999</c:v>
                </c:pt>
                <c:pt idx="238">
                  <c:v>180.3202</c:v>
                </c:pt>
                <c:pt idx="239">
                  <c:v>182.29130000000001</c:v>
                </c:pt>
                <c:pt idx="240">
                  <c:v>183.84540000000001</c:v>
                </c:pt>
                <c:pt idx="241">
                  <c:v>185.34639999999999</c:v>
                </c:pt>
                <c:pt idx="242">
                  <c:v>187.32679999999999</c:v>
                </c:pt>
                <c:pt idx="243">
                  <c:v>187.64009999999999</c:v>
                </c:pt>
                <c:pt idx="244">
                  <c:v>189.04169999999999</c:v>
                </c:pt>
                <c:pt idx="245">
                  <c:v>190.41579999999999</c:v>
                </c:pt>
                <c:pt idx="246">
                  <c:v>192.18559999999999</c:v>
                </c:pt>
                <c:pt idx="247">
                  <c:v>193.58879999999999</c:v>
                </c:pt>
                <c:pt idx="248">
                  <c:v>195.61510000000001</c:v>
                </c:pt>
                <c:pt idx="249">
                  <c:v>197.35759999999999</c:v>
                </c:pt>
                <c:pt idx="250">
                  <c:v>199.06710000000001</c:v>
                </c:pt>
                <c:pt idx="251">
                  <c:v>201.45259999999999</c:v>
                </c:pt>
                <c:pt idx="252">
                  <c:v>202.18090000000001</c:v>
                </c:pt>
                <c:pt idx="253">
                  <c:v>203.91139999999999</c:v>
                </c:pt>
                <c:pt idx="254">
                  <c:v>205.48949999999999</c:v>
                </c:pt>
                <c:pt idx="255">
                  <c:v>207.11660000000001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02-47AC-ABF8-F249AE34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551568"/>
        <c:axId val="1877550128"/>
      </c:lineChart>
      <c:catAx>
        <c:axId val="187755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7550128"/>
        <c:crosses val="autoZero"/>
        <c:auto val="1"/>
        <c:lblAlgn val="ctr"/>
        <c:lblOffset val="100"/>
        <c:noMultiLvlLbl val="0"/>
      </c:catAx>
      <c:valAx>
        <c:axId val="187755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755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Gamma2.2_5400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'Gamma 2.2 5400K'!$C$16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2.2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5400K'!$C$17:$C$272</c:f>
              <c:numCache>
                <c:formatCode>0.00_ </c:formatCode>
                <c:ptCount val="256"/>
                <c:pt idx="0">
                  <c:v>4.0698527359675984E-5</c:v>
                </c:pt>
                <c:pt idx="1">
                  <c:v>1.5133073918394478E-3</c:v>
                </c:pt>
                <c:pt idx="2">
                  <c:v>5.5601014289690526E-3</c:v>
                </c:pt>
                <c:pt idx="3">
                  <c:v>1.2525318075483306E-2</c:v>
                </c:pt>
                <c:pt idx="4">
                  <c:v>2.2637186477307648E-2</c:v>
                </c:pt>
                <c:pt idx="5">
                  <c:v>3.6071449830621528E-2</c:v>
                </c:pt>
                <c:pt idx="6">
                  <c:v>5.2972754170151119E-2</c:v>
                </c:pt>
                <c:pt idx="7">
                  <c:v>7.3464878008564882E-2</c:v>
                </c:pt>
                <c:pt idx="8">
                  <c:v>9.7656507478878607E-2</c:v>
                </c:pt>
                <c:pt idx="9">
                  <c:v>0.12564484623474437</c:v>
                </c:pt>
                <c:pt idx="10">
                  <c:v>0.15751803537056586</c:v>
                </c:pt>
                <c:pt idx="11">
                  <c:v>0.19335686106827574</c:v>
                </c:pt>
                <c:pt idx="12">
                  <c:v>0.23323600805326886</c:v>
                </c:pt>
                <c:pt idx="13">
                  <c:v>0.27722500888564372</c:v>
                </c:pt>
                <c:pt idx="14">
                  <c:v>0.32538898142388734</c:v>
                </c:pt>
                <c:pt idx="15">
                  <c:v>0.37778921396172505</c:v>
                </c:pt>
                <c:pt idx="16">
                  <c:v>0.4344836378556286</c:v>
                </c:pt>
                <c:pt idx="17">
                  <c:v>0.49552721514597653</c:v>
                </c:pt>
                <c:pt idx="18">
                  <c:v>0.56097226068801043</c:v>
                </c:pt>
                <c:pt idx="19">
                  <c:v>0.63086871296684899</c:v>
                </c:pt>
                <c:pt idx="20">
                  <c:v>0.70526436410172311</c:v>
                </c:pt>
                <c:pt idx="21">
                  <c:v>0.7842050569651372</c:v>
                </c:pt>
                <c:pt idx="22">
                  <c:v>0.86773485549176443</c:v>
                </c:pt>
                <c:pt idx="23">
                  <c:v>0.95589619289931738</c:v>
                </c:pt>
                <c:pt idx="24">
                  <c:v>1.048730001539004</c:v>
                </c:pt>
                <c:pt idx="25">
                  <c:v>1.1462758273359999</c:v>
                </c:pt>
                <c:pt idx="26">
                  <c:v>1.2485719312019512</c:v>
                </c:pt>
                <c:pt idx="27">
                  <c:v>1.3556553793544941</c:v>
                </c:pt>
                <c:pt idx="28">
                  <c:v>1.4675621241291898</c:v>
                </c:pt>
                <c:pt idx="29">
                  <c:v>1.5843270765934332</c:v>
                </c:pt>
                <c:pt idx="30">
                  <c:v>1.7059841720518525</c:v>
                </c:pt>
                <c:pt idx="31">
                  <c:v>1.8325664293560426</c:v>
                </c:pt>
                <c:pt idx="32">
                  <c:v>1.9641060047880914</c:v>
                </c:pt>
                <c:pt idx="33">
                  <c:v>2.1006342411705612</c:v>
                </c:pt>
                <c:pt idx="34">
                  <c:v>2.24218171275932</c:v>
                </c:pt>
                <c:pt idx="35">
                  <c:v>2.3887782663962391</c:v>
                </c:pt>
                <c:pt idx="36">
                  <c:v>2.5404530593324495</c:v>
                </c:pt>
                <c:pt idx="37">
                  <c:v>2.6972345940776137</c:v>
                </c:pt>
                <c:pt idx="38">
                  <c:v>2.8591507505838623</c:v>
                </c:pt>
                <c:pt idx="39">
                  <c:v>3.0262288160338469</c:v>
                </c:pt>
                <c:pt idx="40">
                  <c:v>3.1984955124686625</c:v>
                </c:pt>
                <c:pt idx="41">
                  <c:v>3.3759770224629291</c:v>
                </c:pt>
                <c:pt idx="42">
                  <c:v>3.5586990130297851</c:v>
                </c:pt>
                <c:pt idx="43">
                  <c:v>3.7466866579174414</c:v>
                </c:pt>
                <c:pt idx="44">
                  <c:v>3.9399646584407444</c:v>
                </c:pt>
                <c:pt idx="45">
                  <c:v>4.1385572629754321</c:v>
                </c:pt>
                <c:pt idx="46">
                  <c:v>4.3424882852289413</c:v>
                </c:pt>
                <c:pt idx="47">
                  <c:v>4.5517811213897765</c:v>
                </c:pt>
                <c:pt idx="48">
                  <c:v>4.7664587662467799</c:v>
                </c:pt>
                <c:pt idx="49">
                  <c:v>4.9865438283606114</c:v>
                </c:pt>
                <c:pt idx="50">
                  <c:v>5.2120585443614225</c:v>
                </c:pt>
                <c:pt idx="51">
                  <c:v>5.443024792439755</c:v>
                </c:pt>
                <c:pt idx="52">
                  <c:v>5.6794641050911432</c:v>
                </c:pt>
                <c:pt idx="53">
                  <c:v>5.9213976811694575</c:v>
                </c:pt>
                <c:pt idx="54">
                  <c:v>6.1688463972988083</c:v>
                </c:pt>
                <c:pt idx="55">
                  <c:v>6.4218308186896005</c:v>
                </c:pt>
                <c:pt idx="56">
                  <c:v>6.6803712094000574</c:v>
                </c:pt>
                <c:pt idx="57">
                  <c:v>6.9444875420812098</c:v>
                </c:pt>
                <c:pt idx="58">
                  <c:v>7.2141995072399991</c:v>
                </c:pt>
                <c:pt idx="59">
                  <c:v>7.4895265220521949</c:v>
                </c:pt>
                <c:pt idx="60">
                  <c:v>7.7704877387544418</c:v>
                </c:pt>
                <c:pt idx="61">
                  <c:v>8.0571020526421755</c:v>
                </c:pt>
                <c:pt idx="62">
                  <c:v>8.3493881096980953</c:v>
                </c:pt>
                <c:pt idx="63">
                  <c:v>8.647364313874089</c:v>
                </c:pt>
                <c:pt idx="64">
                  <c:v>8.9510488340474961</c:v>
                </c:pt>
                <c:pt idx="65">
                  <c:v>9.2604596106712833</c:v>
                </c:pt>
                <c:pt idx="66">
                  <c:v>9.5756143621360756</c:v>
                </c:pt>
                <c:pt idx="67">
                  <c:v>9.8965305908606744</c:v>
                </c:pt>
                <c:pt idx="68">
                  <c:v>10.223225589126736</c:v>
                </c:pt>
                <c:pt idx="69">
                  <c:v>10.555716444671717</c:v>
                </c:pt>
                <c:pt idx="70">
                  <c:v>10.894020046053736</c:v>
                </c:pt>
                <c:pt idx="71">
                  <c:v>11.238153087800617</c:v>
                </c:pt>
                <c:pt idx="72">
                  <c:v>11.58813207535481</c:v>
                </c:pt>
                <c:pt idx="73">
                  <c:v>11.94397332982502</c:v>
                </c:pt>
                <c:pt idx="74">
                  <c:v>12.305692992554642</c:v>
                </c:pt>
                <c:pt idx="75">
                  <c:v>12.673307029516385</c:v>
                </c:pt>
                <c:pt idx="76">
                  <c:v>13.046831235542136</c:v>
                </c:pt>
                <c:pt idx="77">
                  <c:v>13.426281238396117</c:v>
                </c:pt>
                <c:pt idx="78">
                  <c:v>13.811672502699214</c:v>
                </c:pt>
                <c:pt idx="79">
                  <c:v>14.203020333711788</c:v>
                </c:pt>
                <c:pt idx="80">
                  <c:v>14.60033988098178</c:v>
                </c:pt>
                <c:pt idx="81">
                  <c:v>15.003646141864497</c:v>
                </c:pt>
                <c:pt idx="82">
                  <c:v>15.41295396492019</c:v>
                </c:pt>
                <c:pt idx="83">
                  <c:v>15.828278053195024</c:v>
                </c:pt>
                <c:pt idx="84">
                  <c:v>16.249632967391022</c:v>
                </c:pt>
                <c:pt idx="85">
                  <c:v>16.677033128929672</c:v>
                </c:pt>
                <c:pt idx="86">
                  <c:v>17.110492822914331</c:v>
                </c:pt>
                <c:pt idx="87">
                  <c:v>17.550026200995667</c:v>
                </c:pt>
                <c:pt idx="88">
                  <c:v>17.995647284144496</c:v>
                </c:pt>
                <c:pt idx="89">
                  <c:v>18.447369965336122</c:v>
                </c:pt>
                <c:pt idx="90">
                  <c:v>18.905208012149664</c:v>
                </c:pt>
                <c:pt idx="91">
                  <c:v>19.369175069286367</c:v>
                </c:pt>
                <c:pt idx="92">
                  <c:v>19.839284661010062</c:v>
                </c:pt>
                <c:pt idx="93">
                  <c:v>20.315550193512983</c:v>
                </c:pt>
                <c:pt idx="94">
                  <c:v>20.797984957210115</c:v>
                </c:pt>
                <c:pt idx="95">
                  <c:v>21.286602128964976</c:v>
                </c:pt>
                <c:pt idx="96">
                  <c:v>21.781414774249455</c:v>
                </c:pt>
                <c:pt idx="97">
                  <c:v>22.282435849240461</c:v>
                </c:pt>
                <c:pt idx="98">
                  <c:v>22.789678202855804</c:v>
                </c:pt>
                <c:pt idx="99">
                  <c:v>23.303154578731665</c:v>
                </c:pt>
                <c:pt idx="100">
                  <c:v>23.822877617144023</c:v>
                </c:pt>
                <c:pt idx="101">
                  <c:v>24.348859856875883</c:v>
                </c:pt>
                <c:pt idx="102">
                  <c:v>24.881113737032855</c:v>
                </c:pt>
                <c:pt idx="103">
                  <c:v>25.419651598808301</c:v>
                </c:pt>
                <c:pt idx="104">
                  <c:v>25.964485687200785</c:v>
                </c:pt>
                <c:pt idx="105">
                  <c:v>26.515628152684734</c:v>
                </c:pt>
                <c:pt idx="106">
                  <c:v>27.073091052836634</c:v>
                </c:pt>
                <c:pt idx="107">
                  <c:v>27.636886353917944</c:v>
                </c:pt>
                <c:pt idx="108">
                  <c:v>28.207025932416609</c:v>
                </c:pt>
                <c:pt idx="109">
                  <c:v>28.78352157654837</c:v>
                </c:pt>
                <c:pt idx="110">
                  <c:v>29.366384987719378</c:v>
                </c:pt>
                <c:pt idx="111">
                  <c:v>29.955627781951478</c:v>
                </c:pt>
                <c:pt idx="112">
                  <c:v>30.55126149127144</c:v>
                </c:pt>
                <c:pt idx="113">
                  <c:v>31.153297565065305</c:v>
                </c:pt>
                <c:pt idx="114">
                  <c:v>31.761747371399089</c:v>
                </c:pt>
                <c:pt idx="115">
                  <c:v>32.376622198306862</c:v>
                </c:pt>
                <c:pt idx="116">
                  <c:v>32.997933255047556</c:v>
                </c:pt>
                <c:pt idx="117">
                  <c:v>33.62569167333109</c:v>
                </c:pt>
                <c:pt idx="118">
                  <c:v>34.259908508515295</c:v>
                </c:pt>
                <c:pt idx="119">
                  <c:v>34.900594740774139</c:v>
                </c:pt>
                <c:pt idx="120">
                  <c:v>35.547761276238546</c:v>
                </c:pt>
                <c:pt idx="121">
                  <c:v>36.201418948110415</c:v>
                </c:pt>
                <c:pt idx="122">
                  <c:v>36.861578517750836</c:v>
                </c:pt>
                <c:pt idx="123">
                  <c:v>37.528250675743202</c:v>
                </c:pt>
                <c:pt idx="124">
                  <c:v>38.201446042932083</c:v>
                </c:pt>
                <c:pt idx="125">
                  <c:v>38.881175171438585</c:v>
                </c:pt>
                <c:pt idx="126">
                  <c:v>39.56744854565288</c:v>
                </c:pt>
                <c:pt idx="127">
                  <c:v>40.260276583204529</c:v>
                </c:pt>
                <c:pt idx="128">
                  <c:v>40.959669635911602</c:v>
                </c:pt>
                <c:pt idx="129">
                  <c:v>41.665637990708596</c:v>
                </c:pt>
                <c:pt idx="130">
                  <c:v>42.378191870554566</c:v>
                </c:pt>
                <c:pt idx="131">
                  <c:v>43.097341435321297</c:v>
                </c:pt>
                <c:pt idx="132">
                  <c:v>43.823096782662653</c:v>
                </c:pt>
                <c:pt idx="133">
                  <c:v>44.555467948865335</c:v>
                </c:pt>
                <c:pt idx="134">
                  <c:v>45.294464909681722</c:v>
                </c:pt>
                <c:pt idx="135">
                  <c:v>46.040097581145254</c:v>
                </c:pt>
                <c:pt idx="136">
                  <c:v>46.792375820368825</c:v>
                </c:pt>
                <c:pt idx="137">
                  <c:v>47.551309426326696</c:v>
                </c:pt>
                <c:pt idx="138">
                  <c:v>48.316908140620448</c:v>
                </c:pt>
                <c:pt idx="139">
                  <c:v>49.089181648229371</c:v>
                </c:pt>
                <c:pt idx="140">
                  <c:v>49.868139578245462</c:v>
                </c:pt>
                <c:pt idx="141">
                  <c:v>50.653791504594039</c:v>
                </c:pt>
                <c:pt idx="142">
                  <c:v>51.446146946739695</c:v>
                </c:pt>
                <c:pt idx="143">
                  <c:v>52.245215370378531</c:v>
                </c:pt>
                <c:pt idx="144">
                  <c:v>53.051006188116652</c:v>
                </c:pt>
                <c:pt idx="145">
                  <c:v>53.863528760135395</c:v>
                </c:pt>
                <c:pt idx="146">
                  <c:v>54.682792394843965</c:v>
                </c:pt>
                <c:pt idx="147">
                  <c:v>55.508806349519119</c:v>
                </c:pt>
                <c:pt idx="148">
                  <c:v>56.341579830932986</c:v>
                </c:pt>
                <c:pt idx="149">
                  <c:v>57.181121995968724</c:v>
                </c:pt>
                <c:pt idx="150">
                  <c:v>58.027441952224791</c:v>
                </c:pt>
                <c:pt idx="151">
                  <c:v>58.880548758607688</c:v>
                </c:pt>
                <c:pt idx="152">
                  <c:v>59.740451425913967</c:v>
                </c:pt>
                <c:pt idx="153">
                  <c:v>60.607158917401073</c:v>
                </c:pt>
                <c:pt idx="154">
                  <c:v>61.480680149348238</c:v>
                </c:pt>
                <c:pt idx="155">
                  <c:v>62.361023991606721</c:v>
                </c:pt>
                <c:pt idx="156">
                  <c:v>63.248199268140304</c:v>
                </c:pt>
                <c:pt idx="157">
                  <c:v>64.142214757555962</c:v>
                </c:pt>
                <c:pt idx="158">
                  <c:v>65.043079193625132</c:v>
                </c:pt>
                <c:pt idx="159">
                  <c:v>65.95080126579569</c:v>
                </c:pt>
                <c:pt idx="160">
                  <c:v>66.865389619694781</c:v>
                </c:pt>
                <c:pt idx="161">
                  <c:v>67.78685285762306</c:v>
                </c:pt>
                <c:pt idx="162">
                  <c:v>68.715199539040142</c:v>
                </c:pt>
                <c:pt idx="163">
                  <c:v>69.650438181041665</c:v>
                </c:pt>
                <c:pt idx="164">
                  <c:v>70.592577258828172</c:v>
                </c:pt>
                <c:pt idx="165">
                  <c:v>71.541625206165961</c:v>
                </c:pt>
                <c:pt idx="166">
                  <c:v>72.497590415840122</c:v>
                </c:pt>
                <c:pt idx="167">
                  <c:v>73.460481240099881</c:v>
                </c:pt>
                <c:pt idx="168">
                  <c:v>74.430305991096432</c:v>
                </c:pt>
                <c:pt idx="169">
                  <c:v>75.40707294131353</c:v>
                </c:pt>
                <c:pt idx="170">
                  <c:v>76.390790323990885</c:v>
                </c:pt>
                <c:pt idx="171">
                  <c:v>77.381466333540615</c:v>
                </c:pt>
                <c:pt idx="172">
                  <c:v>78.379109125956774</c:v>
                </c:pt>
                <c:pt idx="173">
                  <c:v>79.383726819218339</c:v>
                </c:pt>
                <c:pt idx="174">
                  <c:v>80.395327493685429</c:v>
                </c:pt>
                <c:pt idx="175">
                  <c:v>81.413919192489473</c:v>
                </c:pt>
                <c:pt idx="176">
                  <c:v>82.439509921916809</c:v>
                </c:pt>
                <c:pt idx="177">
                  <c:v>83.47210765178626</c:v>
                </c:pt>
                <c:pt idx="178">
                  <c:v>84.511720315820909</c:v>
                </c:pt>
                <c:pt idx="179">
                  <c:v>85.55835581201373</c:v>
                </c:pt>
                <c:pt idx="180">
                  <c:v>86.612022002987658</c:v>
                </c:pt>
                <c:pt idx="181">
                  <c:v>87.672726716349985</c:v>
                </c:pt>
                <c:pt idx="182">
                  <c:v>88.740477745041332</c:v>
                </c:pt>
                <c:pt idx="183">
                  <c:v>89.8152828476792</c:v>
                </c:pt>
                <c:pt idx="184">
                  <c:v>90.897149748896197</c:v>
                </c:pt>
                <c:pt idx="185">
                  <c:v>91.986086139673077</c:v>
                </c:pt>
                <c:pt idx="186">
                  <c:v>93.082099677667088</c:v>
                </c:pt>
                <c:pt idx="187">
                  <c:v>94.185197987534764</c:v>
                </c:pt>
                <c:pt idx="188">
                  <c:v>95.29538866125047</c:v>
                </c:pt>
                <c:pt idx="189">
                  <c:v>96.412679258419672</c:v>
                </c:pt>
                <c:pt idx="190">
                  <c:v>97.537077306588117</c:v>
                </c:pt>
                <c:pt idx="191">
                  <c:v>98.668590301545791</c:v>
                </c:pt>
                <c:pt idx="192">
                  <c:v>99.807225707627055</c:v>
                </c:pt>
                <c:pt idx="193">
                  <c:v>100.95299095800583</c:v>
                </c:pt>
                <c:pt idx="194">
                  <c:v>102.10589345498705</c:v>
                </c:pt>
                <c:pt idx="195">
                  <c:v>103.26594057029345</c:v>
                </c:pt>
                <c:pt idx="196">
                  <c:v>104.4331396453484</c:v>
                </c:pt>
                <c:pt idx="197">
                  <c:v>105.60749799155468</c:v>
                </c:pt>
                <c:pt idx="198">
                  <c:v>106.7890228905693</c:v>
                </c:pt>
                <c:pt idx="199">
                  <c:v>107.9777215945745</c:v>
                </c:pt>
                <c:pt idx="200">
                  <c:v>109.17360132654468</c:v>
                </c:pt>
                <c:pt idx="201">
                  <c:v>110.37666928050986</c:v>
                </c:pt>
                <c:pt idx="202">
                  <c:v>111.58693262181532</c:v>
                </c:pt>
                <c:pt idx="203">
                  <c:v>112.80439848737771</c:v>
                </c:pt>
                <c:pt idx="204">
                  <c:v>114.02907398593753</c:v>
                </c:pt>
                <c:pt idx="205">
                  <c:v>115.26096619830822</c:v>
                </c:pt>
                <c:pt idx="206">
                  <c:v>116.50008217762175</c:v>
                </c:pt>
                <c:pt idx="207">
                  <c:v>117.74642894957105</c:v>
                </c:pt>
                <c:pt idx="208">
                  <c:v>119.00001351264888</c:v>
                </c:pt>
                <c:pt idx="209">
                  <c:v>120.26084283838367</c:v>
                </c:pt>
                <c:pt idx="210">
                  <c:v>121.52892387157229</c:v>
                </c:pt>
                <c:pt idx="211">
                  <c:v>122.80426353050939</c:v>
                </c:pt>
                <c:pt idx="212">
                  <c:v>124.08686870721397</c:v>
                </c:pt>
                <c:pt idx="213">
                  <c:v>125.37674626765286</c:v>
                </c:pt>
                <c:pt idx="214">
                  <c:v>126.67390305196126</c:v>
                </c:pt>
                <c:pt idx="215">
                  <c:v>127.97834587466032</c:v>
                </c:pt>
                <c:pt idx="216">
                  <c:v>129.29008152487197</c:v>
                </c:pt>
                <c:pt idx="217">
                  <c:v>130.60911676653095</c:v>
                </c:pt>
                <c:pt idx="218">
                  <c:v>131.93545833859429</c:v>
                </c:pt>
                <c:pt idx="219">
                  <c:v>133.26911295524738</c:v>
                </c:pt>
                <c:pt idx="220">
                  <c:v>134.61008730610851</c:v>
                </c:pt>
                <c:pt idx="221">
                  <c:v>135.95838805642975</c:v>
                </c:pt>
                <c:pt idx="222">
                  <c:v>137.314021847296</c:v>
                </c:pt>
                <c:pt idx="223">
                  <c:v>138.6769952958212</c:v>
                </c:pt>
                <c:pt idx="224">
                  <c:v>140.04731499534199</c:v>
                </c:pt>
                <c:pt idx="225">
                  <c:v>141.42498751560925</c:v>
                </c:pt>
                <c:pt idx="226">
                  <c:v>142.81001940297713</c:v>
                </c:pt>
                <c:pt idx="227">
                  <c:v>144.20241718058949</c:v>
                </c:pt>
                <c:pt idx="228">
                  <c:v>145.60218734856448</c:v>
                </c:pt>
                <c:pt idx="229">
                  <c:v>147.00933638417644</c:v>
                </c:pt>
                <c:pt idx="230">
                  <c:v>148.42387074203575</c:v>
                </c:pt>
                <c:pt idx="231">
                  <c:v>149.84579685426664</c:v>
                </c:pt>
                <c:pt idx="232">
                  <c:v>151.27512113068246</c:v>
                </c:pt>
                <c:pt idx="233">
                  <c:v>152.71184995895928</c:v>
                </c:pt>
                <c:pt idx="234">
                  <c:v>154.15598970480693</c:v>
                </c:pt>
                <c:pt idx="235">
                  <c:v>155.60754671213857</c:v>
                </c:pt>
                <c:pt idx="236">
                  <c:v>157.06652730323748</c:v>
                </c:pt>
                <c:pt idx="237">
                  <c:v>158.53293777892262</c:v>
                </c:pt>
                <c:pt idx="238">
                  <c:v>160.00678441871179</c:v>
                </c:pt>
                <c:pt idx="239">
                  <c:v>161.48807348098299</c:v>
                </c:pt>
                <c:pt idx="240">
                  <c:v>162.97681120313374</c:v>
                </c:pt>
                <c:pt idx="241">
                  <c:v>164.47300380173897</c:v>
                </c:pt>
                <c:pt idx="242">
                  <c:v>165.97665747270642</c:v>
                </c:pt>
                <c:pt idx="243">
                  <c:v>167.48777839143094</c:v>
                </c:pt>
                <c:pt idx="244">
                  <c:v>169.00637271294636</c:v>
                </c:pt>
                <c:pt idx="245">
                  <c:v>170.53244657207614</c:v>
                </c:pt>
                <c:pt idx="246">
                  <c:v>172.06600608358198</c:v>
                </c:pt>
                <c:pt idx="247">
                  <c:v>173.60705734231084</c:v>
                </c:pt>
                <c:pt idx="248">
                  <c:v>175.15560642334023</c:v>
                </c:pt>
                <c:pt idx="249">
                  <c:v>176.71165938212201</c:v>
                </c:pt>
                <c:pt idx="250">
                  <c:v>178.27522225462442</c:v>
                </c:pt>
                <c:pt idx="251">
                  <c:v>179.84630105747254</c:v>
                </c:pt>
                <c:pt idx="252">
                  <c:v>181.42490178808731</c:v>
                </c:pt>
                <c:pt idx="253">
                  <c:v>183.01103042482274</c:v>
                </c:pt>
                <c:pt idx="254">
                  <c:v>184.60469292710184</c:v>
                </c:pt>
                <c:pt idx="255">
                  <c:v>185.82156000000001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8A-4AEA-B6A0-D67E5703A369}"/>
            </c:ext>
          </c:extLst>
        </c:ser>
        <c:ser>
          <c:idx val="1"/>
          <c:order val="1"/>
          <c:tx>
            <c:strRef>
              <c:f>'Gamma 2.2 5400K'!$D$16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2.2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5400K'!$D$17:$D$272</c:f>
              <c:numCache>
                <c:formatCode>0.00_ </c:formatCode>
                <c:ptCount val="256"/>
                <c:pt idx="0">
                  <c:v>4.5220585955195535E-5</c:v>
                </c:pt>
                <c:pt idx="1">
                  <c:v>1.6814526575993863E-3</c:v>
                </c:pt>
                <c:pt idx="2">
                  <c:v>6.1778904766322806E-3</c:v>
                </c:pt>
                <c:pt idx="3">
                  <c:v>1.391702008387034E-2</c:v>
                </c:pt>
                <c:pt idx="4">
                  <c:v>2.515242941923072E-2</c:v>
                </c:pt>
                <c:pt idx="5">
                  <c:v>4.0079388700690589E-2</c:v>
                </c:pt>
                <c:pt idx="6">
                  <c:v>5.8858615744612354E-2</c:v>
                </c:pt>
                <c:pt idx="7">
                  <c:v>8.1627642231738753E-2</c:v>
                </c:pt>
                <c:pt idx="8">
                  <c:v>0.10850723053208734</c:v>
                </c:pt>
                <c:pt idx="9">
                  <c:v>0.13960538470527153</c:v>
                </c:pt>
                <c:pt idx="10">
                  <c:v>0.17502003930062873</c:v>
                </c:pt>
                <c:pt idx="11">
                  <c:v>0.21484095674252859</c:v>
                </c:pt>
                <c:pt idx="12">
                  <c:v>0.25915112005918761</c:v>
                </c:pt>
                <c:pt idx="13">
                  <c:v>0.30802778765071526</c:v>
                </c:pt>
                <c:pt idx="14">
                  <c:v>0.36154331269320816</c:v>
                </c:pt>
                <c:pt idx="15">
                  <c:v>0.4197657932908056</c:v>
                </c:pt>
                <c:pt idx="16">
                  <c:v>0.48275959761736514</c:v>
                </c:pt>
                <c:pt idx="17">
                  <c:v>0.55058579460664059</c:v>
                </c:pt>
                <c:pt idx="18">
                  <c:v>0.62330251187556718</c:v>
                </c:pt>
                <c:pt idx="19">
                  <c:v>0.70096523662983223</c:v>
                </c:pt>
                <c:pt idx="20">
                  <c:v>0.78362707122413677</c:v>
                </c:pt>
                <c:pt idx="21">
                  <c:v>0.87133895218348578</c:v>
                </c:pt>
                <c:pt idx="22">
                  <c:v>0.96414983943529387</c:v>
                </c:pt>
                <c:pt idx="23">
                  <c:v>1.0621068809992416</c:v>
                </c:pt>
                <c:pt idx="24">
                  <c:v>1.1652555572655598</c:v>
                </c:pt>
                <c:pt idx="25">
                  <c:v>1.2736398081511109</c:v>
                </c:pt>
                <c:pt idx="26">
                  <c:v>1.3873021457799457</c:v>
                </c:pt>
                <c:pt idx="27">
                  <c:v>1.5062837548383268</c:v>
                </c:pt>
                <c:pt idx="28">
                  <c:v>1.6306245823657666</c:v>
                </c:pt>
                <c:pt idx="29">
                  <c:v>1.7603634184371479</c:v>
                </c:pt>
                <c:pt idx="30">
                  <c:v>1.8955379689465028</c:v>
                </c:pt>
                <c:pt idx="31">
                  <c:v>2.036184921506714</c:v>
                </c:pt>
                <c:pt idx="32">
                  <c:v>2.1823400053201016</c:v>
                </c:pt>
                <c:pt idx="33">
                  <c:v>2.3340380457450678</c:v>
                </c:pt>
                <c:pt idx="34">
                  <c:v>2.4913130141770221</c:v>
                </c:pt>
                <c:pt idx="35">
                  <c:v>2.6541980737735988</c:v>
                </c:pt>
                <c:pt idx="36">
                  <c:v>2.8227256214804997</c:v>
                </c:pt>
                <c:pt idx="37">
                  <c:v>2.9969273267529042</c:v>
                </c:pt>
                <c:pt idx="38">
                  <c:v>3.1768341673154024</c:v>
                </c:pt>
                <c:pt idx="39">
                  <c:v>3.36247646225983</c:v>
                </c:pt>
                <c:pt idx="40">
                  <c:v>3.5538839027429585</c:v>
                </c:pt>
                <c:pt idx="41">
                  <c:v>3.7510855805143657</c:v>
                </c:pt>
                <c:pt idx="42">
                  <c:v>3.9541100144775392</c:v>
                </c:pt>
                <c:pt idx="43">
                  <c:v>4.1629851754638239</c:v>
                </c:pt>
                <c:pt idx="44">
                  <c:v>4.377738509378605</c:v>
                </c:pt>
                <c:pt idx="45">
                  <c:v>4.5983969588615912</c:v>
                </c:pt>
                <c:pt idx="46">
                  <c:v>4.8249869835877126</c:v>
                </c:pt>
                <c:pt idx="47">
                  <c:v>5.0575345793219739</c:v>
                </c:pt>
                <c:pt idx="48">
                  <c:v>5.2960652958297549</c:v>
                </c:pt>
                <c:pt idx="49">
                  <c:v>5.5406042537340126</c:v>
                </c:pt>
                <c:pt idx="50">
                  <c:v>5.7911761604015801</c:v>
                </c:pt>
                <c:pt idx="51">
                  <c:v>6.0478053249330612</c:v>
                </c:pt>
                <c:pt idx="52">
                  <c:v>6.3105156723234925</c:v>
                </c:pt>
                <c:pt idx="53">
                  <c:v>6.5793307568549526</c:v>
                </c:pt>
                <c:pt idx="54">
                  <c:v>6.8542737747764537</c:v>
                </c:pt>
                <c:pt idx="55">
                  <c:v>7.1353675763217783</c:v>
                </c:pt>
                <c:pt idx="56">
                  <c:v>7.4226346771111746</c:v>
                </c:pt>
                <c:pt idx="57">
                  <c:v>7.7160972689791221</c:v>
                </c:pt>
                <c:pt idx="58">
                  <c:v>8.0157772302666661</c:v>
                </c:pt>
                <c:pt idx="59">
                  <c:v>8.3216961356135499</c:v>
                </c:pt>
                <c:pt idx="60">
                  <c:v>8.6338752652827129</c:v>
                </c:pt>
                <c:pt idx="61">
                  <c:v>8.9523356140468611</c:v>
                </c:pt>
                <c:pt idx="62">
                  <c:v>9.2770978996645503</c:v>
                </c:pt>
                <c:pt idx="63">
                  <c:v>9.608182570971211</c:v>
                </c:pt>
                <c:pt idx="64">
                  <c:v>9.9456098156083286</c:v>
                </c:pt>
                <c:pt idx="65">
                  <c:v>10.289399567412538</c:v>
                </c:pt>
                <c:pt idx="66">
                  <c:v>10.639571513484528</c:v>
                </c:pt>
                <c:pt idx="67">
                  <c:v>10.996145100956305</c:v>
                </c:pt>
                <c:pt idx="68">
                  <c:v>11.359139543474152</c:v>
                </c:pt>
                <c:pt idx="69">
                  <c:v>11.728573827413019</c:v>
                </c:pt>
                <c:pt idx="70">
                  <c:v>12.104466717837484</c:v>
                </c:pt>
                <c:pt idx="71">
                  <c:v>12.486836764222907</c:v>
                </c:pt>
                <c:pt idx="72">
                  <c:v>12.875702305949789</c:v>
                </c:pt>
                <c:pt idx="73">
                  <c:v>13.271081477583357</c:v>
                </c:pt>
                <c:pt idx="74">
                  <c:v>13.672992213949602</c:v>
                </c:pt>
                <c:pt idx="75">
                  <c:v>14.081452255018206</c:v>
                </c:pt>
                <c:pt idx="76">
                  <c:v>14.496479150602374</c:v>
                </c:pt>
                <c:pt idx="77">
                  <c:v>14.918090264884574</c:v>
                </c:pt>
                <c:pt idx="78">
                  <c:v>15.346302780776904</c:v>
                </c:pt>
                <c:pt idx="79">
                  <c:v>15.781133704124208</c:v>
                </c:pt>
                <c:pt idx="80">
                  <c:v>16.222599867757534</c:v>
                </c:pt>
                <c:pt idx="81">
                  <c:v>16.670717935404998</c:v>
                </c:pt>
                <c:pt idx="82">
                  <c:v>17.125504405466877</c:v>
                </c:pt>
                <c:pt idx="83">
                  <c:v>17.586975614661139</c:v>
                </c:pt>
                <c:pt idx="84">
                  <c:v>18.055147741545579</c:v>
                </c:pt>
                <c:pt idx="85">
                  <c:v>18.530036809921857</c:v>
                </c:pt>
                <c:pt idx="86">
                  <c:v>19.011658692127035</c:v>
                </c:pt>
                <c:pt idx="87">
                  <c:v>19.500029112217408</c:v>
                </c:pt>
                <c:pt idx="88">
                  <c:v>19.995163649049442</c:v>
                </c:pt>
                <c:pt idx="89">
                  <c:v>20.497077739262359</c:v>
                </c:pt>
                <c:pt idx="90">
                  <c:v>21.005786680166295</c:v>
                </c:pt>
                <c:pt idx="91">
                  <c:v>21.521305632540408</c:v>
                </c:pt>
                <c:pt idx="92">
                  <c:v>22.043649623344514</c:v>
                </c:pt>
                <c:pt idx="93">
                  <c:v>22.572833548347759</c:v>
                </c:pt>
                <c:pt idx="94">
                  <c:v>23.108872174677906</c:v>
                </c:pt>
                <c:pt idx="95">
                  <c:v>23.651780143294417</c:v>
                </c:pt>
                <c:pt idx="96">
                  <c:v>24.201571971388283</c:v>
                </c:pt>
                <c:pt idx="97">
                  <c:v>24.758262054711622</c:v>
                </c:pt>
                <c:pt idx="98">
                  <c:v>25.321864669839783</c:v>
                </c:pt>
                <c:pt idx="99">
                  <c:v>25.892393976368517</c:v>
                </c:pt>
                <c:pt idx="100">
                  <c:v>26.469864019048913</c:v>
                </c:pt>
                <c:pt idx="101">
                  <c:v>27.054288729862094</c:v>
                </c:pt>
                <c:pt idx="102">
                  <c:v>27.645681930036506</c:v>
                </c:pt>
                <c:pt idx="103">
                  <c:v>28.244057332009223</c:v>
                </c:pt>
                <c:pt idx="104">
                  <c:v>28.849428541334206</c:v>
                </c:pt>
                <c:pt idx="105">
                  <c:v>29.461809058538595</c:v>
                </c:pt>
                <c:pt idx="106">
                  <c:v>30.081212280929595</c:v>
                </c:pt>
                <c:pt idx="107">
                  <c:v>30.707651504353272</c:v>
                </c:pt>
                <c:pt idx="108">
                  <c:v>31.341139924907345</c:v>
                </c:pt>
                <c:pt idx="109">
                  <c:v>31.981690640609301</c:v>
                </c:pt>
                <c:pt idx="110">
                  <c:v>32.629316653021533</c:v>
                </c:pt>
                <c:pt idx="111">
                  <c:v>33.284030868834975</c:v>
                </c:pt>
                <c:pt idx="112">
                  <c:v>33.945846101412712</c:v>
                </c:pt>
                <c:pt idx="113">
                  <c:v>34.614775072294783</c:v>
                </c:pt>
                <c:pt idx="114">
                  <c:v>35.290830412665656</c:v>
                </c:pt>
                <c:pt idx="115">
                  <c:v>35.974024664785404</c:v>
                </c:pt>
                <c:pt idx="116">
                  <c:v>36.66437028338617</c:v>
                </c:pt>
                <c:pt idx="117">
                  <c:v>37.361879637034541</c:v>
                </c:pt>
                <c:pt idx="118">
                  <c:v>38.066565009461442</c:v>
                </c:pt>
                <c:pt idx="119">
                  <c:v>38.778438600860156</c:v>
                </c:pt>
                <c:pt idx="120">
                  <c:v>39.497512529153937</c:v>
                </c:pt>
                <c:pt idx="121">
                  <c:v>40.223798831233793</c:v>
                </c:pt>
                <c:pt idx="122">
                  <c:v>40.957309464167594</c:v>
                </c:pt>
                <c:pt idx="123">
                  <c:v>41.698056306381332</c:v>
                </c:pt>
                <c:pt idx="124">
                  <c:v>42.446051158813425</c:v>
                </c:pt>
                <c:pt idx="125">
                  <c:v>43.20130574604287</c:v>
                </c:pt>
                <c:pt idx="126">
                  <c:v>43.96383171739209</c:v>
                </c:pt>
                <c:pt idx="127">
                  <c:v>44.733640648005029</c:v>
                </c:pt>
                <c:pt idx="128">
                  <c:v>45.51074403990178</c:v>
                </c:pt>
                <c:pt idx="129">
                  <c:v>46.295153323009551</c:v>
                </c:pt>
                <c:pt idx="130">
                  <c:v>47.086879856171741</c:v>
                </c:pt>
                <c:pt idx="131">
                  <c:v>47.885934928134773</c:v>
                </c:pt>
                <c:pt idx="132">
                  <c:v>48.692329758514056</c:v>
                </c:pt>
                <c:pt idx="133">
                  <c:v>49.506075498739264</c:v>
                </c:pt>
                <c:pt idx="134">
                  <c:v>50.327183232979692</c:v>
                </c:pt>
                <c:pt idx="135">
                  <c:v>51.155663979050281</c:v>
                </c:pt>
                <c:pt idx="136">
                  <c:v>51.991528689298697</c:v>
                </c:pt>
                <c:pt idx="137">
                  <c:v>52.834788251474109</c:v>
                </c:pt>
                <c:pt idx="138">
                  <c:v>53.685453489578279</c:v>
                </c:pt>
                <c:pt idx="139">
                  <c:v>54.5435351646993</c:v>
                </c:pt>
                <c:pt idx="140">
                  <c:v>55.40904397582829</c:v>
                </c:pt>
                <c:pt idx="141">
                  <c:v>56.281990560660041</c:v>
                </c:pt>
                <c:pt idx="142">
                  <c:v>57.162385496377439</c:v>
                </c:pt>
                <c:pt idx="143">
                  <c:v>58.050239300420593</c:v>
                </c:pt>
                <c:pt idx="144">
                  <c:v>58.945562431240724</c:v>
                </c:pt>
                <c:pt idx="145">
                  <c:v>59.848365289039329</c:v>
                </c:pt>
                <c:pt idx="146">
                  <c:v>60.758658216493295</c:v>
                </c:pt>
                <c:pt idx="147">
                  <c:v>61.676451499465692</c:v>
                </c:pt>
                <c:pt idx="148">
                  <c:v>62.601755367703319</c:v>
                </c:pt>
                <c:pt idx="149">
                  <c:v>63.534579995520808</c:v>
                </c:pt>
                <c:pt idx="150">
                  <c:v>64.474935502471993</c:v>
                </c:pt>
                <c:pt idx="151">
                  <c:v>65.422831954008544</c:v>
                </c:pt>
                <c:pt idx="152">
                  <c:v>66.378279362126634</c:v>
                </c:pt>
                <c:pt idx="153">
                  <c:v>67.341287686001195</c:v>
                </c:pt>
                <c:pt idx="154">
                  <c:v>68.311866832609155</c:v>
                </c:pt>
                <c:pt idx="155">
                  <c:v>69.290026657340803</c:v>
                </c:pt>
                <c:pt idx="156">
                  <c:v>70.27577696460034</c:v>
                </c:pt>
                <c:pt idx="157">
                  <c:v>71.269127508395513</c:v>
                </c:pt>
                <c:pt idx="158">
                  <c:v>72.270087992916814</c:v>
                </c:pt>
                <c:pt idx="159">
                  <c:v>73.278668073106317</c:v>
                </c:pt>
                <c:pt idx="160">
                  <c:v>74.294877355216428</c:v>
                </c:pt>
                <c:pt idx="161">
                  <c:v>75.318725397358961</c:v>
                </c:pt>
                <c:pt idx="162">
                  <c:v>76.350221710044607</c:v>
                </c:pt>
                <c:pt idx="163">
                  <c:v>77.389375756712965</c:v>
                </c:pt>
                <c:pt idx="164">
                  <c:v>78.436196954253518</c:v>
                </c:pt>
                <c:pt idx="165">
                  <c:v>79.490694673517737</c:v>
                </c:pt>
                <c:pt idx="166">
                  <c:v>80.552878239822363</c:v>
                </c:pt>
                <c:pt idx="167">
                  <c:v>81.622756933444307</c:v>
                </c:pt>
                <c:pt idx="168">
                  <c:v>82.700339990107153</c:v>
                </c:pt>
                <c:pt idx="169">
                  <c:v>83.785636601459473</c:v>
                </c:pt>
                <c:pt idx="170">
                  <c:v>84.878655915545423</c:v>
                </c:pt>
                <c:pt idx="171">
                  <c:v>85.97940703726735</c:v>
                </c:pt>
                <c:pt idx="172">
                  <c:v>87.087899028840866</c:v>
                </c:pt>
                <c:pt idx="173">
                  <c:v>88.2041409102426</c:v>
                </c:pt>
                <c:pt idx="174">
                  <c:v>89.32814165965047</c:v>
                </c:pt>
                <c:pt idx="175">
                  <c:v>90.459910213877194</c:v>
                </c:pt>
                <c:pt idx="176">
                  <c:v>91.59945546879645</c:v>
                </c:pt>
                <c:pt idx="177">
                  <c:v>92.746786279762517</c:v>
                </c:pt>
                <c:pt idx="178">
                  <c:v>93.901911462023236</c:v>
                </c:pt>
                <c:pt idx="179">
                  <c:v>95.064839791126374</c:v>
                </c:pt>
                <c:pt idx="180">
                  <c:v>96.235580003319612</c:v>
                </c:pt>
                <c:pt idx="181">
                  <c:v>97.414140795944419</c:v>
                </c:pt>
                <c:pt idx="182">
                  <c:v>98.600530827823704</c:v>
                </c:pt>
                <c:pt idx="183">
                  <c:v>99.794758719643553</c:v>
                </c:pt>
                <c:pt idx="184">
                  <c:v>100.9968330543291</c:v>
                </c:pt>
                <c:pt idx="185">
                  <c:v>102.20676237741453</c:v>
                </c:pt>
                <c:pt idx="186">
                  <c:v>103.42455519740787</c:v>
                </c:pt>
                <c:pt idx="187">
                  <c:v>104.65021998614974</c:v>
                </c:pt>
                <c:pt idx="188">
                  <c:v>105.88376517916718</c:v>
                </c:pt>
                <c:pt idx="189">
                  <c:v>107.12519917602187</c:v>
                </c:pt>
                <c:pt idx="190">
                  <c:v>108.37453034065346</c:v>
                </c:pt>
                <c:pt idx="191">
                  <c:v>109.63176700171755</c:v>
                </c:pt>
                <c:pt idx="192">
                  <c:v>110.89691745291894</c:v>
                </c:pt>
                <c:pt idx="193">
                  <c:v>112.16998995333981</c:v>
                </c:pt>
                <c:pt idx="194">
                  <c:v>113.45099272776339</c:v>
                </c:pt>
                <c:pt idx="195">
                  <c:v>114.73993396699272</c:v>
                </c:pt>
                <c:pt idx="196">
                  <c:v>116.0368218281649</c:v>
                </c:pt>
                <c:pt idx="197">
                  <c:v>117.34166443506076</c:v>
                </c:pt>
                <c:pt idx="198">
                  <c:v>118.65446987841034</c:v>
                </c:pt>
                <c:pt idx="199">
                  <c:v>119.9752462161939</c:v>
                </c:pt>
                <c:pt idx="200">
                  <c:v>121.30400147393854</c:v>
                </c:pt>
                <c:pt idx="201">
                  <c:v>122.64074364501096</c:v>
                </c:pt>
                <c:pt idx="202">
                  <c:v>123.98548069090592</c:v>
                </c:pt>
                <c:pt idx="203">
                  <c:v>125.33822054153079</c:v>
                </c:pt>
                <c:pt idx="204">
                  <c:v>126.69897109548614</c:v>
                </c:pt>
                <c:pt idx="205">
                  <c:v>128.06774022034247</c:v>
                </c:pt>
                <c:pt idx="206">
                  <c:v>129.44453575291305</c:v>
                </c:pt>
                <c:pt idx="207">
                  <c:v>130.82936549952339</c:v>
                </c:pt>
                <c:pt idx="208">
                  <c:v>132.22223723627653</c:v>
                </c:pt>
                <c:pt idx="209">
                  <c:v>133.62315870931519</c:v>
                </c:pt>
                <c:pt idx="210">
                  <c:v>135.03213763508032</c:v>
                </c:pt>
                <c:pt idx="211">
                  <c:v>136.44918170056599</c:v>
                </c:pt>
                <c:pt idx="212">
                  <c:v>137.87429856357107</c:v>
                </c:pt>
                <c:pt idx="213">
                  <c:v>139.30749585294762</c:v>
                </c:pt>
                <c:pt idx="214">
                  <c:v>140.74878116884585</c:v>
                </c:pt>
                <c:pt idx="215">
                  <c:v>142.19816208295592</c:v>
                </c:pt>
                <c:pt idx="216">
                  <c:v>143.65564613874662</c:v>
                </c:pt>
                <c:pt idx="217">
                  <c:v>145.12124085170106</c:v>
                </c:pt>
                <c:pt idx="218">
                  <c:v>146.5949537095492</c:v>
                </c:pt>
                <c:pt idx="219">
                  <c:v>148.07679217249708</c:v>
                </c:pt>
                <c:pt idx="220">
                  <c:v>149.56676367345389</c:v>
                </c:pt>
                <c:pt idx="221">
                  <c:v>151.06487561825529</c:v>
                </c:pt>
                <c:pt idx="222">
                  <c:v>152.57113538588445</c:v>
                </c:pt>
                <c:pt idx="223">
                  <c:v>154.08555032869023</c:v>
                </c:pt>
                <c:pt idx="224">
                  <c:v>155.60812777260222</c:v>
                </c:pt>
                <c:pt idx="225">
                  <c:v>157.13887501734362</c:v>
                </c:pt>
                <c:pt idx="226">
                  <c:v>158.67779933664127</c:v>
                </c:pt>
                <c:pt idx="227">
                  <c:v>160.22490797843278</c:v>
                </c:pt>
                <c:pt idx="228">
                  <c:v>161.78020816507166</c:v>
                </c:pt>
                <c:pt idx="229">
                  <c:v>163.34370709352939</c:v>
                </c:pt>
                <c:pt idx="230">
                  <c:v>164.91541193559527</c:v>
                </c:pt>
                <c:pt idx="231">
                  <c:v>166.49532983807404</c:v>
                </c:pt>
                <c:pt idx="232">
                  <c:v>168.0834679229805</c:v>
                </c:pt>
                <c:pt idx="233">
                  <c:v>169.67983328773252</c:v>
                </c:pt>
                <c:pt idx="234">
                  <c:v>171.28443300534104</c:v>
                </c:pt>
                <c:pt idx="235">
                  <c:v>172.8972741245984</c:v>
                </c:pt>
                <c:pt idx="236">
                  <c:v>174.51836367026385</c:v>
                </c:pt>
                <c:pt idx="237">
                  <c:v>176.14770864324734</c:v>
                </c:pt>
                <c:pt idx="238">
                  <c:v>177.78531602079087</c:v>
                </c:pt>
                <c:pt idx="239">
                  <c:v>179.43119275664776</c:v>
                </c:pt>
                <c:pt idx="240">
                  <c:v>181.08534578125972</c:v>
                </c:pt>
                <c:pt idx="241">
                  <c:v>182.74778200193219</c:v>
                </c:pt>
                <c:pt idx="242">
                  <c:v>184.41850830300714</c:v>
                </c:pt>
                <c:pt idx="243">
                  <c:v>186.09753154603436</c:v>
                </c:pt>
                <c:pt idx="244">
                  <c:v>187.78485856994038</c:v>
                </c:pt>
                <c:pt idx="245">
                  <c:v>189.48049619119573</c:v>
                </c:pt>
                <c:pt idx="246">
                  <c:v>191.18445120397999</c:v>
                </c:pt>
                <c:pt idx="247">
                  <c:v>192.89673038034539</c:v>
                </c:pt>
                <c:pt idx="248">
                  <c:v>194.61734047037802</c:v>
                </c:pt>
                <c:pt idx="249">
                  <c:v>196.34628820235778</c:v>
                </c:pt>
                <c:pt idx="250">
                  <c:v>198.08358028291602</c:v>
                </c:pt>
                <c:pt idx="251">
                  <c:v>199.82922339719173</c:v>
                </c:pt>
                <c:pt idx="252">
                  <c:v>201.58322420898591</c:v>
                </c:pt>
                <c:pt idx="253">
                  <c:v>203.34558936091415</c:v>
                </c:pt>
                <c:pt idx="254">
                  <c:v>205.11632547455761</c:v>
                </c:pt>
                <c:pt idx="255">
                  <c:v>206.4684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8A-4AEA-B6A0-D67E5703A369}"/>
            </c:ext>
          </c:extLst>
        </c:ser>
        <c:ser>
          <c:idx val="2"/>
          <c:order val="2"/>
          <c:tx>
            <c:strRef>
              <c:f>'Gamma 2.2 5400K'!$E$16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2.2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5400K'!$E$17:$E$272</c:f>
              <c:numCache>
                <c:formatCode>0.00_ </c:formatCode>
                <c:ptCount val="256"/>
                <c:pt idx="0">
                  <c:v>4.9742644550715087E-5</c:v>
                </c:pt>
                <c:pt idx="1">
                  <c:v>1.8495979233593249E-3</c:v>
                </c:pt>
                <c:pt idx="2">
                  <c:v>6.7956795242955087E-3</c:v>
                </c:pt>
                <c:pt idx="3">
                  <c:v>1.5308722092257374E-2</c:v>
                </c:pt>
                <c:pt idx="4">
                  <c:v>2.7667672361153792E-2</c:v>
                </c:pt>
                <c:pt idx="5">
                  <c:v>4.408732757075965E-2</c:v>
                </c:pt>
                <c:pt idx="6">
                  <c:v>6.4744477319073596E-2</c:v>
                </c:pt>
                <c:pt idx="7">
                  <c:v>8.9790406454912625E-2</c:v>
                </c:pt>
                <c:pt idx="8">
                  <c:v>0.11935795358529608</c:v>
                </c:pt>
                <c:pt idx="9">
                  <c:v>0.1535659231757987</c:v>
                </c:pt>
                <c:pt idx="10">
                  <c:v>0.19252204323069161</c:v>
                </c:pt>
                <c:pt idx="11">
                  <c:v>0.23632505241678145</c:v>
                </c:pt>
                <c:pt idx="12">
                  <c:v>0.2850662320651064</c:v>
                </c:pt>
                <c:pt idx="13">
                  <c:v>0.33883056641578679</c:v>
                </c:pt>
                <c:pt idx="14">
                  <c:v>0.39769764396252899</c:v>
                </c:pt>
                <c:pt idx="15">
                  <c:v>0.46174237261988615</c:v>
                </c:pt>
                <c:pt idx="16">
                  <c:v>0.53103555737910169</c:v>
                </c:pt>
                <c:pt idx="17">
                  <c:v>0.60564437406730465</c:v>
                </c:pt>
                <c:pt idx="18">
                  <c:v>0.68563276306312393</c:v>
                </c:pt>
                <c:pt idx="19">
                  <c:v>0.77106176029281548</c:v>
                </c:pt>
                <c:pt idx="20">
                  <c:v>0.86198977834655044</c:v>
                </c:pt>
                <c:pt idx="21">
                  <c:v>0.95847284740183436</c:v>
                </c:pt>
                <c:pt idx="22">
                  <c:v>1.0605648233788232</c:v>
                </c:pt>
                <c:pt idx="23">
                  <c:v>1.1683175690991656</c:v>
                </c:pt>
                <c:pt idx="24">
                  <c:v>1.2817811129921157</c:v>
                </c:pt>
                <c:pt idx="25">
                  <c:v>1.4010037889662219</c:v>
                </c:pt>
                <c:pt idx="26">
                  <c:v>1.5260323603579402</c:v>
                </c:pt>
                <c:pt idx="27">
                  <c:v>1.6569121303221594</c:v>
                </c:pt>
                <c:pt idx="28">
                  <c:v>1.7936870406023433</c:v>
                </c:pt>
                <c:pt idx="29">
                  <c:v>1.9363997602808627</c:v>
                </c:pt>
                <c:pt idx="30">
                  <c:v>2.085091765841153</c:v>
                </c:pt>
                <c:pt idx="31">
                  <c:v>2.2398034136573854</c:v>
                </c:pt>
                <c:pt idx="32">
                  <c:v>2.4005740058521119</c:v>
                </c:pt>
                <c:pt idx="33">
                  <c:v>2.5674418503195744</c:v>
                </c:pt>
                <c:pt idx="34">
                  <c:v>2.7404443155947242</c:v>
                </c:pt>
                <c:pt idx="35">
                  <c:v>2.9196178811509585</c:v>
                </c:pt>
                <c:pt idx="36">
                  <c:v>3.1049981836285498</c:v>
                </c:pt>
                <c:pt idx="37">
                  <c:v>3.2966200594281947</c:v>
                </c:pt>
                <c:pt idx="38">
                  <c:v>3.4945175840469425</c:v>
                </c:pt>
                <c:pt idx="39">
                  <c:v>3.6987241084858131</c:v>
                </c:pt>
                <c:pt idx="40">
                  <c:v>3.9092722930172545</c:v>
                </c:pt>
                <c:pt idx="41">
                  <c:v>4.1261941385658023</c:v>
                </c:pt>
                <c:pt idx="42">
                  <c:v>4.3495210159252933</c:v>
                </c:pt>
                <c:pt idx="43">
                  <c:v>4.5792836930102059</c:v>
                </c:pt>
                <c:pt idx="44">
                  <c:v>4.8155123603164656</c:v>
                </c:pt>
                <c:pt idx="45">
                  <c:v>5.0582366547477502</c:v>
                </c:pt>
                <c:pt idx="46">
                  <c:v>5.307485681946484</c:v>
                </c:pt>
                <c:pt idx="47">
                  <c:v>5.5632880372541713</c:v>
                </c:pt>
                <c:pt idx="48">
                  <c:v>5.82567182541273</c:v>
                </c:pt>
                <c:pt idx="49">
                  <c:v>6.0946646791074137</c:v>
                </c:pt>
                <c:pt idx="50">
                  <c:v>6.3702937764417378</c:v>
                </c:pt>
                <c:pt idx="51">
                  <c:v>6.6525858574263674</c:v>
                </c:pt>
                <c:pt idx="52">
                  <c:v>6.9415672395558419</c:v>
                </c:pt>
                <c:pt idx="53">
                  <c:v>7.2372638325404477</c:v>
                </c:pt>
                <c:pt idx="54">
                  <c:v>7.5397011522540991</c:v>
                </c:pt>
                <c:pt idx="55">
                  <c:v>7.8489043339539561</c:v>
                </c:pt>
                <c:pt idx="56">
                  <c:v>8.1648981448222919</c:v>
                </c:pt>
                <c:pt idx="57">
                  <c:v>8.4877069958770335</c:v>
                </c:pt>
                <c:pt idx="58">
                  <c:v>8.8173549532933322</c:v>
                </c:pt>
                <c:pt idx="59">
                  <c:v>9.1538657491749049</c:v>
                </c:pt>
                <c:pt idx="60">
                  <c:v>9.497262791810984</c:v>
                </c:pt>
                <c:pt idx="61">
                  <c:v>9.8475691754515466</c:v>
                </c:pt>
                <c:pt idx="62">
                  <c:v>10.204807689631005</c:v>
                </c:pt>
                <c:pt idx="63">
                  <c:v>10.569000828068333</c:v>
                </c:pt>
                <c:pt idx="64">
                  <c:v>10.940170797169161</c:v>
                </c:pt>
                <c:pt idx="65">
                  <c:v>11.318339524153792</c:v>
                </c:pt>
                <c:pt idx="66">
                  <c:v>11.70352866483298</c:v>
                </c:pt>
                <c:pt idx="67">
                  <c:v>12.095759611051935</c:v>
                </c:pt>
                <c:pt idx="68">
                  <c:v>12.495053497821567</c:v>
                </c:pt>
                <c:pt idx="69">
                  <c:v>12.901431210154321</c:v>
                </c:pt>
                <c:pt idx="70">
                  <c:v>13.314913389621232</c:v>
                </c:pt>
                <c:pt idx="71">
                  <c:v>13.735520440645198</c:v>
                </c:pt>
                <c:pt idx="72">
                  <c:v>14.163272536544767</c:v>
                </c:pt>
                <c:pt idx="73">
                  <c:v>14.598189625341693</c:v>
                </c:pt>
                <c:pt idx="74">
                  <c:v>15.040291435344562</c:v>
                </c:pt>
                <c:pt idx="75">
                  <c:v>15.489597480520027</c:v>
                </c:pt>
                <c:pt idx="76">
                  <c:v>15.946127065662612</c:v>
                </c:pt>
                <c:pt idx="77">
                  <c:v>16.40989929137303</c:v>
                </c:pt>
                <c:pt idx="78">
                  <c:v>16.880933058854595</c:v>
                </c:pt>
                <c:pt idx="79">
                  <c:v>17.359247074536629</c:v>
                </c:pt>
                <c:pt idx="80">
                  <c:v>17.844859854533286</c:v>
                </c:pt>
                <c:pt idx="81">
                  <c:v>18.337789728945499</c:v>
                </c:pt>
                <c:pt idx="82">
                  <c:v>18.838054846013566</c:v>
                </c:pt>
                <c:pt idx="83">
                  <c:v>19.345673176127253</c:v>
                </c:pt>
                <c:pt idx="84">
                  <c:v>19.860662515700135</c:v>
                </c:pt>
                <c:pt idx="85">
                  <c:v>20.383040490914041</c:v>
                </c:pt>
                <c:pt idx="86">
                  <c:v>20.91282456133974</c:v>
                </c:pt>
                <c:pt idx="87">
                  <c:v>21.450032023439149</c:v>
                </c:pt>
                <c:pt idx="88">
                  <c:v>21.994680013954387</c:v>
                </c:pt>
                <c:pt idx="89">
                  <c:v>22.546785513188595</c:v>
                </c:pt>
                <c:pt idx="90">
                  <c:v>23.106365348182926</c:v>
                </c:pt>
                <c:pt idx="91">
                  <c:v>23.673436195794448</c:v>
                </c:pt>
                <c:pt idx="92">
                  <c:v>24.248014585678966</c:v>
                </c:pt>
                <c:pt idx="93">
                  <c:v>24.830116903182535</c:v>
                </c:pt>
                <c:pt idx="94">
                  <c:v>25.419759392145696</c:v>
                </c:pt>
                <c:pt idx="95">
                  <c:v>26.016958157623858</c:v>
                </c:pt>
                <c:pt idx="96">
                  <c:v>26.621729168527111</c:v>
                </c:pt>
                <c:pt idx="97">
                  <c:v>27.234088260182784</c:v>
                </c:pt>
                <c:pt idx="98">
                  <c:v>27.854051136823763</c:v>
                </c:pt>
                <c:pt idx="99">
                  <c:v>28.481633374005369</c:v>
                </c:pt>
                <c:pt idx="100">
                  <c:v>29.116850420953803</c:v>
                </c:pt>
                <c:pt idx="101">
                  <c:v>29.759717602848305</c:v>
                </c:pt>
                <c:pt idx="102">
                  <c:v>30.410250123040157</c:v>
                </c:pt>
                <c:pt idx="103">
                  <c:v>31.068463065210146</c:v>
                </c:pt>
                <c:pt idx="104">
                  <c:v>31.734371395467626</c:v>
                </c:pt>
                <c:pt idx="105">
                  <c:v>32.407989964392456</c:v>
                </c:pt>
                <c:pt idx="106">
                  <c:v>33.089333509022552</c:v>
                </c:pt>
                <c:pt idx="107">
                  <c:v>33.7784166547886</c:v>
                </c:pt>
                <c:pt idx="108">
                  <c:v>34.475253917398078</c:v>
                </c:pt>
                <c:pt idx="109">
                  <c:v>35.179859704670228</c:v>
                </c:pt>
                <c:pt idx="110">
                  <c:v>35.892248318323688</c:v>
                </c:pt>
                <c:pt idx="111">
                  <c:v>36.612433955718473</c:v>
                </c:pt>
                <c:pt idx="112">
                  <c:v>37.340430711553985</c:v>
                </c:pt>
                <c:pt idx="113">
                  <c:v>38.076252579524265</c:v>
                </c:pt>
                <c:pt idx="114">
                  <c:v>38.819913453932223</c:v>
                </c:pt>
                <c:pt idx="115">
                  <c:v>39.571427131263945</c:v>
                </c:pt>
                <c:pt idx="116">
                  <c:v>40.330807311724783</c:v>
                </c:pt>
                <c:pt idx="117">
                  <c:v>41.098067600737991</c:v>
                </c:pt>
                <c:pt idx="118">
                  <c:v>41.873221510407589</c:v>
                </c:pt>
                <c:pt idx="119">
                  <c:v>42.656282460946173</c:v>
                </c:pt>
                <c:pt idx="120">
                  <c:v>43.447263782069328</c:v>
                </c:pt>
                <c:pt idx="121">
                  <c:v>44.246178714357171</c:v>
                </c:pt>
                <c:pt idx="122">
                  <c:v>45.053040410584352</c:v>
                </c:pt>
                <c:pt idx="123">
                  <c:v>45.867861937019462</c:v>
                </c:pt>
                <c:pt idx="124">
                  <c:v>46.690656274694767</c:v>
                </c:pt>
                <c:pt idx="125">
                  <c:v>47.521436320647155</c:v>
                </c:pt>
                <c:pt idx="126">
                  <c:v>48.360214889131299</c:v>
                </c:pt>
                <c:pt idx="127">
                  <c:v>49.207004712805528</c:v>
                </c:pt>
                <c:pt idx="128">
                  <c:v>50.061818443891958</c:v>
                </c:pt>
                <c:pt idx="129">
                  <c:v>50.924668655310505</c:v>
                </c:pt>
                <c:pt idx="130">
                  <c:v>51.795567841788916</c:v>
                </c:pt>
                <c:pt idx="131">
                  <c:v>52.674528420948249</c:v>
                </c:pt>
                <c:pt idx="132">
                  <c:v>53.561562734365459</c:v>
                </c:pt>
                <c:pt idx="133">
                  <c:v>54.456683048613193</c:v>
                </c:pt>
                <c:pt idx="134">
                  <c:v>55.359901556277663</c:v>
                </c:pt>
                <c:pt idx="135">
                  <c:v>56.271230376955309</c:v>
                </c:pt>
                <c:pt idx="136">
                  <c:v>57.190681558228569</c:v>
                </c:pt>
                <c:pt idx="137">
                  <c:v>58.118267076621521</c:v>
                </c:pt>
                <c:pt idx="138">
                  <c:v>59.05399883853611</c:v>
                </c:pt>
                <c:pt idx="139">
                  <c:v>59.997888681169229</c:v>
                </c:pt>
                <c:pt idx="140">
                  <c:v>60.949948373411118</c:v>
                </c:pt>
                <c:pt idx="141">
                  <c:v>61.910189616726043</c:v>
                </c:pt>
                <c:pt idx="142">
                  <c:v>62.878624046015183</c:v>
                </c:pt>
                <c:pt idx="143">
                  <c:v>63.855263230462654</c:v>
                </c:pt>
                <c:pt idx="144">
                  <c:v>64.840118674364803</c:v>
                </c:pt>
                <c:pt idx="145">
                  <c:v>65.833201817943262</c:v>
                </c:pt>
                <c:pt idx="146">
                  <c:v>66.834524038142632</c:v>
                </c:pt>
                <c:pt idx="147">
                  <c:v>67.844096649412265</c:v>
                </c:pt>
                <c:pt idx="148">
                  <c:v>68.861930904473653</c:v>
                </c:pt>
                <c:pt idx="149">
                  <c:v>69.888037995072892</c:v>
                </c:pt>
                <c:pt idx="150">
                  <c:v>70.922429052719195</c:v>
                </c:pt>
                <c:pt idx="151">
                  <c:v>71.965115149409399</c:v>
                </c:pt>
                <c:pt idx="152">
                  <c:v>73.016107298339293</c:v>
                </c:pt>
                <c:pt idx="153">
                  <c:v>74.07541645460131</c:v>
                </c:pt>
                <c:pt idx="154">
                  <c:v>75.143053515870065</c:v>
                </c:pt>
                <c:pt idx="155">
                  <c:v>76.219029323074878</c:v>
                </c:pt>
                <c:pt idx="156">
                  <c:v>77.303354661060368</c:v>
                </c:pt>
                <c:pt idx="157">
                  <c:v>78.396040259235065</c:v>
                </c:pt>
                <c:pt idx="158">
                  <c:v>79.497096792208495</c:v>
                </c:pt>
                <c:pt idx="159">
                  <c:v>80.606534880416945</c:v>
                </c:pt>
                <c:pt idx="160">
                  <c:v>81.724365090738075</c:v>
                </c:pt>
                <c:pt idx="161">
                  <c:v>82.850597937094861</c:v>
                </c:pt>
                <c:pt idx="162">
                  <c:v>83.985243881049072</c:v>
                </c:pt>
                <c:pt idx="163">
                  <c:v>85.128313332384266</c:v>
                </c:pt>
                <c:pt idx="164">
                  <c:v>86.279816649678864</c:v>
                </c:pt>
                <c:pt idx="165">
                  <c:v>87.439764140869514</c:v>
                </c:pt>
                <c:pt idx="166">
                  <c:v>88.608166063804603</c:v>
                </c:pt>
                <c:pt idx="167">
                  <c:v>89.785032626788734</c:v>
                </c:pt>
                <c:pt idx="168">
                  <c:v>90.970373989117874</c:v>
                </c:pt>
                <c:pt idx="169">
                  <c:v>92.164200261605416</c:v>
                </c:pt>
                <c:pt idx="170">
                  <c:v>93.366521507099961</c:v>
                </c:pt>
                <c:pt idx="171">
                  <c:v>94.577347740994085</c:v>
                </c:pt>
                <c:pt idx="172">
                  <c:v>95.796688931724958</c:v>
                </c:pt>
                <c:pt idx="173">
                  <c:v>97.024555001266862</c:v>
                </c:pt>
                <c:pt idx="174">
                  <c:v>98.260955825615511</c:v>
                </c:pt>
                <c:pt idx="175">
                  <c:v>99.505901235264915</c:v>
                </c:pt>
                <c:pt idx="176">
                  <c:v>100.75940101567609</c:v>
                </c:pt>
                <c:pt idx="177">
                  <c:v>102.02146490773877</c:v>
                </c:pt>
                <c:pt idx="178">
                  <c:v>103.29210260822556</c:v>
                </c:pt>
                <c:pt idx="179">
                  <c:v>104.57132377023902</c:v>
                </c:pt>
                <c:pt idx="180">
                  <c:v>105.85913800365157</c:v>
                </c:pt>
                <c:pt idx="181">
                  <c:v>107.15555487553885</c:v>
                </c:pt>
                <c:pt idx="182">
                  <c:v>108.46058391060608</c:v>
                </c:pt>
                <c:pt idx="183">
                  <c:v>109.77423459160791</c:v>
                </c:pt>
                <c:pt idx="184">
                  <c:v>111.09651635976201</c:v>
                </c:pt>
                <c:pt idx="185">
                  <c:v>112.42743861515599</c:v>
                </c:pt>
                <c:pt idx="186">
                  <c:v>113.76701071714865</c:v>
                </c:pt>
                <c:pt idx="187">
                  <c:v>115.11524198476471</c:v>
                </c:pt>
                <c:pt idx="188">
                  <c:v>116.4721416970839</c:v>
                </c:pt>
                <c:pt idx="189">
                  <c:v>117.83771909362406</c:v>
                </c:pt>
                <c:pt idx="190">
                  <c:v>119.21198337471881</c:v>
                </c:pt>
                <c:pt idx="191">
                  <c:v>120.59494370188931</c:v>
                </c:pt>
                <c:pt idx="192">
                  <c:v>121.98660919821083</c:v>
                </c:pt>
                <c:pt idx="193">
                  <c:v>123.38698894867379</c:v>
                </c:pt>
                <c:pt idx="194">
                  <c:v>124.79609200053973</c:v>
                </c:pt>
                <c:pt idx="195">
                  <c:v>126.21392736369199</c:v>
                </c:pt>
                <c:pt idx="196">
                  <c:v>127.6405040109814</c:v>
                </c:pt>
                <c:pt idx="197">
                  <c:v>129.07583087856685</c:v>
                </c:pt>
                <c:pt idx="198">
                  <c:v>130.51991686625138</c:v>
                </c:pt>
                <c:pt idx="199">
                  <c:v>131.9727708378133</c:v>
                </c:pt>
                <c:pt idx="200">
                  <c:v>133.4344016213324</c:v>
                </c:pt>
                <c:pt idx="201">
                  <c:v>134.90481800951204</c:v>
                </c:pt>
                <c:pt idx="202">
                  <c:v>136.38402875999651</c:v>
                </c:pt>
                <c:pt idx="203">
                  <c:v>137.87204259568387</c:v>
                </c:pt>
                <c:pt idx="204">
                  <c:v>139.36886820503474</c:v>
                </c:pt>
                <c:pt idx="205">
                  <c:v>140.87451424237673</c:v>
                </c:pt>
                <c:pt idx="206">
                  <c:v>142.38898932820436</c:v>
                </c:pt>
                <c:pt idx="207">
                  <c:v>143.91230204947573</c:v>
                </c:pt>
                <c:pt idx="208">
                  <c:v>145.44446095990418</c:v>
                </c:pt>
                <c:pt idx="209">
                  <c:v>146.98547458024672</c:v>
                </c:pt>
                <c:pt idx="210">
                  <c:v>148.53535139858835</c:v>
                </c:pt>
                <c:pt idx="211">
                  <c:v>150.09409987062259</c:v>
                </c:pt>
                <c:pt idx="212">
                  <c:v>151.66172841992818</c:v>
                </c:pt>
                <c:pt idx="213">
                  <c:v>153.23824543824239</c:v>
                </c:pt>
                <c:pt idx="214">
                  <c:v>154.82365928573043</c:v>
                </c:pt>
                <c:pt idx="215">
                  <c:v>156.4179782912515</c:v>
                </c:pt>
                <c:pt idx="216">
                  <c:v>158.02121075262127</c:v>
                </c:pt>
                <c:pt idx="217">
                  <c:v>159.63336493687117</c:v>
                </c:pt>
                <c:pt idx="218">
                  <c:v>161.25444908050412</c:v>
                </c:pt>
                <c:pt idx="219">
                  <c:v>162.88447138974678</c:v>
                </c:pt>
                <c:pt idx="220">
                  <c:v>164.52344004079927</c:v>
                </c:pt>
                <c:pt idx="221">
                  <c:v>166.17136318008082</c:v>
                </c:pt>
                <c:pt idx="222">
                  <c:v>167.82824892447289</c:v>
                </c:pt>
                <c:pt idx="223">
                  <c:v>169.49410536155926</c:v>
                </c:pt>
                <c:pt idx="224">
                  <c:v>171.16894054986244</c:v>
                </c:pt>
                <c:pt idx="225">
                  <c:v>172.852762519078</c:v>
                </c:pt>
                <c:pt idx="226">
                  <c:v>174.54557927030541</c:v>
                </c:pt>
                <c:pt idx="227">
                  <c:v>176.24739877627607</c:v>
                </c:pt>
                <c:pt idx="228">
                  <c:v>177.95822898157883</c:v>
                </c:pt>
                <c:pt idx="229">
                  <c:v>179.67807780288234</c:v>
                </c:pt>
                <c:pt idx="230">
                  <c:v>181.4069531291548</c:v>
                </c:pt>
                <c:pt idx="231">
                  <c:v>183.14486282188145</c:v>
                </c:pt>
                <c:pt idx="232">
                  <c:v>184.89181471527854</c:v>
                </c:pt>
                <c:pt idx="233">
                  <c:v>186.64781661650576</c:v>
                </c:pt>
                <c:pt idx="234">
                  <c:v>188.41287630587516</c:v>
                </c:pt>
                <c:pt idx="235">
                  <c:v>190.18700153705822</c:v>
                </c:pt>
                <c:pt idx="236">
                  <c:v>191.97020003729023</c:v>
                </c:pt>
                <c:pt idx="237">
                  <c:v>193.76247950757207</c:v>
                </c:pt>
                <c:pt idx="238">
                  <c:v>195.56384762286996</c:v>
                </c:pt>
                <c:pt idx="239">
                  <c:v>197.37431203231253</c:v>
                </c:pt>
                <c:pt idx="240">
                  <c:v>199.1938803593857</c:v>
                </c:pt>
                <c:pt idx="241">
                  <c:v>201.02256020212542</c:v>
                </c:pt>
                <c:pt idx="242">
                  <c:v>202.86035913330787</c:v>
                </c:pt>
                <c:pt idx="243">
                  <c:v>204.70728470063779</c:v>
                </c:pt>
                <c:pt idx="244">
                  <c:v>206.56334442693441</c:v>
                </c:pt>
                <c:pt idx="245">
                  <c:v>208.42854581031531</c:v>
                </c:pt>
                <c:pt idx="246">
                  <c:v>210.302896324378</c:v>
                </c:pt>
                <c:pt idx="247">
                  <c:v>212.18640341837994</c:v>
                </c:pt>
                <c:pt idx="248">
                  <c:v>214.07907451741582</c:v>
                </c:pt>
                <c:pt idx="249">
                  <c:v>215.98091702259356</c:v>
                </c:pt>
                <c:pt idx="250">
                  <c:v>217.89193831120761</c:v>
                </c:pt>
                <c:pt idx="251">
                  <c:v>219.81214573691091</c:v>
                </c:pt>
                <c:pt idx="252">
                  <c:v>221.74154662988451</c:v>
                </c:pt>
                <c:pt idx="253">
                  <c:v>223.68014829700556</c:v>
                </c:pt>
                <c:pt idx="254">
                  <c:v>225.62795802201339</c:v>
                </c:pt>
                <c:pt idx="255">
                  <c:v>227.11524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8A-4AEA-B6A0-D67E5703A369}"/>
            </c:ext>
          </c:extLst>
        </c:ser>
        <c:ser>
          <c:idx val="3"/>
          <c:order val="3"/>
          <c:tx>
            <c:strRef>
              <c:f>'Gamma 2.2 5400K'!$F$16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2.2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5400K'!$F$17:$F$272</c:f>
              <c:numCache>
                <c:formatCode>General</c:formatCode>
                <c:ptCount val="256"/>
                <c:pt idx="0">
                  <c:v>0.23960000000000001</c:v>
                </c:pt>
                <c:pt idx="1">
                  <c:v>0.23949999999999999</c:v>
                </c:pt>
                <c:pt idx="2">
                  <c:v>0.23899999999999999</c:v>
                </c:pt>
                <c:pt idx="3">
                  <c:v>0.25309999999999999</c:v>
                </c:pt>
                <c:pt idx="4">
                  <c:v>0.25559999999999999</c:v>
                </c:pt>
                <c:pt idx="5">
                  <c:v>0.26910000000000001</c:v>
                </c:pt>
                <c:pt idx="6">
                  <c:v>0.28399999999999997</c:v>
                </c:pt>
                <c:pt idx="7">
                  <c:v>0.29930000000000001</c:v>
                </c:pt>
                <c:pt idx="8">
                  <c:v>0.30259999999999998</c:v>
                </c:pt>
                <c:pt idx="9">
                  <c:v>0.33229999999999998</c:v>
                </c:pt>
                <c:pt idx="10">
                  <c:v>0.36209999999999998</c:v>
                </c:pt>
                <c:pt idx="11">
                  <c:v>0.39389999999999997</c:v>
                </c:pt>
                <c:pt idx="12">
                  <c:v>0.40400000000000003</c:v>
                </c:pt>
                <c:pt idx="13">
                  <c:v>0.43769999999999998</c:v>
                </c:pt>
                <c:pt idx="14">
                  <c:v>0.50600000000000001</c:v>
                </c:pt>
                <c:pt idx="15">
                  <c:v>0.56200000000000006</c:v>
                </c:pt>
                <c:pt idx="16">
                  <c:v>0.61950000000000005</c:v>
                </c:pt>
                <c:pt idx="17">
                  <c:v>0.68269999999999997</c:v>
                </c:pt>
                <c:pt idx="18">
                  <c:v>0.78449999999999998</c:v>
                </c:pt>
                <c:pt idx="19">
                  <c:v>0.8095</c:v>
                </c:pt>
                <c:pt idx="20">
                  <c:v>0.88490000000000002</c:v>
                </c:pt>
                <c:pt idx="21">
                  <c:v>0.96850000000000003</c:v>
                </c:pt>
                <c:pt idx="22">
                  <c:v>1.0875999999999999</c:v>
                </c:pt>
                <c:pt idx="23">
                  <c:v>1.1626000000000001</c:v>
                </c:pt>
                <c:pt idx="24">
                  <c:v>1.2755000000000001</c:v>
                </c:pt>
                <c:pt idx="25">
                  <c:v>1.3502000000000001</c:v>
                </c:pt>
                <c:pt idx="26">
                  <c:v>1.4332</c:v>
                </c:pt>
                <c:pt idx="27">
                  <c:v>1.5492999999999999</c:v>
                </c:pt>
                <c:pt idx="28">
                  <c:v>1.6685000000000001</c:v>
                </c:pt>
                <c:pt idx="29">
                  <c:v>1.7549999999999999</c:v>
                </c:pt>
                <c:pt idx="30">
                  <c:v>1.88</c:v>
                </c:pt>
                <c:pt idx="31">
                  <c:v>1.9946999999999999</c:v>
                </c:pt>
                <c:pt idx="32">
                  <c:v>2.1383999999999999</c:v>
                </c:pt>
                <c:pt idx="33">
                  <c:v>2.2374000000000001</c:v>
                </c:pt>
                <c:pt idx="34">
                  <c:v>2.3488000000000002</c:v>
                </c:pt>
                <c:pt idx="35">
                  <c:v>2.5617000000000001</c:v>
                </c:pt>
                <c:pt idx="36">
                  <c:v>2.7515999999999998</c:v>
                </c:pt>
                <c:pt idx="37">
                  <c:v>2.8967000000000001</c:v>
                </c:pt>
                <c:pt idx="38">
                  <c:v>3.0901999999999998</c:v>
                </c:pt>
                <c:pt idx="39">
                  <c:v>3.2277</c:v>
                </c:pt>
                <c:pt idx="40">
                  <c:v>3.3896999999999999</c:v>
                </c:pt>
                <c:pt idx="41">
                  <c:v>3.6088</c:v>
                </c:pt>
                <c:pt idx="42">
                  <c:v>3.7776999999999998</c:v>
                </c:pt>
                <c:pt idx="43">
                  <c:v>4.1113</c:v>
                </c:pt>
                <c:pt idx="44">
                  <c:v>4.3498999999999999</c:v>
                </c:pt>
                <c:pt idx="45">
                  <c:v>4.5991</c:v>
                </c:pt>
                <c:pt idx="46">
                  <c:v>4.8074000000000003</c:v>
                </c:pt>
                <c:pt idx="47">
                  <c:v>5.0980999999999996</c:v>
                </c:pt>
                <c:pt idx="48">
                  <c:v>5.2990000000000004</c:v>
                </c:pt>
                <c:pt idx="49">
                  <c:v>5.6101999999999999</c:v>
                </c:pt>
                <c:pt idx="50">
                  <c:v>5.8079000000000001</c:v>
                </c:pt>
                <c:pt idx="51">
                  <c:v>6.1208</c:v>
                </c:pt>
                <c:pt idx="52">
                  <c:v>6.3556999999999997</c:v>
                </c:pt>
                <c:pt idx="53">
                  <c:v>6.6889000000000003</c:v>
                </c:pt>
                <c:pt idx="54">
                  <c:v>6.9523999999999999</c:v>
                </c:pt>
                <c:pt idx="55">
                  <c:v>7.1848000000000001</c:v>
                </c:pt>
                <c:pt idx="56">
                  <c:v>7.5324</c:v>
                </c:pt>
                <c:pt idx="57">
                  <c:v>7.7922000000000002</c:v>
                </c:pt>
                <c:pt idx="58">
                  <c:v>8.0526</c:v>
                </c:pt>
                <c:pt idx="59">
                  <c:v>8.4041999999999994</c:v>
                </c:pt>
                <c:pt idx="60">
                  <c:v>8.6875999999999998</c:v>
                </c:pt>
                <c:pt idx="61">
                  <c:v>9.0523000000000007</c:v>
                </c:pt>
                <c:pt idx="62">
                  <c:v>9.3942999999999994</c:v>
                </c:pt>
                <c:pt idx="63">
                  <c:v>9.8374000000000006</c:v>
                </c:pt>
                <c:pt idx="64">
                  <c:v>10.1539</c:v>
                </c:pt>
                <c:pt idx="65">
                  <c:v>10.245900000000001</c:v>
                </c:pt>
                <c:pt idx="66">
                  <c:v>10.6165</c:v>
                </c:pt>
                <c:pt idx="67">
                  <c:v>11.042400000000001</c:v>
                </c:pt>
                <c:pt idx="68">
                  <c:v>11.2738</c:v>
                </c:pt>
                <c:pt idx="69">
                  <c:v>11.7128</c:v>
                </c:pt>
                <c:pt idx="70">
                  <c:v>12.071400000000001</c:v>
                </c:pt>
                <c:pt idx="71">
                  <c:v>12.331</c:v>
                </c:pt>
                <c:pt idx="72">
                  <c:v>12.471299999999999</c:v>
                </c:pt>
                <c:pt idx="73">
                  <c:v>12.979799999999999</c:v>
                </c:pt>
                <c:pt idx="74">
                  <c:v>13.3248</c:v>
                </c:pt>
                <c:pt idx="75">
                  <c:v>13.7342</c:v>
                </c:pt>
                <c:pt idx="76">
                  <c:v>14.2616</c:v>
                </c:pt>
                <c:pt idx="77">
                  <c:v>14.6624</c:v>
                </c:pt>
                <c:pt idx="78">
                  <c:v>15.1045</c:v>
                </c:pt>
                <c:pt idx="79">
                  <c:v>15.6198</c:v>
                </c:pt>
                <c:pt idx="80">
                  <c:v>15.783200000000001</c:v>
                </c:pt>
                <c:pt idx="81">
                  <c:v>16.215599999999998</c:v>
                </c:pt>
                <c:pt idx="82">
                  <c:v>16.7193</c:v>
                </c:pt>
                <c:pt idx="83">
                  <c:v>17.208500000000001</c:v>
                </c:pt>
                <c:pt idx="84">
                  <c:v>17.658300000000001</c:v>
                </c:pt>
                <c:pt idx="85">
                  <c:v>18.189900000000002</c:v>
                </c:pt>
                <c:pt idx="86">
                  <c:v>18.701699999999999</c:v>
                </c:pt>
                <c:pt idx="87">
                  <c:v>19.1798</c:v>
                </c:pt>
                <c:pt idx="88">
                  <c:v>19.720199999999998</c:v>
                </c:pt>
                <c:pt idx="89">
                  <c:v>20.139900000000001</c:v>
                </c:pt>
                <c:pt idx="90">
                  <c:v>20.827400000000001</c:v>
                </c:pt>
                <c:pt idx="91">
                  <c:v>21.340499999999999</c:v>
                </c:pt>
                <c:pt idx="92">
                  <c:v>21.430099999999999</c:v>
                </c:pt>
                <c:pt idx="93">
                  <c:v>22.032599999999999</c:v>
                </c:pt>
                <c:pt idx="94">
                  <c:v>22.690999999999999</c:v>
                </c:pt>
                <c:pt idx="95">
                  <c:v>23.124700000000001</c:v>
                </c:pt>
                <c:pt idx="96">
                  <c:v>23.861699999999999</c:v>
                </c:pt>
                <c:pt idx="97">
                  <c:v>24.4359</c:v>
                </c:pt>
                <c:pt idx="98">
                  <c:v>24.9359</c:v>
                </c:pt>
                <c:pt idx="99">
                  <c:v>25.640799999999999</c:v>
                </c:pt>
                <c:pt idx="100">
                  <c:v>26.167999999999999</c:v>
                </c:pt>
                <c:pt idx="101">
                  <c:v>26.864100000000001</c:v>
                </c:pt>
                <c:pt idx="102">
                  <c:v>27.453499999999998</c:v>
                </c:pt>
                <c:pt idx="103">
                  <c:v>27.6675</c:v>
                </c:pt>
                <c:pt idx="104">
                  <c:v>28.234300000000001</c:v>
                </c:pt>
                <c:pt idx="105">
                  <c:v>28.888400000000001</c:v>
                </c:pt>
                <c:pt idx="106">
                  <c:v>29.526</c:v>
                </c:pt>
                <c:pt idx="107">
                  <c:v>30.132999999999999</c:v>
                </c:pt>
                <c:pt idx="108">
                  <c:v>30.935199999999998</c:v>
                </c:pt>
                <c:pt idx="109">
                  <c:v>31.438700000000001</c:v>
                </c:pt>
                <c:pt idx="110">
                  <c:v>32.0458</c:v>
                </c:pt>
                <c:pt idx="111">
                  <c:v>32.952300000000001</c:v>
                </c:pt>
                <c:pt idx="112">
                  <c:v>33.588099999999997</c:v>
                </c:pt>
                <c:pt idx="113">
                  <c:v>33.7774</c:v>
                </c:pt>
                <c:pt idx="114">
                  <c:v>34.595300000000002</c:v>
                </c:pt>
                <c:pt idx="115">
                  <c:v>35.149799999999999</c:v>
                </c:pt>
                <c:pt idx="116">
                  <c:v>35.804699999999997</c:v>
                </c:pt>
                <c:pt idx="117">
                  <c:v>36.846400000000003</c:v>
                </c:pt>
                <c:pt idx="118">
                  <c:v>37.453000000000003</c:v>
                </c:pt>
                <c:pt idx="119">
                  <c:v>38.338700000000003</c:v>
                </c:pt>
                <c:pt idx="120">
                  <c:v>39.112000000000002</c:v>
                </c:pt>
                <c:pt idx="121">
                  <c:v>39.805799999999998</c:v>
                </c:pt>
                <c:pt idx="122">
                  <c:v>40.667099999999998</c:v>
                </c:pt>
                <c:pt idx="123">
                  <c:v>41.393900000000002</c:v>
                </c:pt>
                <c:pt idx="124">
                  <c:v>42.334800000000001</c:v>
                </c:pt>
                <c:pt idx="125">
                  <c:v>43.0092</c:v>
                </c:pt>
                <c:pt idx="126">
                  <c:v>43.142899999999997</c:v>
                </c:pt>
                <c:pt idx="127">
                  <c:v>43.972499999999997</c:v>
                </c:pt>
                <c:pt idx="128">
                  <c:v>44.931800000000003</c:v>
                </c:pt>
                <c:pt idx="129">
                  <c:v>45.680700000000002</c:v>
                </c:pt>
                <c:pt idx="130">
                  <c:v>46.661200000000001</c:v>
                </c:pt>
                <c:pt idx="131">
                  <c:v>47.388399999999997</c:v>
                </c:pt>
                <c:pt idx="132">
                  <c:v>47.892299999999999</c:v>
                </c:pt>
                <c:pt idx="133">
                  <c:v>48.804499999999997</c:v>
                </c:pt>
                <c:pt idx="134">
                  <c:v>49.637999999999998</c:v>
                </c:pt>
                <c:pt idx="135">
                  <c:v>50.688499999999998</c:v>
                </c:pt>
                <c:pt idx="136">
                  <c:v>51.4589</c:v>
                </c:pt>
                <c:pt idx="137">
                  <c:v>52.455100000000002</c:v>
                </c:pt>
                <c:pt idx="138">
                  <c:v>53.258000000000003</c:v>
                </c:pt>
                <c:pt idx="139">
                  <c:v>54.105400000000003</c:v>
                </c:pt>
                <c:pt idx="140">
                  <c:v>55.194499999999998</c:v>
                </c:pt>
                <c:pt idx="141">
                  <c:v>56.015300000000003</c:v>
                </c:pt>
                <c:pt idx="142">
                  <c:v>57.122</c:v>
                </c:pt>
                <c:pt idx="143">
                  <c:v>58.247300000000003</c:v>
                </c:pt>
                <c:pt idx="144">
                  <c:v>58.517699999999998</c:v>
                </c:pt>
                <c:pt idx="145">
                  <c:v>59.390799999999999</c:v>
                </c:pt>
                <c:pt idx="146">
                  <c:v>60.5623</c:v>
                </c:pt>
                <c:pt idx="147">
                  <c:v>61.443100000000001</c:v>
                </c:pt>
                <c:pt idx="148">
                  <c:v>62.330599999999997</c:v>
                </c:pt>
                <c:pt idx="149">
                  <c:v>63.557099999999998</c:v>
                </c:pt>
                <c:pt idx="150">
                  <c:v>64.278099999999995</c:v>
                </c:pt>
                <c:pt idx="151">
                  <c:v>65.200100000000006</c:v>
                </c:pt>
                <c:pt idx="152">
                  <c:v>66.485900000000001</c:v>
                </c:pt>
                <c:pt idx="153">
                  <c:v>67.327399999999997</c:v>
                </c:pt>
                <c:pt idx="154">
                  <c:v>68.624300000000005</c:v>
                </c:pt>
                <c:pt idx="155">
                  <c:v>69.611000000000004</c:v>
                </c:pt>
                <c:pt idx="156">
                  <c:v>70.977400000000003</c:v>
                </c:pt>
                <c:pt idx="157">
                  <c:v>71.982600000000005</c:v>
                </c:pt>
                <c:pt idx="158">
                  <c:v>72.8934</c:v>
                </c:pt>
                <c:pt idx="159">
                  <c:v>73.231399999999994</c:v>
                </c:pt>
                <c:pt idx="160">
                  <c:v>74.513300000000001</c:v>
                </c:pt>
                <c:pt idx="161">
                  <c:v>75.399100000000004</c:v>
                </c:pt>
                <c:pt idx="162">
                  <c:v>76.4114</c:v>
                </c:pt>
                <c:pt idx="163">
                  <c:v>77.831000000000003</c:v>
                </c:pt>
                <c:pt idx="164">
                  <c:v>78.491299999999995</c:v>
                </c:pt>
                <c:pt idx="165">
                  <c:v>79.829499999999996</c:v>
                </c:pt>
                <c:pt idx="166">
                  <c:v>80.873199999999997</c:v>
                </c:pt>
                <c:pt idx="167">
                  <c:v>82.0291</c:v>
                </c:pt>
                <c:pt idx="168">
                  <c:v>82.378</c:v>
                </c:pt>
                <c:pt idx="169">
                  <c:v>83.786500000000004</c:v>
                </c:pt>
                <c:pt idx="170">
                  <c:v>84.808599999999998</c:v>
                </c:pt>
                <c:pt idx="171">
                  <c:v>85.879800000000003</c:v>
                </c:pt>
                <c:pt idx="172">
                  <c:v>87.427099999999996</c:v>
                </c:pt>
                <c:pt idx="173">
                  <c:v>88.474000000000004</c:v>
                </c:pt>
                <c:pt idx="174">
                  <c:v>89.937399999999997</c:v>
                </c:pt>
                <c:pt idx="175">
                  <c:v>90.263199999999998</c:v>
                </c:pt>
                <c:pt idx="176">
                  <c:v>91.353999999999999</c:v>
                </c:pt>
                <c:pt idx="177">
                  <c:v>92.417699999999996</c:v>
                </c:pt>
                <c:pt idx="178">
                  <c:v>93.522199999999998</c:v>
                </c:pt>
                <c:pt idx="179">
                  <c:v>95.007999999999996</c:v>
                </c:pt>
                <c:pt idx="180">
                  <c:v>96.150400000000005</c:v>
                </c:pt>
                <c:pt idx="181">
                  <c:v>97.198599999999999</c:v>
                </c:pt>
                <c:pt idx="182">
                  <c:v>97.520300000000006</c:v>
                </c:pt>
                <c:pt idx="183">
                  <c:v>99.058099999999996</c:v>
                </c:pt>
                <c:pt idx="184">
                  <c:v>100.2243</c:v>
                </c:pt>
                <c:pt idx="185">
                  <c:v>101.3693</c:v>
                </c:pt>
                <c:pt idx="186">
                  <c:v>102.98350000000001</c:v>
                </c:pt>
                <c:pt idx="187">
                  <c:v>104.11499999999999</c:v>
                </c:pt>
                <c:pt idx="188">
                  <c:v>105.2428</c:v>
                </c:pt>
                <c:pt idx="189">
                  <c:v>106.8267</c:v>
                </c:pt>
                <c:pt idx="190">
                  <c:v>108.003</c:v>
                </c:pt>
                <c:pt idx="191">
                  <c:v>108.4455</c:v>
                </c:pt>
                <c:pt idx="192">
                  <c:v>109.6613</c:v>
                </c:pt>
                <c:pt idx="193">
                  <c:v>111.18680000000001</c:v>
                </c:pt>
                <c:pt idx="194">
                  <c:v>112.4688</c:v>
                </c:pt>
                <c:pt idx="195">
                  <c:v>114.15170000000001</c:v>
                </c:pt>
                <c:pt idx="196">
                  <c:v>115.2754</c:v>
                </c:pt>
                <c:pt idx="197">
                  <c:v>116.5878</c:v>
                </c:pt>
                <c:pt idx="198">
                  <c:v>118.1664</c:v>
                </c:pt>
                <c:pt idx="199">
                  <c:v>118.60899999999999</c:v>
                </c:pt>
                <c:pt idx="200">
                  <c:v>119.8116</c:v>
                </c:pt>
                <c:pt idx="201">
                  <c:v>121.15989999999999</c:v>
                </c:pt>
                <c:pt idx="202">
                  <c:v>122.8262</c:v>
                </c:pt>
                <c:pt idx="203">
                  <c:v>124.06480000000001</c:v>
                </c:pt>
                <c:pt idx="204">
                  <c:v>125.32340000000001</c:v>
                </c:pt>
                <c:pt idx="205">
                  <c:v>126.9713</c:v>
                </c:pt>
                <c:pt idx="206">
                  <c:v>128.2175</c:v>
                </c:pt>
                <c:pt idx="207">
                  <c:v>129.90360000000001</c:v>
                </c:pt>
                <c:pt idx="208">
                  <c:v>130.2987</c:v>
                </c:pt>
                <c:pt idx="209">
                  <c:v>131.5814</c:v>
                </c:pt>
                <c:pt idx="210">
                  <c:v>132.85050000000001</c:v>
                </c:pt>
                <c:pt idx="211">
                  <c:v>134.58150000000001</c:v>
                </c:pt>
                <c:pt idx="212">
                  <c:v>135.89230000000001</c:v>
                </c:pt>
                <c:pt idx="213">
                  <c:v>137.24350000000001</c:v>
                </c:pt>
                <c:pt idx="214">
                  <c:v>138.98699999999999</c:v>
                </c:pt>
                <c:pt idx="215">
                  <c:v>140.32429999999999</c:v>
                </c:pt>
                <c:pt idx="216">
                  <c:v>142.12289999999999</c:v>
                </c:pt>
                <c:pt idx="217">
                  <c:v>143.47669999999999</c:v>
                </c:pt>
                <c:pt idx="218">
                  <c:v>144.74860000000001</c:v>
                </c:pt>
                <c:pt idx="219">
                  <c:v>146.44049999999999</c:v>
                </c:pt>
                <c:pt idx="220">
                  <c:v>148.3049</c:v>
                </c:pt>
                <c:pt idx="221">
                  <c:v>148.7122</c:v>
                </c:pt>
                <c:pt idx="222">
                  <c:v>150.1232</c:v>
                </c:pt>
                <c:pt idx="223">
                  <c:v>151.52709999999999</c:v>
                </c:pt>
                <c:pt idx="224">
                  <c:v>153.37620000000001</c:v>
                </c:pt>
                <c:pt idx="225">
                  <c:v>154.78710000000001</c:v>
                </c:pt>
                <c:pt idx="226">
                  <c:v>156.6026</c:v>
                </c:pt>
                <c:pt idx="227">
                  <c:v>158.03809999999999</c:v>
                </c:pt>
                <c:pt idx="228">
                  <c:v>159.43809999999999</c:v>
                </c:pt>
                <c:pt idx="229">
                  <c:v>161.3312</c:v>
                </c:pt>
                <c:pt idx="230">
                  <c:v>163.02500000000001</c:v>
                </c:pt>
                <c:pt idx="231">
                  <c:v>164.46209999999999</c:v>
                </c:pt>
                <c:pt idx="232">
                  <c:v>165.93369999999999</c:v>
                </c:pt>
                <c:pt idx="233">
                  <c:v>167.8638</c:v>
                </c:pt>
                <c:pt idx="234">
                  <c:v>169.33670000000001</c:v>
                </c:pt>
                <c:pt idx="235">
                  <c:v>171.25200000000001</c:v>
                </c:pt>
                <c:pt idx="236">
                  <c:v>172.70930000000001</c:v>
                </c:pt>
                <c:pt idx="237">
                  <c:v>174.1772</c:v>
                </c:pt>
                <c:pt idx="238">
                  <c:v>176.1643</c:v>
                </c:pt>
                <c:pt idx="239">
                  <c:v>177.5966</c:v>
                </c:pt>
                <c:pt idx="240">
                  <c:v>179.50460000000001</c:v>
                </c:pt>
                <c:pt idx="241">
                  <c:v>181.5521</c:v>
                </c:pt>
                <c:pt idx="242">
                  <c:v>183.13679999999999</c:v>
                </c:pt>
                <c:pt idx="243">
                  <c:v>184.60730000000001</c:v>
                </c:pt>
                <c:pt idx="244">
                  <c:v>186.4332</c:v>
                </c:pt>
                <c:pt idx="245">
                  <c:v>187.79220000000001</c:v>
                </c:pt>
                <c:pt idx="246">
                  <c:v>189.70930000000001</c:v>
                </c:pt>
                <c:pt idx="247">
                  <c:v>191.37020000000001</c:v>
                </c:pt>
                <c:pt idx="248">
                  <c:v>192.82149999999999</c:v>
                </c:pt>
                <c:pt idx="249">
                  <c:v>195.05330000000001</c:v>
                </c:pt>
                <c:pt idx="250">
                  <c:v>196.81270000000001</c:v>
                </c:pt>
                <c:pt idx="251">
                  <c:v>198.7158</c:v>
                </c:pt>
                <c:pt idx="252">
                  <c:v>201.18039999999999</c:v>
                </c:pt>
                <c:pt idx="253">
                  <c:v>202.8843</c:v>
                </c:pt>
                <c:pt idx="254">
                  <c:v>204.5317</c:v>
                </c:pt>
                <c:pt idx="255">
                  <c:v>206.4684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8A-4AEA-B6A0-D67E5703A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929920"/>
        <c:axId val="1630848976"/>
      </c:lineChart>
      <c:catAx>
        <c:axId val="19959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0848976"/>
        <c:crosses val="autoZero"/>
        <c:auto val="1"/>
        <c:lblAlgn val="ctr"/>
        <c:lblOffset val="100"/>
        <c:noMultiLvlLbl val="0"/>
      </c:catAx>
      <c:valAx>
        <c:axId val="163084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59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Gamma2.6_5400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'Gamma 2.6 5400K'!$C$16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2.6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5400K'!$C$17:$C$272</c:f>
              <c:numCache>
                <c:formatCode>0.00_ </c:formatCode>
                <c:ptCount val="256"/>
                <c:pt idx="0">
                  <c:v>2.5044040935284796E-6</c:v>
                </c:pt>
                <c:pt idx="1">
                  <c:v>1.7861343986720683E-4</c:v>
                </c:pt>
                <c:pt idx="2">
                  <c:v>8.3088451648774574E-4</c:v>
                </c:pt>
                <c:pt idx="3">
                  <c:v>2.1690330772977141E-3</c:v>
                </c:pt>
                <c:pt idx="4">
                  <c:v>4.3649142773150088E-3</c:v>
                </c:pt>
                <c:pt idx="5">
                  <c:v>7.569559238837305E-3</c:v>
                </c:pt>
                <c:pt idx="6">
                  <c:v>1.1920070378426394E-2</c:v>
                </c:pt>
                <c:pt idx="7">
                  <c:v>1.7543314968530337E-2</c:v>
                </c:pt>
                <c:pt idx="8">
                  <c:v>2.4558195988153383E-2</c:v>
                </c:pt>
                <c:pt idx="9">
                  <c:v>3.3077173151008429E-2</c:v>
                </c:pt>
                <c:pt idx="10">
                  <c:v>4.320734381034029E-2</c:v>
                </c:pt>
                <c:pt idx="11">
                  <c:v>5.5051245310972337E-2</c:v>
                </c:pt>
                <c:pt idx="12">
                  <c:v>6.8707470882881053E-2</c:v>
                </c:pt>
                <c:pt idx="13">
                  <c:v>8.4271155174460127E-2</c:v>
                </c:pt>
                <c:pt idx="14">
                  <c:v>0.10183436541753829</c:v>
                </c:pt>
                <c:pt idx="15">
                  <c:v>0.12148642230186826</c:v>
                </c:pt>
                <c:pt idx="16">
                  <c:v>0.14331416723072321</c:v>
                </c:pt>
                <c:pt idx="17">
                  <c:v>0.1674021878396082</c:v>
                </c:pt>
                <c:pt idx="18">
                  <c:v>0.19383301045749393</c:v>
                </c:pt>
                <c:pt idx="19">
                  <c:v>0.22268726598662436</c:v>
                </c:pt>
                <c:pt idx="20">
                  <c:v>0.25404383412319581</c:v>
                </c:pt>
                <c:pt idx="21">
                  <c:v>0.28797996972164264</c:v>
                </c:pt>
                <c:pt idx="22">
                  <c:v>0.32457141428307357</c:v>
                </c:pt>
                <c:pt idx="23">
                  <c:v>0.36389249493430292</c:v>
                </c:pt>
                <c:pt idx="24">
                  <c:v>0.40601621279823497</c:v>
                </c:pt>
                <c:pt idx="25">
                  <c:v>0.45101432229839844</c:v>
                </c:pt>
                <c:pt idx="26">
                  <c:v>0.49895740266184208</c:v>
                </c:pt>
                <c:pt idx="27">
                  <c:v>0.54991492266534281</c:v>
                </c:pt>
                <c:pt idx="28">
                  <c:v>0.60395529949554072</c:v>
                </c:pt>
                <c:pt idx="29">
                  <c:v>0.66114595245369823</c:v>
                </c:pt>
                <c:pt idx="30">
                  <c:v>0.72155335212246408</c:v>
                </c:pt>
                <c:pt idx="31">
                  <c:v>0.78524306551958734</c:v>
                </c:pt>
                <c:pt idx="32">
                  <c:v>0.85227979768748763</c:v>
                </c:pt>
                <c:pt idx="33">
                  <c:v>0.92272743010467184</c:v>
                </c:pt>
                <c:pt idx="34">
                  <c:v>0.99664905625250988</c:v>
                </c:pt>
                <c:pt idx="35">
                  <c:v>1.0741070146269913</c:v>
                </c:pt>
                <c:pt idx="36">
                  <c:v>1.1551629194479602</c:v>
                </c:pt>
                <c:pt idx="37">
                  <c:v>1.2398776892870007</c:v>
                </c:pt>
                <c:pt idx="38">
                  <c:v>1.3283115738083369</c:v>
                </c:pt>
                <c:pt idx="39">
                  <c:v>1.4205241787943073</c:v>
                </c:pt>
                <c:pt idx="40">
                  <c:v>1.5165744896072746</c:v>
                </c:pt>
                <c:pt idx="41">
                  <c:v>1.6165208932228565</c:v>
                </c:pt>
                <c:pt idx="42">
                  <c:v>1.720421198954742</c:v>
                </c:pt>
                <c:pt idx="43">
                  <c:v>1.8283326579784782</c:v>
                </c:pt>
                <c:pt idx="44">
                  <c:v>1.9403119817505612</c:v>
                </c:pt>
                <c:pt idx="45">
                  <c:v>2.0564153594093102</c:v>
                </c:pt>
                <c:pt idx="46">
                  <c:v>2.1766984742355504</c:v>
                </c:pt>
                <c:pt idx="47">
                  <c:v>2.3012165192434146</c:v>
                </c:pt>
                <c:pt idx="48">
                  <c:v>2.4300242119650544</c:v>
                </c:pt>
                <c:pt idx="49">
                  <c:v>2.5631758084870437</c:v>
                </c:pt>
                <c:pt idx="50">
                  <c:v>2.7007251167910336</c:v>
                </c:pt>
                <c:pt idx="51">
                  <c:v>2.8427255094465105</c:v>
                </c:pt>
                <c:pt idx="52">
                  <c:v>2.9892299356994076</c:v>
                </c:pt>
                <c:pt idx="53">
                  <c:v>3.1402909329964426</c:v>
                </c:pt>
                <c:pt idx="54">
                  <c:v>3.2959606379818709</c:v>
                </c:pt>
                <c:pt idx="55">
                  <c:v>3.4562907970001566</c:v>
                </c:pt>
                <c:pt idx="56">
                  <c:v>3.6213327761355094</c:v>
                </c:pt>
                <c:pt idx="57">
                  <c:v>3.7911375708166251</c:v>
                </c:pt>
                <c:pt idx="58">
                  <c:v>3.9657558150129026</c:v>
                </c:pt>
                <c:pt idx="59">
                  <c:v>4.1452377900462789</c:v>
                </c:pt>
                <c:pt idx="60">
                  <c:v>4.3296334330410859</c:v>
                </c:pt>
                <c:pt idx="61">
                  <c:v>4.5189923450326202</c:v>
                </c:pt>
                <c:pt idx="62">
                  <c:v>4.7133637987536456</c:v>
                </c:pt>
                <c:pt idx="63">
                  <c:v>4.9127967461166602</c:v>
                </c:pt>
                <c:pt idx="64">
                  <c:v>5.117339825408477</c:v>
                </c:pt>
                <c:pt idx="65">
                  <c:v>5.3270413682125595</c:v>
                </c:pt>
                <c:pt idx="66">
                  <c:v>5.5419494060734973</c:v>
                </c:pt>
                <c:pt idx="67">
                  <c:v>5.7621116769170051</c:v>
                </c:pt>
                <c:pt idx="68">
                  <c:v>5.9875756312378963</c:v>
                </c:pt>
                <c:pt idx="69">
                  <c:v>6.2183884380679046</c:v>
                </c:pt>
                <c:pt idx="70">
                  <c:v>6.4545969907340996</c:v>
                </c:pt>
                <c:pt idx="71">
                  <c:v>6.6962479124182597</c:v>
                </c:pt>
                <c:pt idx="72">
                  <c:v>6.9433875615267917</c:v>
                </c:pt>
                <c:pt idx="73">
                  <c:v>7.1960620368802317</c:v>
                </c:pt>
                <c:pt idx="74">
                  <c:v>7.4543171827307519</c:v>
                </c:pt>
                <c:pt idx="75">
                  <c:v>7.7181985936156847</c:v>
                </c:pt>
                <c:pt idx="76">
                  <c:v>7.9877516190545137</c:v>
                </c:pt>
                <c:pt idx="77">
                  <c:v>8.2630213680964513</c:v>
                </c:pt>
                <c:pt idx="78">
                  <c:v>8.5440527137251703</c:v>
                </c:pt>
                <c:pt idx="79">
                  <c:v>8.8308902971270307</c:v>
                </c:pt>
                <c:pt idx="80">
                  <c:v>9.1235785318286577</c:v>
                </c:pt>
                <c:pt idx="81">
                  <c:v>9.4221616077095458</c:v>
                </c:pt>
                <c:pt idx="82">
                  <c:v>9.7266834948948802</c:v>
                </c:pt>
                <c:pt idx="83">
                  <c:v>10.037187947533649</c:v>
                </c:pt>
                <c:pt idx="84">
                  <c:v>10.353718507466716</c:v>
                </c:pt>
                <c:pt idx="85">
                  <c:v>10.676318507789434</c:v>
                </c:pt>
                <c:pt idx="86">
                  <c:v>11.005031076312926</c:v>
                </c:pt>
                <c:pt idx="87">
                  <c:v>11.339899138928143</c:v>
                </c:pt>
                <c:pt idx="88">
                  <c:v>11.680965422876515</c:v>
                </c:pt>
                <c:pt idx="89">
                  <c:v>12.028272459930825</c:v>
                </c:pt>
                <c:pt idx="90">
                  <c:v>12.381862589489753</c:v>
                </c:pt>
                <c:pt idx="91">
                  <c:v>12.741777961589312</c:v>
                </c:pt>
                <c:pt idx="92">
                  <c:v>13.108060539834463</c:v>
                </c:pt>
                <c:pt idx="93">
                  <c:v>13.480752104253691</c:v>
                </c:pt>
                <c:pt idx="94">
                  <c:v>13.859894254079517</c:v>
                </c:pt>
                <c:pt idx="95">
                  <c:v>14.245528410457531</c:v>
                </c:pt>
                <c:pt idx="96">
                  <c:v>14.637695819086604</c:v>
                </c:pt>
                <c:pt idx="97">
                  <c:v>15.036437552792705</c:v>
                </c:pt>
                <c:pt idx="98">
                  <c:v>15.441794514038651</c:v>
                </c:pt>
                <c:pt idx="99">
                  <c:v>15.853807437372044</c:v>
                </c:pt>
                <c:pt idx="100">
                  <c:v>16.272516891813449</c:v>
                </c:pt>
                <c:pt idx="101">
                  <c:v>16.697963283187079</c:v>
                </c:pt>
                <c:pt idx="102">
                  <c:v>17.130186856395611</c:v>
                </c:pt>
                <c:pt idx="103">
                  <c:v>17.56922769764131</c:v>
                </c:pt>
                <c:pt idx="104">
                  <c:v>18.015125736595035</c:v>
                </c:pt>
                <c:pt idx="105">
                  <c:v>18.467920748514928</c:v>
                </c:pt>
                <c:pt idx="106">
                  <c:v>18.927652356316443</c:v>
                </c:pt>
                <c:pt idx="107">
                  <c:v>19.394360032595209</c:v>
                </c:pt>
                <c:pt idx="108">
                  <c:v>19.868083101604338</c:v>
                </c:pt>
                <c:pt idx="109">
                  <c:v>20.348860741187465</c:v>
                </c:pt>
                <c:pt idx="110">
                  <c:v>20.836731984669111</c:v>
                </c:pt>
                <c:pt idx="111">
                  <c:v>21.33173572270352</c:v>
                </c:pt>
                <c:pt idx="112">
                  <c:v>21.833910705083301</c:v>
                </c:pt>
                <c:pt idx="113">
                  <c:v>22.343295542509203</c:v>
                </c:pt>
                <c:pt idx="114">
                  <c:v>22.859928708322009</c:v>
                </c:pt>
                <c:pt idx="115">
                  <c:v>23.383848540197832</c:v>
                </c:pt>
                <c:pt idx="116">
                  <c:v>23.915093241807867</c:v>
                </c:pt>
                <c:pt idx="117">
                  <c:v>24.453700884443645</c:v>
                </c:pt>
                <c:pt idx="118">
                  <c:v>24.999709408608716</c:v>
                </c:pt>
                <c:pt idx="119">
                  <c:v>25.553156625577881</c:v>
                </c:pt>
                <c:pt idx="120">
                  <c:v>26.114080218924769</c:v>
                </c:pt>
                <c:pt idx="121">
                  <c:v>26.682517746018753</c:v>
                </c:pt>
                <c:pt idx="122">
                  <c:v>27.258506639492062</c:v>
                </c:pt>
                <c:pt idx="123">
                  <c:v>27.842084208677768</c:v>
                </c:pt>
                <c:pt idx="124">
                  <c:v>28.433287641019781</c:v>
                </c:pt>
                <c:pt idx="125">
                  <c:v>29.032154003455208</c:v>
                </c:pt>
                <c:pt idx="126">
                  <c:v>29.63872024377029</c:v>
                </c:pt>
                <c:pt idx="127">
                  <c:v>30.253023191930168</c:v>
                </c:pt>
                <c:pt idx="128">
                  <c:v>30.875099561383522</c:v>
                </c:pt>
                <c:pt idx="129">
                  <c:v>31.504985950342732</c:v>
                </c:pt>
                <c:pt idx="130">
                  <c:v>32.142718843039802</c:v>
                </c:pt>
                <c:pt idx="131">
                  <c:v>32.788334610959389</c:v>
                </c:pt>
                <c:pt idx="132">
                  <c:v>33.441869514048904</c:v>
                </c:pt>
                <c:pt idx="133">
                  <c:v>34.103359701906506</c:v>
                </c:pt>
                <c:pt idx="134">
                  <c:v>34.772841214947732</c:v>
                </c:pt>
                <c:pt idx="135">
                  <c:v>35.450349985550965</c:v>
                </c:pt>
                <c:pt idx="136">
                  <c:v>36.135921839182551</c:v>
                </c:pt>
                <c:pt idx="137">
                  <c:v>36.829592495501963</c:v>
                </c:pt>
                <c:pt idx="138">
                  <c:v>37.531397569447513</c:v>
                </c:pt>
                <c:pt idx="139">
                  <c:v>38.241372572303113</c:v>
                </c:pt>
                <c:pt idx="140">
                  <c:v>38.95955291274651</c:v>
                </c:pt>
                <c:pt idx="141">
                  <c:v>39.685973897879578</c:v>
                </c:pt>
                <c:pt idx="142">
                  <c:v>40.420670734240815</c:v>
                </c:pt>
                <c:pt idx="143">
                  <c:v>41.163678528800872</c:v>
                </c:pt>
                <c:pt idx="144">
                  <c:v>41.915032289941166</c:v>
                </c:pt>
                <c:pt idx="145">
                  <c:v>42.674766928416169</c:v>
                </c:pt>
                <c:pt idx="146">
                  <c:v>43.442917258299666</c:v>
                </c:pt>
                <c:pt idx="147">
                  <c:v>44.219517997915467</c:v>
                </c:pt>
                <c:pt idx="148">
                  <c:v>45.004603770752851</c:v>
                </c:pt>
                <c:pt idx="149">
                  <c:v>45.798209106367011</c:v>
                </c:pt>
                <c:pt idx="150">
                  <c:v>46.600368441265111</c:v>
                </c:pt>
                <c:pt idx="151">
                  <c:v>47.411116119777887</c:v>
                </c:pt>
                <c:pt idx="152">
                  <c:v>48.230486394917598</c:v>
                </c:pt>
                <c:pt idx="153">
                  <c:v>49.058513429222188</c:v>
                </c:pt>
                <c:pt idx="154">
                  <c:v>49.895231295586179</c:v>
                </c:pt>
                <c:pt idx="155">
                  <c:v>50.740673978078711</c:v>
                </c:pt>
                <c:pt idx="156">
                  <c:v>51.594875372748703</c:v>
                </c:pt>
                <c:pt idx="157">
                  <c:v>52.457869288417655</c:v>
                </c:pt>
                <c:pt idx="158">
                  <c:v>53.329689447460296</c:v>
                </c:pt>
                <c:pt idx="159">
                  <c:v>54.210369486573263</c:v>
                </c:pt>
                <c:pt idx="160">
                  <c:v>55.099942957532285</c:v>
                </c:pt>
                <c:pt idx="161">
                  <c:v>55.998443327937743</c:v>
                </c:pt>
                <c:pt idx="162">
                  <c:v>56.905903981949308</c:v>
                </c:pt>
                <c:pt idx="163">
                  <c:v>57.822358221009466</c:v>
                </c:pt>
                <c:pt idx="164">
                  <c:v>58.747839264556589</c:v>
                </c:pt>
                <c:pt idx="165">
                  <c:v>59.682380250727164</c:v>
                </c:pt>
                <c:pt idx="166">
                  <c:v>60.626014237048203</c:v>
                </c:pt>
                <c:pt idx="167">
                  <c:v>61.57877420111928</c:v>
                </c:pt>
                <c:pt idx="168">
                  <c:v>62.540693041284882</c:v>
                </c:pt>
                <c:pt idx="169">
                  <c:v>63.511803577297115</c:v>
                </c:pt>
                <c:pt idx="170">
                  <c:v>64.492138550968875</c:v>
                </c:pt>
                <c:pt idx="171">
                  <c:v>65.481730626817935</c:v>
                </c:pt>
                <c:pt idx="172">
                  <c:v>66.480612392701815</c:v>
                </c:pt>
                <c:pt idx="173">
                  <c:v>67.488816360443792</c:v>
                </c:pt>
                <c:pt idx="174">
                  <c:v>68.506374966450238</c:v>
                </c:pt>
                <c:pt idx="175">
                  <c:v>69.533320572319468</c:v>
                </c:pt>
                <c:pt idx="176">
                  <c:v>70.569685465441935</c:v>
                </c:pt>
                <c:pt idx="177">
                  <c:v>71.615501859592726</c:v>
                </c:pt>
                <c:pt idx="178">
                  <c:v>72.670801895515353</c:v>
                </c:pt>
                <c:pt idx="179">
                  <c:v>73.735617641498209</c:v>
                </c:pt>
                <c:pt idx="180">
                  <c:v>74.809981093943009</c:v>
                </c:pt>
                <c:pt idx="181">
                  <c:v>75.893924177925641</c:v>
                </c:pt>
                <c:pt idx="182">
                  <c:v>76.98747874774952</c:v>
                </c:pt>
                <c:pt idx="183">
                  <c:v>78.090676587491842</c:v>
                </c:pt>
                <c:pt idx="184">
                  <c:v>79.203549411542298</c:v>
                </c:pt>
                <c:pt idx="185">
                  <c:v>80.326128865135104</c:v>
                </c:pt>
                <c:pt idx="186">
                  <c:v>81.458446524873779</c:v>
                </c:pt>
                <c:pt idx="187">
                  <c:v>82.600533899249484</c:v>
                </c:pt>
                <c:pt idx="188">
                  <c:v>83.752422429152318</c:v>
                </c:pt>
                <c:pt idx="189">
                  <c:v>84.914143488376354</c:v>
                </c:pt>
                <c:pt idx="190">
                  <c:v>86.08572838411807</c:v>
                </c:pt>
                <c:pt idx="191">
                  <c:v>87.267208357468547</c:v>
                </c:pt>
                <c:pt idx="192">
                  <c:v>88.458614583899475</c:v>
                </c:pt>
                <c:pt idx="193">
                  <c:v>89.659978173743042</c:v>
                </c:pt>
                <c:pt idx="194">
                  <c:v>90.871330172665637</c:v>
                </c:pt>
                <c:pt idx="195">
                  <c:v>92.092701562136256</c:v>
                </c:pt>
                <c:pt idx="196">
                  <c:v>93.324123259888381</c:v>
                </c:pt>
                <c:pt idx="197">
                  <c:v>94.565626120376749</c:v>
                </c:pt>
                <c:pt idx="198">
                  <c:v>95.817240935228199</c:v>
                </c:pt>
                <c:pt idx="199">
                  <c:v>97.078998433687332</c:v>
                </c:pt>
                <c:pt idx="200">
                  <c:v>98.350929283056487</c:v>
                </c:pt>
                <c:pt idx="201">
                  <c:v>99.633064089130727</c:v>
                </c:pt>
                <c:pt idx="202">
                  <c:v>100.92543339662717</c:v>
                </c:pt>
                <c:pt idx="203">
                  <c:v>102.22806768960977</c:v>
                </c:pt>
                <c:pt idx="204">
                  <c:v>103.54099739190873</c:v>
                </c:pt>
                <c:pt idx="205">
                  <c:v>104.86425286753483</c:v>
                </c:pt>
                <c:pt idx="206">
                  <c:v>106.19786442108928</c:v>
                </c:pt>
                <c:pt idx="207">
                  <c:v>107.5418622981685</c:v>
                </c:pt>
                <c:pt idx="208">
                  <c:v>108.89627668576419</c:v>
                </c:pt>
                <c:pt idx="209">
                  <c:v>110.26113771265911</c:v>
                </c:pt>
                <c:pt idx="210">
                  <c:v>111.63647544981769</c:v>
                </c:pt>
                <c:pt idx="211">
                  <c:v>113.02231991077284</c:v>
                </c:pt>
                <c:pt idx="212">
                  <c:v>114.41870105200789</c:v>
                </c:pt>
                <c:pt idx="213">
                  <c:v>115.82564877333434</c:v>
                </c:pt>
                <c:pt idx="214">
                  <c:v>117.24319291826531</c:v>
                </c:pt>
                <c:pt idx="215">
                  <c:v>118.67136327438497</c:v>
                </c:pt>
                <c:pt idx="216">
                  <c:v>120.11018957371344</c:v>
                </c:pt>
                <c:pt idx="217">
                  <c:v>121.55970149306813</c:v>
                </c:pt>
                <c:pt idx="218">
                  <c:v>123.01992865442055</c:v>
                </c:pt>
                <c:pt idx="219">
                  <c:v>124.49090062524969</c:v>
                </c:pt>
                <c:pt idx="220">
                  <c:v>125.97264691889117</c:v>
                </c:pt>
                <c:pt idx="221">
                  <c:v>127.4651969948825</c:v>
                </c:pt>
                <c:pt idx="222">
                  <c:v>128.96858025930516</c:v>
                </c:pt>
                <c:pt idx="223">
                  <c:v>130.48282606512214</c:v>
                </c:pt>
                <c:pt idx="224">
                  <c:v>132.00796371251252</c:v>
                </c:pt>
                <c:pt idx="225">
                  <c:v>133.54402244920215</c:v>
                </c:pt>
                <c:pt idx="226">
                  <c:v>135.09103147079074</c:v>
                </c:pt>
                <c:pt idx="227">
                  <c:v>136.64901992107568</c:v>
                </c:pt>
                <c:pt idx="228">
                  <c:v>138.21801689237236</c:v>
                </c:pt>
                <c:pt idx="229">
                  <c:v>139.79805142583101</c:v>
                </c:pt>
                <c:pt idx="230">
                  <c:v>141.38915251175007</c:v>
                </c:pt>
                <c:pt idx="231">
                  <c:v>142.99134908988697</c:v>
                </c:pt>
                <c:pt idx="232">
                  <c:v>144.60467004976468</c:v>
                </c:pt>
                <c:pt idx="233">
                  <c:v>146.22914423097592</c:v>
                </c:pt>
                <c:pt idx="234">
                  <c:v>147.86480042348362</c:v>
                </c:pt>
                <c:pt idx="235">
                  <c:v>149.51166736791885</c:v>
                </c:pt>
                <c:pt idx="236">
                  <c:v>151.16977375587533</c:v>
                </c:pt>
                <c:pt idx="237">
                  <c:v>152.83914823020086</c:v>
                </c:pt>
                <c:pt idx="238">
                  <c:v>154.51981938528618</c:v>
                </c:pt>
                <c:pt idx="239">
                  <c:v>156.21181576735052</c:v>
                </c:pt>
                <c:pt idx="240">
                  <c:v>157.91516587472455</c:v>
                </c:pt>
                <c:pt idx="241">
                  <c:v>159.6298981581304</c:v>
                </c:pt>
                <c:pt idx="242">
                  <c:v>161.35604102095863</c:v>
                </c:pt>
                <c:pt idx="243">
                  <c:v>163.09362281954307</c:v>
                </c:pt>
                <c:pt idx="244">
                  <c:v>164.84267186343232</c:v>
                </c:pt>
                <c:pt idx="245">
                  <c:v>166.60321641565875</c:v>
                </c:pt>
                <c:pt idx="246">
                  <c:v>168.37528469300511</c:v>
                </c:pt>
                <c:pt idx="247">
                  <c:v>170.1589048662683</c:v>
                </c:pt>
                <c:pt idx="248">
                  <c:v>171.95410506052048</c:v>
                </c:pt>
                <c:pt idx="249">
                  <c:v>173.76091335536793</c:v>
                </c:pt>
                <c:pt idx="250">
                  <c:v>175.57935778520712</c:v>
                </c:pt>
                <c:pt idx="251">
                  <c:v>177.40946633947863</c:v>
                </c:pt>
                <c:pt idx="252">
                  <c:v>179.25126696291827</c:v>
                </c:pt>
                <c:pt idx="253">
                  <c:v>181.10478755580615</c:v>
                </c:pt>
                <c:pt idx="254">
                  <c:v>182.97005597421327</c:v>
                </c:pt>
                <c:pt idx="255">
                  <c:v>184.39497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7A-40DF-BCF8-B03CF139FA20}"/>
            </c:ext>
          </c:extLst>
        </c:ser>
        <c:ser>
          <c:idx val="1"/>
          <c:order val="1"/>
          <c:tx>
            <c:strRef>
              <c:f>'Gamma 2.6 5400K'!$D$16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2.6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5400K'!$D$17:$D$272</c:f>
              <c:numCache>
                <c:formatCode>0.00_ </c:formatCode>
                <c:ptCount val="256"/>
                <c:pt idx="0">
                  <c:v>2.7826712150316438E-6</c:v>
                </c:pt>
                <c:pt idx="1">
                  <c:v>1.9845937763022983E-4</c:v>
                </c:pt>
                <c:pt idx="2">
                  <c:v>9.2320501831971746E-4</c:v>
                </c:pt>
                <c:pt idx="3">
                  <c:v>2.4100367525530159E-3</c:v>
                </c:pt>
                <c:pt idx="4">
                  <c:v>4.8499047525722323E-3</c:v>
                </c:pt>
                <c:pt idx="5">
                  <c:v>8.4106213764858946E-3</c:v>
                </c:pt>
                <c:pt idx="6">
                  <c:v>1.3244522642695994E-2</c:v>
                </c:pt>
                <c:pt idx="7">
                  <c:v>1.9492572187255929E-2</c:v>
                </c:pt>
                <c:pt idx="8">
                  <c:v>2.7286884431281539E-2</c:v>
                </c:pt>
                <c:pt idx="9">
                  <c:v>3.6752414612231589E-2</c:v>
                </c:pt>
                <c:pt idx="10">
                  <c:v>4.8008159789266994E-2</c:v>
                </c:pt>
                <c:pt idx="11">
                  <c:v>6.1168050345524819E-2</c:v>
                </c:pt>
                <c:pt idx="12">
                  <c:v>7.6341634314312276E-2</c:v>
                </c:pt>
                <c:pt idx="13">
                  <c:v>9.3634616860511249E-2</c:v>
                </c:pt>
                <c:pt idx="14">
                  <c:v>0.11314929490837589</c:v>
                </c:pt>
                <c:pt idx="15">
                  <c:v>0.13498491366874252</c:v>
                </c:pt>
                <c:pt idx="16">
                  <c:v>0.15923796358969244</c:v>
                </c:pt>
                <c:pt idx="17">
                  <c:v>0.18600243093289801</c:v>
                </c:pt>
                <c:pt idx="18">
                  <c:v>0.2153700116194377</c:v>
                </c:pt>
                <c:pt idx="19">
                  <c:v>0.24743029554069373</c:v>
                </c:pt>
                <c:pt idx="20">
                  <c:v>0.28227092680355093</c:v>
                </c:pt>
                <c:pt idx="21">
                  <c:v>0.3199777441351585</c:v>
                </c:pt>
                <c:pt idx="22">
                  <c:v>0.36063490475897064</c:v>
                </c:pt>
                <c:pt idx="23">
                  <c:v>0.4043249943714477</c:v>
                </c:pt>
                <c:pt idx="24">
                  <c:v>0.45112912533137217</c:v>
                </c:pt>
                <c:pt idx="25">
                  <c:v>0.50112702477599824</c:v>
                </c:pt>
                <c:pt idx="26">
                  <c:v>0.55439711406871339</c:v>
                </c:pt>
                <c:pt idx="27">
                  <c:v>0.61101658073926979</c:v>
                </c:pt>
                <c:pt idx="28">
                  <c:v>0.67106144388393418</c:v>
                </c:pt>
                <c:pt idx="29">
                  <c:v>0.73460661383744252</c:v>
                </c:pt>
                <c:pt idx="30">
                  <c:v>0.8017259468027379</c:v>
                </c:pt>
                <c:pt idx="31">
                  <c:v>0.87249229502176373</c:v>
                </c:pt>
                <c:pt idx="32">
                  <c:v>0.94697755298609743</c:v>
                </c:pt>
                <c:pt idx="33">
                  <c:v>1.0252527001163021</c:v>
                </c:pt>
                <c:pt idx="34">
                  <c:v>1.1073878402805666</c:v>
                </c:pt>
                <c:pt idx="35">
                  <c:v>1.1934522384744348</c:v>
                </c:pt>
                <c:pt idx="36">
                  <c:v>1.2835143549421781</c:v>
                </c:pt>
                <c:pt idx="37">
                  <c:v>1.3776418769855563</c:v>
                </c:pt>
                <c:pt idx="38">
                  <c:v>1.4759017486759298</c:v>
                </c:pt>
                <c:pt idx="39">
                  <c:v>1.5783601986603415</c:v>
                </c:pt>
                <c:pt idx="40">
                  <c:v>1.6850827662303052</c:v>
                </c:pt>
                <c:pt idx="41">
                  <c:v>1.7961343258031739</c:v>
                </c:pt>
                <c:pt idx="42">
                  <c:v>1.9115791099497133</c:v>
                </c:pt>
                <c:pt idx="43">
                  <c:v>2.0314807310871981</c:v>
                </c:pt>
                <c:pt idx="44">
                  <c:v>2.155902201945068</c:v>
                </c:pt>
                <c:pt idx="45">
                  <c:v>2.2849059548992336</c:v>
                </c:pt>
                <c:pt idx="46">
                  <c:v>2.4185538602617229</c:v>
                </c:pt>
                <c:pt idx="47">
                  <c:v>2.5569072436037938</c:v>
                </c:pt>
                <c:pt idx="48">
                  <c:v>2.7000269021833936</c:v>
                </c:pt>
                <c:pt idx="49">
                  <c:v>2.8479731205411598</c:v>
                </c:pt>
                <c:pt idx="50">
                  <c:v>3.0008056853233707</c:v>
                </c:pt>
                <c:pt idx="51">
                  <c:v>3.1585838993850119</c:v>
                </c:pt>
                <c:pt idx="52">
                  <c:v>3.3213665952215643</c:v>
                </c:pt>
                <c:pt idx="53">
                  <c:v>3.4892121477738249</c:v>
                </c:pt>
                <c:pt idx="54">
                  <c:v>3.662178486646523</c:v>
                </c:pt>
                <c:pt idx="55">
                  <c:v>3.8403231077779516</c:v>
                </c:pt>
                <c:pt idx="56">
                  <c:v>4.0237030845950104</c:v>
                </c:pt>
                <c:pt idx="57">
                  <c:v>4.2123750786851391</c:v>
                </c:pt>
                <c:pt idx="58">
                  <c:v>4.4063953500143365</c:v>
                </c:pt>
                <c:pt idx="59">
                  <c:v>4.6058197667180876</c:v>
                </c:pt>
                <c:pt idx="60">
                  <c:v>4.8107038144900951</c:v>
                </c:pt>
                <c:pt idx="61">
                  <c:v>5.0211026055918007</c:v>
                </c:pt>
                <c:pt idx="62">
                  <c:v>5.2370708875040508</c:v>
                </c:pt>
                <c:pt idx="63">
                  <c:v>5.458663051240733</c:v>
                </c:pt>
                <c:pt idx="64">
                  <c:v>5.6859331393427519</c:v>
                </c:pt>
                <c:pt idx="65">
                  <c:v>5.9189348535695103</c:v>
                </c:pt>
                <c:pt idx="66">
                  <c:v>6.1577215623038857</c:v>
                </c:pt>
                <c:pt idx="67">
                  <c:v>6.4023463076855611</c:v>
                </c:pt>
                <c:pt idx="68">
                  <c:v>6.6528618124865515</c:v>
                </c:pt>
                <c:pt idx="69">
                  <c:v>6.9093204867421161</c:v>
                </c:pt>
                <c:pt idx="70">
                  <c:v>7.1717744341489995</c:v>
                </c:pt>
                <c:pt idx="71">
                  <c:v>7.4402754582425112</c:v>
                </c:pt>
                <c:pt idx="72">
                  <c:v>7.714875068363102</c:v>
                </c:pt>
                <c:pt idx="73">
                  <c:v>7.9956244854224803</c:v>
                </c:pt>
                <c:pt idx="74">
                  <c:v>8.2825746474786133</c:v>
                </c:pt>
                <c:pt idx="75">
                  <c:v>8.5757762151285384</c:v>
                </c:pt>
                <c:pt idx="76">
                  <c:v>8.8752795767272374</c:v>
                </c:pt>
                <c:pt idx="77">
                  <c:v>9.1811348534405006</c:v>
                </c:pt>
                <c:pt idx="78">
                  <c:v>9.4933919041390773</c:v>
                </c:pt>
                <c:pt idx="79">
                  <c:v>9.8121003301411456</c:v>
                </c:pt>
                <c:pt idx="80">
                  <c:v>10.13730947980962</c:v>
                </c:pt>
                <c:pt idx="81">
                  <c:v>10.469068453010607</c:v>
                </c:pt>
                <c:pt idx="82">
                  <c:v>10.807426105438756</c:v>
                </c:pt>
                <c:pt idx="83">
                  <c:v>11.152431052815166</c:v>
                </c:pt>
                <c:pt idx="84">
                  <c:v>11.504131674963018</c:v>
                </c:pt>
                <c:pt idx="85">
                  <c:v>11.862576119766038</c:v>
                </c:pt>
                <c:pt idx="86">
                  <c:v>12.227812307014363</c:v>
                </c:pt>
                <c:pt idx="87">
                  <c:v>12.59988793214238</c:v>
                </c:pt>
                <c:pt idx="88">
                  <c:v>12.978850469862795</c:v>
                </c:pt>
                <c:pt idx="89">
                  <c:v>13.364747177700917</c:v>
                </c:pt>
                <c:pt idx="90">
                  <c:v>13.757625099433058</c:v>
                </c:pt>
                <c:pt idx="91">
                  <c:v>14.157531068432569</c:v>
                </c:pt>
                <c:pt idx="92">
                  <c:v>14.564511710927182</c:v>
                </c:pt>
                <c:pt idx="93">
                  <c:v>14.978613449170767</c:v>
                </c:pt>
                <c:pt idx="94">
                  <c:v>15.399882504532796</c:v>
                </c:pt>
                <c:pt idx="95">
                  <c:v>15.828364900508369</c:v>
                </c:pt>
                <c:pt idx="96">
                  <c:v>16.264106465651782</c:v>
                </c:pt>
                <c:pt idx="97">
                  <c:v>16.70715283643634</c:v>
                </c:pt>
                <c:pt idx="98">
                  <c:v>17.157549460042947</c:v>
                </c:pt>
                <c:pt idx="99">
                  <c:v>17.61534159708005</c:v>
                </c:pt>
                <c:pt idx="100">
                  <c:v>18.080574324237165</c:v>
                </c:pt>
                <c:pt idx="101">
                  <c:v>18.553292536874533</c:v>
                </c:pt>
                <c:pt idx="102">
                  <c:v>19.033540951550677</c:v>
                </c:pt>
                <c:pt idx="103">
                  <c:v>19.521364108490346</c:v>
                </c:pt>
                <c:pt idx="104">
                  <c:v>20.016806373994484</c:v>
                </c:pt>
                <c:pt idx="105">
                  <c:v>20.519911942794362</c:v>
                </c:pt>
                <c:pt idx="106">
                  <c:v>21.030724840351603</c:v>
                </c:pt>
                <c:pt idx="107">
                  <c:v>21.549288925105788</c:v>
                </c:pt>
                <c:pt idx="108">
                  <c:v>22.075647890671487</c:v>
                </c:pt>
                <c:pt idx="109">
                  <c:v>22.609845267986071</c:v>
                </c:pt>
                <c:pt idx="110">
                  <c:v>23.151924427410123</c:v>
                </c:pt>
                <c:pt idx="111">
                  <c:v>23.70192858078169</c:v>
                </c:pt>
                <c:pt idx="112">
                  <c:v>24.259900783425891</c:v>
                </c:pt>
                <c:pt idx="113">
                  <c:v>24.825883936121336</c:v>
                </c:pt>
                <c:pt idx="114">
                  <c:v>25.399920787024456</c:v>
                </c:pt>
                <c:pt idx="115">
                  <c:v>25.982053933553146</c:v>
                </c:pt>
                <c:pt idx="116">
                  <c:v>26.572325824230962</c:v>
                </c:pt>
                <c:pt idx="117">
                  <c:v>27.17077876049294</c:v>
                </c:pt>
                <c:pt idx="118">
                  <c:v>27.777454898454128</c:v>
                </c:pt>
                <c:pt idx="119">
                  <c:v>28.39239625064209</c:v>
                </c:pt>
                <c:pt idx="120">
                  <c:v>29.015644687694188</c:v>
                </c:pt>
                <c:pt idx="121">
                  <c:v>29.647241940020837</c:v>
                </c:pt>
                <c:pt idx="122">
                  <c:v>30.287229599435623</c:v>
                </c:pt>
                <c:pt idx="123">
                  <c:v>30.935649120753077</c:v>
                </c:pt>
                <c:pt idx="124">
                  <c:v>31.592541823355312</c:v>
                </c:pt>
                <c:pt idx="125">
                  <c:v>32.25794889272801</c:v>
                </c:pt>
                <c:pt idx="126">
                  <c:v>32.931911381966991</c:v>
                </c:pt>
                <c:pt idx="127">
                  <c:v>33.614470213255743</c:v>
                </c:pt>
                <c:pt idx="128">
                  <c:v>34.305666179315025</c:v>
                </c:pt>
                <c:pt idx="129">
                  <c:v>35.005539944825259</c:v>
                </c:pt>
                <c:pt idx="130">
                  <c:v>35.714132047821998</c:v>
                </c:pt>
                <c:pt idx="131">
                  <c:v>36.431482901065991</c:v>
                </c:pt>
                <c:pt idx="132">
                  <c:v>37.15763279338767</c:v>
                </c:pt>
                <c:pt idx="133">
                  <c:v>37.892621891007231</c:v>
                </c:pt>
                <c:pt idx="134">
                  <c:v>38.636490238830817</c:v>
                </c:pt>
                <c:pt idx="135">
                  <c:v>39.389277761723292</c:v>
                </c:pt>
                <c:pt idx="136">
                  <c:v>40.151024265758387</c:v>
                </c:pt>
                <c:pt idx="137">
                  <c:v>40.921769439446628</c:v>
                </c:pt>
                <c:pt idx="138">
                  <c:v>41.701552854941681</c:v>
                </c:pt>
                <c:pt idx="139">
                  <c:v>42.490413969225685</c:v>
                </c:pt>
                <c:pt idx="140">
                  <c:v>43.288392125273901</c:v>
                </c:pt>
                <c:pt idx="141">
                  <c:v>44.095526553199527</c:v>
                </c:pt>
                <c:pt idx="142">
                  <c:v>44.911856371378683</c:v>
                </c:pt>
                <c:pt idx="143">
                  <c:v>45.737420587556521</c:v>
                </c:pt>
                <c:pt idx="144">
                  <c:v>46.572258099934629</c:v>
                </c:pt>
                <c:pt idx="145">
                  <c:v>47.416407698240185</c:v>
                </c:pt>
                <c:pt idx="146">
                  <c:v>48.269908064777404</c:v>
                </c:pt>
                <c:pt idx="147">
                  <c:v>49.132797775461633</c:v>
                </c:pt>
                <c:pt idx="148">
                  <c:v>50.005115300836501</c:v>
                </c:pt>
                <c:pt idx="149">
                  <c:v>50.886899007074462</c:v>
                </c:pt>
                <c:pt idx="150">
                  <c:v>51.778187156961238</c:v>
                </c:pt>
                <c:pt idx="151">
                  <c:v>52.679017910864317</c:v>
                </c:pt>
                <c:pt idx="152">
                  <c:v>53.589429327686219</c:v>
                </c:pt>
                <c:pt idx="153">
                  <c:v>54.509459365802428</c:v>
                </c:pt>
                <c:pt idx="154">
                  <c:v>55.439145883984644</c:v>
                </c:pt>
                <c:pt idx="155">
                  <c:v>56.37852664230968</c:v>
                </c:pt>
                <c:pt idx="156">
                  <c:v>57.327639303054113</c:v>
                </c:pt>
                <c:pt idx="157">
                  <c:v>58.286521431575174</c:v>
                </c:pt>
                <c:pt idx="158">
                  <c:v>59.255210497178105</c:v>
                </c:pt>
                <c:pt idx="159">
                  <c:v>60.23374387397029</c:v>
                </c:pt>
                <c:pt idx="160">
                  <c:v>61.222158841702537</c:v>
                </c:pt>
                <c:pt idx="161">
                  <c:v>62.220492586597494</c:v>
                </c:pt>
                <c:pt idx="162">
                  <c:v>63.228782202165895</c:v>
                </c:pt>
                <c:pt idx="163">
                  <c:v>64.247064690010518</c:v>
                </c:pt>
                <c:pt idx="164">
                  <c:v>65.275376960618431</c:v>
                </c:pt>
                <c:pt idx="165">
                  <c:v>66.31375583414129</c:v>
                </c:pt>
                <c:pt idx="166">
                  <c:v>67.362238041164673</c:v>
                </c:pt>
                <c:pt idx="167">
                  <c:v>68.420860223465866</c:v>
                </c:pt>
                <c:pt idx="168">
                  <c:v>69.489658934760982</c:v>
                </c:pt>
                <c:pt idx="169">
                  <c:v>70.568670641441244</c:v>
                </c:pt>
                <c:pt idx="170">
                  <c:v>71.657931723298745</c:v>
                </c:pt>
                <c:pt idx="171">
                  <c:v>72.757478474242149</c:v>
                </c:pt>
                <c:pt idx="172">
                  <c:v>73.867347103002018</c:v>
                </c:pt>
                <c:pt idx="173">
                  <c:v>74.987573733826437</c:v>
                </c:pt>
                <c:pt idx="174">
                  <c:v>76.118194407166939</c:v>
                </c:pt>
                <c:pt idx="175">
                  <c:v>77.259245080354958</c:v>
                </c:pt>
                <c:pt idx="176">
                  <c:v>78.410761628268816</c:v>
                </c:pt>
                <c:pt idx="177">
                  <c:v>79.572779843991924</c:v>
                </c:pt>
                <c:pt idx="178">
                  <c:v>80.745335439461499</c:v>
                </c:pt>
                <c:pt idx="179">
                  <c:v>81.928464046109113</c:v>
                </c:pt>
                <c:pt idx="180">
                  <c:v>83.12220121549224</c:v>
                </c:pt>
                <c:pt idx="181">
                  <c:v>84.326582419917372</c:v>
                </c:pt>
                <c:pt idx="182">
                  <c:v>85.541643053055026</c:v>
                </c:pt>
                <c:pt idx="183">
                  <c:v>86.767418430546485</c:v>
                </c:pt>
                <c:pt idx="184">
                  <c:v>88.003943790602548</c:v>
                </c:pt>
                <c:pt idx="185">
                  <c:v>89.25125429459456</c:v>
                </c:pt>
                <c:pt idx="186">
                  <c:v>90.509385027637535</c:v>
                </c:pt>
                <c:pt idx="187">
                  <c:v>91.7783709991661</c:v>
                </c:pt>
                <c:pt idx="188">
                  <c:v>93.058247143502584</c:v>
                </c:pt>
                <c:pt idx="189">
                  <c:v>94.349048320418177</c:v>
                </c:pt>
                <c:pt idx="190">
                  <c:v>95.650809315686743</c:v>
                </c:pt>
                <c:pt idx="191">
                  <c:v>96.963564841631722</c:v>
                </c:pt>
                <c:pt idx="192">
                  <c:v>98.287349537666088</c:v>
                </c:pt>
                <c:pt idx="193">
                  <c:v>99.622197970825596</c:v>
                </c:pt>
                <c:pt idx="194">
                  <c:v>100.96814463629515</c:v>
                </c:pt>
                <c:pt idx="195">
                  <c:v>102.32522395792918</c:v>
                </c:pt>
                <c:pt idx="196">
                  <c:v>103.69347028876487</c:v>
                </c:pt>
                <c:pt idx="197">
                  <c:v>105.07291791152973</c:v>
                </c:pt>
                <c:pt idx="198">
                  <c:v>106.46360103914245</c:v>
                </c:pt>
                <c:pt idx="199">
                  <c:v>107.86555381520814</c:v>
                </c:pt>
                <c:pt idx="200">
                  <c:v>109.27881031450721</c:v>
                </c:pt>
                <c:pt idx="201">
                  <c:v>110.70340454347858</c:v>
                </c:pt>
                <c:pt idx="202">
                  <c:v>112.13937044069685</c:v>
                </c:pt>
                <c:pt idx="203">
                  <c:v>113.5867418773442</c:v>
                </c:pt>
                <c:pt idx="204">
                  <c:v>115.04555265767637</c:v>
                </c:pt>
                <c:pt idx="205">
                  <c:v>116.51583651948314</c:v>
                </c:pt>
                <c:pt idx="206">
                  <c:v>117.99762713454365</c:v>
                </c:pt>
                <c:pt idx="207">
                  <c:v>119.4909581090761</c:v>
                </c:pt>
                <c:pt idx="208">
                  <c:v>120.99586298418244</c:v>
                </c:pt>
                <c:pt idx="209">
                  <c:v>122.51237523628789</c:v>
                </c:pt>
                <c:pt idx="210">
                  <c:v>124.04052827757522</c:v>
                </c:pt>
                <c:pt idx="211">
                  <c:v>125.58035545641427</c:v>
                </c:pt>
                <c:pt idx="212">
                  <c:v>127.13189005778655</c:v>
                </c:pt>
                <c:pt idx="213">
                  <c:v>128.69516530370481</c:v>
                </c:pt>
                <c:pt idx="214">
                  <c:v>130.27021435362812</c:v>
                </c:pt>
                <c:pt idx="215">
                  <c:v>131.8570703048722</c:v>
                </c:pt>
                <c:pt idx="216">
                  <c:v>133.45576619301494</c:v>
                </c:pt>
                <c:pt idx="217">
                  <c:v>135.06633499229793</c:v>
                </c:pt>
                <c:pt idx="218">
                  <c:v>136.68880961602284</c:v>
                </c:pt>
                <c:pt idx="219">
                  <c:v>138.3232229169441</c:v>
                </c:pt>
                <c:pt idx="220">
                  <c:v>139.96960768765686</c:v>
                </c:pt>
                <c:pt idx="221">
                  <c:v>141.62799666098056</c:v>
                </c:pt>
                <c:pt idx="222">
                  <c:v>143.29842251033907</c:v>
                </c:pt>
                <c:pt idx="223">
                  <c:v>144.98091785013571</c:v>
                </c:pt>
                <c:pt idx="224">
                  <c:v>146.67551523612502</c:v>
                </c:pt>
                <c:pt idx="225">
                  <c:v>148.38224716578017</c:v>
                </c:pt>
                <c:pt idx="226">
                  <c:v>150.10114607865637</c:v>
                </c:pt>
                <c:pt idx="227">
                  <c:v>151.83224435675075</c:v>
                </c:pt>
                <c:pt idx="228">
                  <c:v>153.5755743248582</c:v>
                </c:pt>
                <c:pt idx="229">
                  <c:v>155.33116825092333</c:v>
                </c:pt>
                <c:pt idx="230">
                  <c:v>157.09905834638897</c:v>
                </c:pt>
                <c:pt idx="231">
                  <c:v>158.87927676654107</c:v>
                </c:pt>
                <c:pt idx="232">
                  <c:v>160.67185561084963</c:v>
                </c:pt>
                <c:pt idx="233">
                  <c:v>162.47682692330656</c:v>
                </c:pt>
                <c:pt idx="234">
                  <c:v>164.29422269275958</c:v>
                </c:pt>
                <c:pt idx="235">
                  <c:v>166.12407485324317</c:v>
                </c:pt>
                <c:pt idx="236">
                  <c:v>167.96641528430592</c:v>
                </c:pt>
                <c:pt idx="237">
                  <c:v>169.82127581133429</c:v>
                </c:pt>
                <c:pt idx="238">
                  <c:v>171.68868820587355</c:v>
                </c:pt>
                <c:pt idx="239">
                  <c:v>173.56868418594502</c:v>
                </c:pt>
                <c:pt idx="240">
                  <c:v>175.46129541636063</c:v>
                </c:pt>
                <c:pt idx="241">
                  <c:v>177.36655350903379</c:v>
                </c:pt>
                <c:pt idx="242">
                  <c:v>179.28449002328736</c:v>
                </c:pt>
                <c:pt idx="243">
                  <c:v>181.21513646615898</c:v>
                </c:pt>
                <c:pt idx="244">
                  <c:v>183.15852429270257</c:v>
                </c:pt>
                <c:pt idx="245">
                  <c:v>185.11468490628749</c:v>
                </c:pt>
                <c:pt idx="246">
                  <c:v>187.08364965889456</c:v>
                </c:pt>
                <c:pt idx="247">
                  <c:v>189.06544985140923</c:v>
                </c:pt>
                <c:pt idx="248">
                  <c:v>191.06011673391163</c:v>
                </c:pt>
                <c:pt idx="249">
                  <c:v>193.06768150596437</c:v>
                </c:pt>
                <c:pt idx="250">
                  <c:v>195.08817531689681</c:v>
                </c:pt>
                <c:pt idx="251">
                  <c:v>197.12162926608735</c:v>
                </c:pt>
                <c:pt idx="252">
                  <c:v>199.16807440324251</c:v>
                </c:pt>
                <c:pt idx="253">
                  <c:v>201.22754172867351</c:v>
                </c:pt>
                <c:pt idx="254">
                  <c:v>203.30006219357031</c:v>
                </c:pt>
                <c:pt idx="255">
                  <c:v>204.88329999999999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7A-40DF-BCF8-B03CF139FA20}"/>
            </c:ext>
          </c:extLst>
        </c:ser>
        <c:ser>
          <c:idx val="2"/>
          <c:order val="2"/>
          <c:tx>
            <c:strRef>
              <c:f>'Gamma 2.6 5400K'!$E$16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2.6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5400K'!$E$17:$E$272</c:f>
              <c:numCache>
                <c:formatCode>0.00_ </c:formatCode>
                <c:ptCount val="256"/>
                <c:pt idx="0">
                  <c:v>3.0609383365348081E-6</c:v>
                </c:pt>
                <c:pt idx="1">
                  <c:v>2.1830531539325282E-4</c:v>
                </c:pt>
                <c:pt idx="2">
                  <c:v>1.0155255201516893E-3</c:v>
                </c:pt>
                <c:pt idx="3">
                  <c:v>2.6510404278083178E-3</c:v>
                </c:pt>
                <c:pt idx="4">
                  <c:v>5.3348952278294559E-3</c:v>
                </c:pt>
                <c:pt idx="5">
                  <c:v>9.2516835141344834E-3</c:v>
                </c:pt>
                <c:pt idx="6">
                  <c:v>1.4568974906965593E-2</c:v>
                </c:pt>
                <c:pt idx="7">
                  <c:v>2.1441829405981522E-2</c:v>
                </c:pt>
                <c:pt idx="8">
                  <c:v>3.0015572874409695E-2</c:v>
                </c:pt>
                <c:pt idx="9">
                  <c:v>4.0427656073454749E-2</c:v>
                </c:pt>
                <c:pt idx="10">
                  <c:v>5.2808975768193697E-2</c:v>
                </c:pt>
                <c:pt idx="11">
                  <c:v>6.7284855380077307E-2</c:v>
                </c:pt>
                <c:pt idx="12">
                  <c:v>8.39757977457435E-2</c:v>
                </c:pt>
                <c:pt idx="13">
                  <c:v>0.10299807854656237</c:v>
                </c:pt>
                <c:pt idx="14">
                  <c:v>0.12446422439921348</c:v>
                </c:pt>
                <c:pt idx="15">
                  <c:v>0.14848340503561677</c:v>
                </c:pt>
                <c:pt idx="16">
                  <c:v>0.17516175994866168</c:v>
                </c:pt>
                <c:pt idx="17">
                  <c:v>0.20460267402618781</c:v>
                </c:pt>
                <c:pt idx="18">
                  <c:v>0.23690701278138146</c:v>
                </c:pt>
                <c:pt idx="19">
                  <c:v>0.27217332509476311</c:v>
                </c:pt>
                <c:pt idx="20">
                  <c:v>0.31049801948390604</c:v>
                </c:pt>
                <c:pt idx="21">
                  <c:v>0.35197551854867437</c:v>
                </c:pt>
                <c:pt idx="22">
                  <c:v>0.39669839523486772</c:v>
                </c:pt>
                <c:pt idx="23">
                  <c:v>0.44475749380859247</c:v>
                </c:pt>
                <c:pt idx="24">
                  <c:v>0.49624203786450938</c:v>
                </c:pt>
                <c:pt idx="25">
                  <c:v>0.55123972725359804</c:v>
                </c:pt>
                <c:pt idx="26">
                  <c:v>0.60983682547558471</c:v>
                </c:pt>
                <c:pt idx="27">
                  <c:v>0.67211823881319677</c:v>
                </c:pt>
                <c:pt idx="28">
                  <c:v>0.73816758827232765</c:v>
                </c:pt>
                <c:pt idx="29">
                  <c:v>0.80806727522118682</c:v>
                </c:pt>
                <c:pt idx="30">
                  <c:v>0.88189854148301172</c:v>
                </c:pt>
                <c:pt idx="31">
                  <c:v>0.95974152452394013</c:v>
                </c:pt>
                <c:pt idx="32">
                  <c:v>1.0416753082847072</c:v>
                </c:pt>
                <c:pt idx="33">
                  <c:v>1.1277779701279322</c:v>
                </c:pt>
                <c:pt idx="34">
                  <c:v>1.2181266243086233</c:v>
                </c:pt>
                <c:pt idx="35">
                  <c:v>1.3127974623218783</c:v>
                </c:pt>
                <c:pt idx="36">
                  <c:v>1.411865790436396</c:v>
                </c:pt>
                <c:pt idx="37">
                  <c:v>1.5154060646841119</c:v>
                </c:pt>
                <c:pt idx="38">
                  <c:v>1.6234919235435228</c:v>
                </c:pt>
                <c:pt idx="39">
                  <c:v>1.7361962185263757</c:v>
                </c:pt>
                <c:pt idx="40">
                  <c:v>1.8535910428533358</c:v>
                </c:pt>
                <c:pt idx="41">
                  <c:v>1.9757477583834913</c:v>
                </c:pt>
                <c:pt idx="42">
                  <c:v>2.1027370209446845</c:v>
                </c:pt>
                <c:pt idx="43">
                  <c:v>2.2346288041959177</c:v>
                </c:pt>
                <c:pt idx="44">
                  <c:v>2.3714924221395748</c:v>
                </c:pt>
                <c:pt idx="45">
                  <c:v>2.5133965503891571</c:v>
                </c:pt>
                <c:pt idx="46">
                  <c:v>2.6604092462878954</c:v>
                </c:pt>
                <c:pt idx="47">
                  <c:v>2.8125979679641731</c:v>
                </c:pt>
                <c:pt idx="48">
                  <c:v>2.9700295924017328</c:v>
                </c:pt>
                <c:pt idx="49">
                  <c:v>3.1327704325952759</c:v>
                </c:pt>
                <c:pt idx="50">
                  <c:v>3.3008862538557078</c:v>
                </c:pt>
                <c:pt idx="51">
                  <c:v>3.4744422893235134</c:v>
                </c:pt>
                <c:pt idx="52">
                  <c:v>3.653503254743721</c:v>
                </c:pt>
                <c:pt idx="53">
                  <c:v>3.8381333625512073</c:v>
                </c:pt>
                <c:pt idx="54">
                  <c:v>4.0283963353111751</c:v>
                </c:pt>
                <c:pt idx="55">
                  <c:v>4.2243554185557466</c:v>
                </c:pt>
                <c:pt idx="56">
                  <c:v>4.4260733930545113</c:v>
                </c:pt>
                <c:pt idx="57">
                  <c:v>4.633612586553653</c:v>
                </c:pt>
                <c:pt idx="58">
                  <c:v>4.8470348850157698</c:v>
                </c:pt>
                <c:pt idx="59">
                  <c:v>5.0664017433898962</c:v>
                </c:pt>
                <c:pt idx="60">
                  <c:v>5.2917741959391043</c:v>
                </c:pt>
                <c:pt idx="61">
                  <c:v>5.5232128661509812</c:v>
                </c:pt>
                <c:pt idx="62">
                  <c:v>5.760777976254456</c:v>
                </c:pt>
                <c:pt idx="63">
                  <c:v>6.0045293563648059</c:v>
                </c:pt>
                <c:pt idx="64">
                  <c:v>6.2545264532770268</c:v>
                </c:pt>
                <c:pt idx="65">
                  <c:v>6.5108283389264612</c:v>
                </c:pt>
                <c:pt idx="66">
                  <c:v>6.7734937185342741</c:v>
                </c:pt>
                <c:pt idx="67">
                  <c:v>7.0425809384541171</c:v>
                </c:pt>
                <c:pt idx="68">
                  <c:v>7.3181479937352067</c:v>
                </c:pt>
                <c:pt idx="69">
                  <c:v>7.6002525354163275</c:v>
                </c:pt>
                <c:pt idx="70">
                  <c:v>7.8889518775638994</c:v>
                </c:pt>
                <c:pt idx="71">
                  <c:v>8.1843030040667628</c:v>
                </c:pt>
                <c:pt idx="72">
                  <c:v>8.4863625751994114</c:v>
                </c:pt>
                <c:pt idx="73">
                  <c:v>8.7951869339647288</c:v>
                </c:pt>
                <c:pt idx="74">
                  <c:v>9.1108321122264755</c:v>
                </c:pt>
                <c:pt idx="75">
                  <c:v>9.4333538366413929</c:v>
                </c:pt>
                <c:pt idx="76">
                  <c:v>9.7628075343999612</c:v>
                </c:pt>
                <c:pt idx="77">
                  <c:v>10.09924833878455</c:v>
                </c:pt>
                <c:pt idx="78">
                  <c:v>10.442731094552984</c:v>
                </c:pt>
                <c:pt idx="79">
                  <c:v>10.79331036315526</c:v>
                </c:pt>
                <c:pt idx="80">
                  <c:v>11.151040427790582</c:v>
                </c:pt>
                <c:pt idx="81">
                  <c:v>11.515975298311668</c:v>
                </c:pt>
                <c:pt idx="82">
                  <c:v>11.888168715982632</c:v>
                </c:pt>
                <c:pt idx="83">
                  <c:v>12.267674158096682</c:v>
                </c:pt>
                <c:pt idx="84">
                  <c:v>12.65454484245932</c:v>
                </c:pt>
                <c:pt idx="85">
                  <c:v>13.048833731742642</c:v>
                </c:pt>
                <c:pt idx="86">
                  <c:v>13.450593537715799</c:v>
                </c:pt>
                <c:pt idx="87">
                  <c:v>13.859876725356617</c:v>
                </c:pt>
                <c:pt idx="88">
                  <c:v>14.276735516849076</c:v>
                </c:pt>
                <c:pt idx="89">
                  <c:v>14.701221895471008</c:v>
                </c:pt>
                <c:pt idx="90">
                  <c:v>15.133387609376364</c:v>
                </c:pt>
                <c:pt idx="91">
                  <c:v>15.573284175275825</c:v>
                </c:pt>
                <c:pt idx="92">
                  <c:v>16.020962882019901</c:v>
                </c:pt>
                <c:pt idx="93">
                  <c:v>16.476474794087846</c:v>
                </c:pt>
                <c:pt idx="94">
                  <c:v>16.939870754986075</c:v>
                </c:pt>
                <c:pt idx="95">
                  <c:v>17.411201390559206</c:v>
                </c:pt>
                <c:pt idx="96">
                  <c:v>17.890517112216962</c:v>
                </c:pt>
                <c:pt idx="97">
                  <c:v>18.377868120079974</c:v>
                </c:pt>
                <c:pt idx="98">
                  <c:v>18.873304406047243</c:v>
                </c:pt>
                <c:pt idx="99">
                  <c:v>19.376875756788056</c:v>
                </c:pt>
                <c:pt idx="100">
                  <c:v>19.888631756660882</c:v>
                </c:pt>
                <c:pt idx="101">
                  <c:v>20.408621790561988</c:v>
                </c:pt>
                <c:pt idx="102">
                  <c:v>20.936895046705743</c:v>
                </c:pt>
                <c:pt idx="103">
                  <c:v>21.473500519339382</c:v>
                </c:pt>
                <c:pt idx="104">
                  <c:v>22.018487011393933</c:v>
                </c:pt>
                <c:pt idx="105">
                  <c:v>22.571903137073797</c:v>
                </c:pt>
                <c:pt idx="106">
                  <c:v>23.133797324386762</c:v>
                </c:pt>
                <c:pt idx="107">
                  <c:v>23.704217817616367</c:v>
                </c:pt>
                <c:pt idx="108">
                  <c:v>24.283212679738636</c:v>
                </c:pt>
                <c:pt idx="109">
                  <c:v>24.870829794784676</c:v>
                </c:pt>
                <c:pt idx="110">
                  <c:v>25.467116870151134</c:v>
                </c:pt>
                <c:pt idx="111">
                  <c:v>26.07212143885986</c:v>
                </c:pt>
                <c:pt idx="112">
                  <c:v>26.685890861768481</c:v>
                </c:pt>
                <c:pt idx="113">
                  <c:v>27.308472329733469</c:v>
                </c:pt>
                <c:pt idx="114">
                  <c:v>27.939912865726903</c:v>
                </c:pt>
                <c:pt idx="115">
                  <c:v>28.580259326908461</c:v>
                </c:pt>
                <c:pt idx="116">
                  <c:v>29.229558406654057</c:v>
                </c:pt>
                <c:pt idx="117">
                  <c:v>29.887856636542235</c:v>
                </c:pt>
                <c:pt idx="118">
                  <c:v>30.555200388299539</c:v>
                </c:pt>
                <c:pt idx="119">
                  <c:v>31.231635875706299</c:v>
                </c:pt>
                <c:pt idx="120">
                  <c:v>31.917209156463606</c:v>
                </c:pt>
                <c:pt idx="121">
                  <c:v>32.611966134022921</c:v>
                </c:pt>
                <c:pt idx="122">
                  <c:v>33.315952559379184</c:v>
                </c:pt>
                <c:pt idx="123">
                  <c:v>34.029214032828385</c:v>
                </c:pt>
                <c:pt idx="124">
                  <c:v>34.751796005690842</c:v>
                </c:pt>
                <c:pt idx="125">
                  <c:v>35.483743782000808</c:v>
                </c:pt>
                <c:pt idx="126">
                  <c:v>36.225102520163688</c:v>
                </c:pt>
                <c:pt idx="127">
                  <c:v>36.975917234581317</c:v>
                </c:pt>
                <c:pt idx="128">
                  <c:v>37.736232797246529</c:v>
                </c:pt>
                <c:pt idx="129">
                  <c:v>38.506093939307782</c:v>
                </c:pt>
                <c:pt idx="130">
                  <c:v>39.285545252604194</c:v>
                </c:pt>
                <c:pt idx="131">
                  <c:v>40.074631191172593</c:v>
                </c:pt>
                <c:pt idx="132">
                  <c:v>40.873396072726436</c:v>
                </c:pt>
                <c:pt idx="133">
                  <c:v>41.681884080107956</c:v>
                </c:pt>
                <c:pt idx="134">
                  <c:v>42.500139262713901</c:v>
                </c:pt>
                <c:pt idx="135">
                  <c:v>43.32820553789562</c:v>
                </c:pt>
                <c:pt idx="136">
                  <c:v>44.166126692334224</c:v>
                </c:pt>
                <c:pt idx="137">
                  <c:v>45.013946383391293</c:v>
                </c:pt>
                <c:pt idx="138">
                  <c:v>45.87170814043585</c:v>
                </c:pt>
                <c:pt idx="139">
                  <c:v>46.739455366148256</c:v>
                </c:pt>
                <c:pt idx="140">
                  <c:v>47.617231337801293</c:v>
                </c:pt>
                <c:pt idx="141">
                  <c:v>48.505079208519476</c:v>
                </c:pt>
                <c:pt idx="142">
                  <c:v>49.40304200851655</c:v>
                </c:pt>
                <c:pt idx="143">
                  <c:v>50.311162646312169</c:v>
                </c:pt>
                <c:pt idx="144">
                  <c:v>51.229483909928092</c:v>
                </c:pt>
                <c:pt idx="145">
                  <c:v>52.158048468064202</c:v>
                </c:pt>
                <c:pt idx="146">
                  <c:v>53.096898871255142</c:v>
                </c:pt>
                <c:pt idx="147">
                  <c:v>54.046077553007798</c:v>
                </c:pt>
                <c:pt idx="148">
                  <c:v>55.00562683092015</c:v>
                </c:pt>
                <c:pt idx="149">
                  <c:v>55.975588907781912</c:v>
                </c:pt>
                <c:pt idx="150">
                  <c:v>56.956005872657364</c:v>
                </c:pt>
                <c:pt idx="151">
                  <c:v>57.946919701950748</c:v>
                </c:pt>
                <c:pt idx="152">
                  <c:v>58.948372260454839</c:v>
                </c:pt>
                <c:pt idx="153">
                  <c:v>59.960405302382668</c:v>
                </c:pt>
                <c:pt idx="154">
                  <c:v>60.983060472383109</c:v>
                </c:pt>
                <c:pt idx="155">
                  <c:v>62.016379306540649</c:v>
                </c:pt>
                <c:pt idx="156">
                  <c:v>63.060403233359523</c:v>
                </c:pt>
                <c:pt idx="157">
                  <c:v>64.115173574732694</c:v>
                </c:pt>
                <c:pt idx="158">
                  <c:v>65.180731546895913</c:v>
                </c:pt>
                <c:pt idx="159">
                  <c:v>66.257118261367324</c:v>
                </c:pt>
                <c:pt idx="160">
                  <c:v>67.344374725872797</c:v>
                </c:pt>
                <c:pt idx="161">
                  <c:v>68.442541845257239</c:v>
                </c:pt>
                <c:pt idx="162">
                  <c:v>69.551660422382483</c:v>
                </c:pt>
                <c:pt idx="163">
                  <c:v>70.67177115901157</c:v>
                </c:pt>
                <c:pt idx="164">
                  <c:v>71.802914656680272</c:v>
                </c:pt>
                <c:pt idx="165">
                  <c:v>72.945131417555416</c:v>
                </c:pt>
                <c:pt idx="166">
                  <c:v>74.098461845281136</c:v>
                </c:pt>
                <c:pt idx="167">
                  <c:v>75.262946245812458</c:v>
                </c:pt>
                <c:pt idx="168">
                  <c:v>76.438624828237081</c:v>
                </c:pt>
                <c:pt idx="169">
                  <c:v>77.625537705585373</c:v>
                </c:pt>
                <c:pt idx="170">
                  <c:v>78.823724895628615</c:v>
                </c:pt>
                <c:pt idx="171">
                  <c:v>80.033226321666362</c:v>
                </c:pt>
                <c:pt idx="172">
                  <c:v>81.254081813302221</c:v>
                </c:pt>
                <c:pt idx="173">
                  <c:v>82.486331107209082</c:v>
                </c:pt>
                <c:pt idx="174">
                  <c:v>83.73001384788364</c:v>
                </c:pt>
                <c:pt idx="175">
                  <c:v>84.985169588390448</c:v>
                </c:pt>
                <c:pt idx="176">
                  <c:v>86.251837791095696</c:v>
                </c:pt>
                <c:pt idx="177">
                  <c:v>87.530057828391122</c:v>
                </c:pt>
                <c:pt idx="178">
                  <c:v>88.819868983407645</c:v>
                </c:pt>
                <c:pt idx="179">
                  <c:v>90.121310450720017</c:v>
                </c:pt>
                <c:pt idx="180">
                  <c:v>91.434421337041471</c:v>
                </c:pt>
                <c:pt idx="181">
                  <c:v>92.759240661909104</c:v>
                </c:pt>
                <c:pt idx="182">
                  <c:v>94.095807358360531</c:v>
                </c:pt>
                <c:pt idx="183">
                  <c:v>95.444160273601128</c:v>
                </c:pt>
                <c:pt idx="184">
                  <c:v>96.804338169662799</c:v>
                </c:pt>
                <c:pt idx="185">
                  <c:v>98.176379724054016</c:v>
                </c:pt>
                <c:pt idx="186">
                  <c:v>99.560323530401291</c:v>
                </c:pt>
                <c:pt idx="187">
                  <c:v>100.95620809908272</c:v>
                </c:pt>
                <c:pt idx="188">
                  <c:v>102.36407185785285</c:v>
                </c:pt>
                <c:pt idx="189">
                  <c:v>103.78395315246</c:v>
                </c:pt>
                <c:pt idx="190">
                  <c:v>105.21589024725542</c:v>
                </c:pt>
                <c:pt idx="191">
                  <c:v>106.6599213257949</c:v>
                </c:pt>
                <c:pt idx="192">
                  <c:v>108.1160844914327</c:v>
                </c:pt>
                <c:pt idx="193">
                  <c:v>109.58441776790815</c:v>
                </c:pt>
                <c:pt idx="194">
                  <c:v>111.06495909992466</c:v>
                </c:pt>
                <c:pt idx="195">
                  <c:v>112.55774635372211</c:v>
                </c:pt>
                <c:pt idx="196">
                  <c:v>114.06281731764136</c:v>
                </c:pt>
                <c:pt idx="197">
                  <c:v>115.58020970268271</c:v>
                </c:pt>
                <c:pt idx="198">
                  <c:v>117.10996114305669</c:v>
                </c:pt>
                <c:pt idx="199">
                  <c:v>118.65210919672896</c:v>
                </c:pt>
                <c:pt idx="200">
                  <c:v>120.20669134595794</c:v>
                </c:pt>
                <c:pt idx="201">
                  <c:v>121.77374499782644</c:v>
                </c:pt>
                <c:pt idx="202">
                  <c:v>123.35330748476653</c:v>
                </c:pt>
                <c:pt idx="203">
                  <c:v>124.94541606507862</c:v>
                </c:pt>
                <c:pt idx="204">
                  <c:v>126.550107923444</c:v>
                </c:pt>
                <c:pt idx="205">
                  <c:v>128.16742017143144</c:v>
                </c:pt>
                <c:pt idx="206">
                  <c:v>129.79738984799801</c:v>
                </c:pt>
                <c:pt idx="207">
                  <c:v>131.44005391998371</c:v>
                </c:pt>
                <c:pt idx="208">
                  <c:v>133.09544928260067</c:v>
                </c:pt>
                <c:pt idx="209">
                  <c:v>134.7636127599167</c:v>
                </c:pt>
                <c:pt idx="210">
                  <c:v>136.44458110533273</c:v>
                </c:pt>
                <c:pt idx="211">
                  <c:v>138.1383910020557</c:v>
                </c:pt>
                <c:pt idx="212">
                  <c:v>139.84507906356521</c:v>
                </c:pt>
                <c:pt idx="213">
                  <c:v>141.56468183407529</c:v>
                </c:pt>
                <c:pt idx="214">
                  <c:v>143.29723578899092</c:v>
                </c:pt>
                <c:pt idx="215">
                  <c:v>145.0427773353594</c:v>
                </c:pt>
                <c:pt idx="216">
                  <c:v>146.80134281231642</c:v>
                </c:pt>
                <c:pt idx="217">
                  <c:v>148.57296849152772</c:v>
                </c:pt>
                <c:pt idx="218">
                  <c:v>150.35769057762514</c:v>
                </c:pt>
                <c:pt idx="219">
                  <c:v>152.1555452086385</c:v>
                </c:pt>
                <c:pt idx="220">
                  <c:v>153.96656845642255</c:v>
                </c:pt>
                <c:pt idx="221">
                  <c:v>155.79079632707862</c:v>
                </c:pt>
                <c:pt idx="222">
                  <c:v>157.62826476137298</c:v>
                </c:pt>
                <c:pt idx="223">
                  <c:v>159.47900963514928</c:v>
                </c:pt>
                <c:pt idx="224">
                  <c:v>161.34306675973752</c:v>
                </c:pt>
                <c:pt idx="225">
                  <c:v>163.2204718823582</c:v>
                </c:pt>
                <c:pt idx="226">
                  <c:v>165.111260686522</c:v>
                </c:pt>
                <c:pt idx="227">
                  <c:v>167.01546879242582</c:v>
                </c:pt>
                <c:pt idx="228">
                  <c:v>168.93313175734403</c:v>
                </c:pt>
                <c:pt idx="229">
                  <c:v>170.86428507601565</c:v>
                </c:pt>
                <c:pt idx="230">
                  <c:v>172.80896418102787</c:v>
                </c:pt>
                <c:pt idx="231">
                  <c:v>174.76720444319517</c:v>
                </c:pt>
                <c:pt idx="232">
                  <c:v>176.73904117193459</c:v>
                </c:pt>
                <c:pt idx="233">
                  <c:v>178.7245096156372</c:v>
                </c:pt>
                <c:pt idx="234">
                  <c:v>180.72364496203554</c:v>
                </c:pt>
                <c:pt idx="235">
                  <c:v>182.7364823385675</c:v>
                </c:pt>
                <c:pt idx="236">
                  <c:v>184.76305681273652</c:v>
                </c:pt>
                <c:pt idx="237">
                  <c:v>186.80340339246771</c:v>
                </c:pt>
                <c:pt idx="238">
                  <c:v>188.85755702646091</c:v>
                </c:pt>
                <c:pt idx="239">
                  <c:v>190.92555260453952</c:v>
                </c:pt>
                <c:pt idx="240">
                  <c:v>193.0074249579967</c:v>
                </c:pt>
                <c:pt idx="241">
                  <c:v>195.10320885993718</c:v>
                </c:pt>
                <c:pt idx="242">
                  <c:v>197.21293902561609</c:v>
                </c:pt>
                <c:pt idx="243">
                  <c:v>199.33665011277489</c:v>
                </c:pt>
                <c:pt idx="244">
                  <c:v>201.47437672197282</c:v>
                </c:pt>
                <c:pt idx="245">
                  <c:v>203.62615339691624</c:v>
                </c:pt>
                <c:pt idx="246">
                  <c:v>205.792014624784</c:v>
                </c:pt>
                <c:pt idx="247">
                  <c:v>207.97199483655015</c:v>
                </c:pt>
                <c:pt idx="248">
                  <c:v>210.16612840730278</c:v>
                </c:pt>
                <c:pt idx="249">
                  <c:v>212.37444965656081</c:v>
                </c:pt>
                <c:pt idx="250">
                  <c:v>214.5969928485865</c:v>
                </c:pt>
                <c:pt idx="251">
                  <c:v>216.83379219269608</c:v>
                </c:pt>
                <c:pt idx="252">
                  <c:v>219.08488184356676</c:v>
                </c:pt>
                <c:pt idx="253">
                  <c:v>221.35029590154087</c:v>
                </c:pt>
                <c:pt idx="254">
                  <c:v>223.63006841292736</c:v>
                </c:pt>
                <c:pt idx="255">
                  <c:v>225.37162999999998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7A-40DF-BCF8-B03CF139FA20}"/>
            </c:ext>
          </c:extLst>
        </c:ser>
        <c:ser>
          <c:idx val="3"/>
          <c:order val="3"/>
          <c:tx>
            <c:strRef>
              <c:f>'Gamma 2.6 5400K'!$F$16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2.6 5400K'!$B$17:$B$272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5400K'!$F$17:$F$272</c:f>
              <c:numCache>
                <c:formatCode>General</c:formatCode>
                <c:ptCount val="256"/>
                <c:pt idx="0">
                  <c:v>0.24030000000000001</c:v>
                </c:pt>
                <c:pt idx="1">
                  <c:v>0.2402</c:v>
                </c:pt>
                <c:pt idx="2">
                  <c:v>0.24030000000000001</c:v>
                </c:pt>
                <c:pt idx="3">
                  <c:v>0.24049999999999999</c:v>
                </c:pt>
                <c:pt idx="4">
                  <c:v>0.25290000000000001</c:v>
                </c:pt>
                <c:pt idx="5">
                  <c:v>0.25309999999999999</c:v>
                </c:pt>
                <c:pt idx="6">
                  <c:v>0.25540000000000002</c:v>
                </c:pt>
                <c:pt idx="7">
                  <c:v>0.26910000000000001</c:v>
                </c:pt>
                <c:pt idx="8">
                  <c:v>0.26960000000000001</c:v>
                </c:pt>
                <c:pt idx="9">
                  <c:v>0.28860000000000002</c:v>
                </c:pt>
                <c:pt idx="10">
                  <c:v>0.28849999999999998</c:v>
                </c:pt>
                <c:pt idx="11">
                  <c:v>0.30230000000000001</c:v>
                </c:pt>
                <c:pt idx="12">
                  <c:v>0.3029</c:v>
                </c:pt>
                <c:pt idx="13">
                  <c:v>0.33079999999999998</c:v>
                </c:pt>
                <c:pt idx="14">
                  <c:v>0.33050000000000002</c:v>
                </c:pt>
                <c:pt idx="15">
                  <c:v>0.3715</c:v>
                </c:pt>
                <c:pt idx="16">
                  <c:v>0.3805</c:v>
                </c:pt>
                <c:pt idx="17">
                  <c:v>0.40339999999999998</c:v>
                </c:pt>
                <c:pt idx="18">
                  <c:v>0.41410000000000002</c:v>
                </c:pt>
                <c:pt idx="19">
                  <c:v>0.4521</c:v>
                </c:pt>
                <c:pt idx="20">
                  <c:v>0.45250000000000001</c:v>
                </c:pt>
                <c:pt idx="21">
                  <c:v>0.52459999999999996</c:v>
                </c:pt>
                <c:pt idx="22">
                  <c:v>0.52149999999999996</c:v>
                </c:pt>
                <c:pt idx="23">
                  <c:v>0.57920000000000005</c:v>
                </c:pt>
                <c:pt idx="24">
                  <c:v>0.64100000000000001</c:v>
                </c:pt>
                <c:pt idx="25">
                  <c:v>0.6613</c:v>
                </c:pt>
                <c:pt idx="26">
                  <c:v>0.72199999999999998</c:v>
                </c:pt>
                <c:pt idx="27">
                  <c:v>0.80210000000000004</c:v>
                </c:pt>
                <c:pt idx="28">
                  <c:v>0.82940000000000003</c:v>
                </c:pt>
                <c:pt idx="29">
                  <c:v>0.9103</c:v>
                </c:pt>
                <c:pt idx="30">
                  <c:v>0.99319999999999997</c:v>
                </c:pt>
                <c:pt idx="31">
                  <c:v>1.014</c:v>
                </c:pt>
                <c:pt idx="32">
                  <c:v>1.1013999999999999</c:v>
                </c:pt>
                <c:pt idx="33">
                  <c:v>1.2125999999999999</c:v>
                </c:pt>
                <c:pt idx="34">
                  <c:v>1.2625999999999999</c:v>
                </c:pt>
                <c:pt idx="35">
                  <c:v>1.2921</c:v>
                </c:pt>
                <c:pt idx="36">
                  <c:v>1.3761000000000001</c:v>
                </c:pt>
                <c:pt idx="37">
                  <c:v>1.488</c:v>
                </c:pt>
                <c:pt idx="38">
                  <c:v>1.575</c:v>
                </c:pt>
                <c:pt idx="39">
                  <c:v>1.6826000000000001</c:v>
                </c:pt>
                <c:pt idx="40">
                  <c:v>1.7645</c:v>
                </c:pt>
                <c:pt idx="41">
                  <c:v>1.8144</c:v>
                </c:pt>
                <c:pt idx="42">
                  <c:v>1.9067000000000001</c:v>
                </c:pt>
                <c:pt idx="43">
                  <c:v>2.1274999999999999</c:v>
                </c:pt>
                <c:pt idx="44">
                  <c:v>2.2835000000000001</c:v>
                </c:pt>
                <c:pt idx="45">
                  <c:v>2.3717000000000001</c:v>
                </c:pt>
                <c:pt idx="46">
                  <c:v>2.544</c:v>
                </c:pt>
                <c:pt idx="47">
                  <c:v>2.6722999999999999</c:v>
                </c:pt>
                <c:pt idx="48">
                  <c:v>2.8157000000000001</c:v>
                </c:pt>
                <c:pt idx="49">
                  <c:v>3.0182000000000002</c:v>
                </c:pt>
                <c:pt idx="50">
                  <c:v>3.1836000000000002</c:v>
                </c:pt>
                <c:pt idx="51">
                  <c:v>3.2046999999999999</c:v>
                </c:pt>
                <c:pt idx="52">
                  <c:v>3.3645999999999998</c:v>
                </c:pt>
                <c:pt idx="53">
                  <c:v>3.5838000000000001</c:v>
                </c:pt>
                <c:pt idx="54">
                  <c:v>3.7477</c:v>
                </c:pt>
                <c:pt idx="55">
                  <c:v>3.9929000000000001</c:v>
                </c:pt>
                <c:pt idx="56">
                  <c:v>4.1654</c:v>
                </c:pt>
                <c:pt idx="57">
                  <c:v>4.3219000000000003</c:v>
                </c:pt>
                <c:pt idx="58">
                  <c:v>4.5016999999999996</c:v>
                </c:pt>
                <c:pt idx="59">
                  <c:v>4.7698</c:v>
                </c:pt>
                <c:pt idx="60">
                  <c:v>4.9898999999999996</c:v>
                </c:pt>
                <c:pt idx="61">
                  <c:v>5.1955</c:v>
                </c:pt>
                <c:pt idx="62">
                  <c:v>5.4806999999999997</c:v>
                </c:pt>
                <c:pt idx="63">
                  <c:v>5.5613999999999999</c:v>
                </c:pt>
                <c:pt idx="64">
                  <c:v>5.7590000000000003</c:v>
                </c:pt>
                <c:pt idx="65">
                  <c:v>6.0734000000000004</c:v>
                </c:pt>
                <c:pt idx="66">
                  <c:v>6.2981999999999996</c:v>
                </c:pt>
                <c:pt idx="67">
                  <c:v>6.6012000000000004</c:v>
                </c:pt>
                <c:pt idx="68">
                  <c:v>6.8639999999999999</c:v>
                </c:pt>
                <c:pt idx="69">
                  <c:v>7.0960999999999999</c:v>
                </c:pt>
                <c:pt idx="70">
                  <c:v>7.4200999999999997</c:v>
                </c:pt>
                <c:pt idx="71">
                  <c:v>7.6840000000000002</c:v>
                </c:pt>
                <c:pt idx="72">
                  <c:v>7.96</c:v>
                </c:pt>
                <c:pt idx="73">
                  <c:v>8.3483000000000001</c:v>
                </c:pt>
                <c:pt idx="74">
                  <c:v>8.6390999999999991</c:v>
                </c:pt>
                <c:pt idx="75">
                  <c:v>8.9442000000000004</c:v>
                </c:pt>
                <c:pt idx="76">
                  <c:v>9.3521999999999998</c:v>
                </c:pt>
                <c:pt idx="77">
                  <c:v>9.4368999999999996</c:v>
                </c:pt>
                <c:pt idx="78">
                  <c:v>9.7271000000000001</c:v>
                </c:pt>
                <c:pt idx="79">
                  <c:v>10.155200000000001</c:v>
                </c:pt>
                <c:pt idx="80">
                  <c:v>10.516999999999999</c:v>
                </c:pt>
                <c:pt idx="81">
                  <c:v>10.936400000000001</c:v>
                </c:pt>
                <c:pt idx="82">
                  <c:v>11.257099999999999</c:v>
                </c:pt>
                <c:pt idx="83">
                  <c:v>11.630100000000001</c:v>
                </c:pt>
                <c:pt idx="84">
                  <c:v>11.9536</c:v>
                </c:pt>
                <c:pt idx="85">
                  <c:v>12.3896</c:v>
                </c:pt>
                <c:pt idx="86">
                  <c:v>12.4962</c:v>
                </c:pt>
                <c:pt idx="87">
                  <c:v>12.9754</c:v>
                </c:pt>
                <c:pt idx="88">
                  <c:v>13.361700000000001</c:v>
                </c:pt>
                <c:pt idx="89">
                  <c:v>13.6225</c:v>
                </c:pt>
                <c:pt idx="90">
                  <c:v>14.0886</c:v>
                </c:pt>
                <c:pt idx="91">
                  <c:v>14.5466</c:v>
                </c:pt>
                <c:pt idx="92">
                  <c:v>15.0245</c:v>
                </c:pt>
                <c:pt idx="93">
                  <c:v>15.5128</c:v>
                </c:pt>
                <c:pt idx="94">
                  <c:v>15.889200000000001</c:v>
                </c:pt>
                <c:pt idx="95">
                  <c:v>16.043900000000001</c:v>
                </c:pt>
                <c:pt idx="96">
                  <c:v>16.564</c:v>
                </c:pt>
                <c:pt idx="97">
                  <c:v>17.0349</c:v>
                </c:pt>
                <c:pt idx="98">
                  <c:v>17.417200000000001</c:v>
                </c:pt>
                <c:pt idx="99">
                  <c:v>18.052499999999998</c:v>
                </c:pt>
                <c:pt idx="100">
                  <c:v>18.517600000000002</c:v>
                </c:pt>
                <c:pt idx="101">
                  <c:v>19.049900000000001</c:v>
                </c:pt>
                <c:pt idx="102">
                  <c:v>19.534300000000002</c:v>
                </c:pt>
                <c:pt idx="103">
                  <c:v>19.933800000000002</c:v>
                </c:pt>
                <c:pt idx="104">
                  <c:v>20.155799999999999</c:v>
                </c:pt>
                <c:pt idx="105">
                  <c:v>20.732299999999999</c:v>
                </c:pt>
                <c:pt idx="106">
                  <c:v>21.2912</c:v>
                </c:pt>
                <c:pt idx="107">
                  <c:v>21.896799999999999</c:v>
                </c:pt>
                <c:pt idx="108">
                  <c:v>22.471800000000002</c:v>
                </c:pt>
                <c:pt idx="109">
                  <c:v>22.924600000000002</c:v>
                </c:pt>
                <c:pt idx="110">
                  <c:v>23.6816</c:v>
                </c:pt>
                <c:pt idx="111">
                  <c:v>24.191800000000001</c:v>
                </c:pt>
                <c:pt idx="112">
                  <c:v>24.641200000000001</c:v>
                </c:pt>
                <c:pt idx="113">
                  <c:v>25.2529</c:v>
                </c:pt>
                <c:pt idx="114">
                  <c:v>25.904599999999999</c:v>
                </c:pt>
                <c:pt idx="115">
                  <c:v>26.653500000000001</c:v>
                </c:pt>
                <c:pt idx="116">
                  <c:v>26.8355</c:v>
                </c:pt>
                <c:pt idx="117">
                  <c:v>27.315899999999999</c:v>
                </c:pt>
                <c:pt idx="118">
                  <c:v>27.9009</c:v>
                </c:pt>
                <c:pt idx="119">
                  <c:v>28.650200000000002</c:v>
                </c:pt>
                <c:pt idx="120">
                  <c:v>29.245999999999999</c:v>
                </c:pt>
                <c:pt idx="121">
                  <c:v>29.851700000000001</c:v>
                </c:pt>
                <c:pt idx="122">
                  <c:v>30.5398</c:v>
                </c:pt>
                <c:pt idx="123">
                  <c:v>31.168700000000001</c:v>
                </c:pt>
                <c:pt idx="124">
                  <c:v>31.9892</c:v>
                </c:pt>
                <c:pt idx="125">
                  <c:v>32.614400000000003</c:v>
                </c:pt>
                <c:pt idx="126">
                  <c:v>33.438600000000001</c:v>
                </c:pt>
                <c:pt idx="127">
                  <c:v>34.066200000000002</c:v>
                </c:pt>
                <c:pt idx="128">
                  <c:v>34.709000000000003</c:v>
                </c:pt>
                <c:pt idx="129">
                  <c:v>35.544899999999998</c:v>
                </c:pt>
                <c:pt idx="130">
                  <c:v>36.294400000000003</c:v>
                </c:pt>
                <c:pt idx="131">
                  <c:v>37.1783</c:v>
                </c:pt>
                <c:pt idx="132">
                  <c:v>37.179299999999998</c:v>
                </c:pt>
                <c:pt idx="133">
                  <c:v>38.061100000000003</c:v>
                </c:pt>
                <c:pt idx="134">
                  <c:v>38.7057</c:v>
                </c:pt>
                <c:pt idx="135">
                  <c:v>39.607900000000001</c:v>
                </c:pt>
                <c:pt idx="136">
                  <c:v>40.177199999999999</c:v>
                </c:pt>
                <c:pt idx="137">
                  <c:v>40.973100000000002</c:v>
                </c:pt>
                <c:pt idx="138">
                  <c:v>41.925600000000003</c:v>
                </c:pt>
                <c:pt idx="139">
                  <c:v>42.6496</c:v>
                </c:pt>
                <c:pt idx="140">
                  <c:v>43.280900000000003</c:v>
                </c:pt>
                <c:pt idx="141">
                  <c:v>44.171500000000002</c:v>
                </c:pt>
                <c:pt idx="142">
                  <c:v>44.920299999999997</c:v>
                </c:pt>
                <c:pt idx="143">
                  <c:v>45.124200000000002</c:v>
                </c:pt>
                <c:pt idx="144">
                  <c:v>46.093600000000002</c:v>
                </c:pt>
                <c:pt idx="145">
                  <c:v>46.918700000000001</c:v>
                </c:pt>
                <c:pt idx="146">
                  <c:v>47.628900000000002</c:v>
                </c:pt>
                <c:pt idx="147">
                  <c:v>48.633000000000003</c:v>
                </c:pt>
                <c:pt idx="148">
                  <c:v>49.589500000000001</c:v>
                </c:pt>
                <c:pt idx="149">
                  <c:v>50.411999999999999</c:v>
                </c:pt>
                <c:pt idx="150">
                  <c:v>51.4621</c:v>
                </c:pt>
                <c:pt idx="151">
                  <c:v>52.280900000000003</c:v>
                </c:pt>
                <c:pt idx="152">
                  <c:v>53.072000000000003</c:v>
                </c:pt>
                <c:pt idx="153">
                  <c:v>54.139000000000003</c:v>
                </c:pt>
                <c:pt idx="154">
                  <c:v>54.9435</c:v>
                </c:pt>
                <c:pt idx="155">
                  <c:v>56.036700000000003</c:v>
                </c:pt>
                <c:pt idx="156">
                  <c:v>56.8202</c:v>
                </c:pt>
                <c:pt idx="157">
                  <c:v>57.902700000000003</c:v>
                </c:pt>
                <c:pt idx="158">
                  <c:v>58.790599999999998</c:v>
                </c:pt>
                <c:pt idx="159">
                  <c:v>59.995800000000003</c:v>
                </c:pt>
                <c:pt idx="160">
                  <c:v>60.914299999999997</c:v>
                </c:pt>
                <c:pt idx="161">
                  <c:v>61.814100000000003</c:v>
                </c:pt>
                <c:pt idx="162">
                  <c:v>63.314100000000003</c:v>
                </c:pt>
                <c:pt idx="163">
                  <c:v>64.198700000000002</c:v>
                </c:pt>
                <c:pt idx="164">
                  <c:v>65.097499999999997</c:v>
                </c:pt>
                <c:pt idx="165">
                  <c:v>66.897499999999994</c:v>
                </c:pt>
                <c:pt idx="166">
                  <c:v>68.191400000000002</c:v>
                </c:pt>
                <c:pt idx="167">
                  <c:v>69.191800000000001</c:v>
                </c:pt>
                <c:pt idx="168">
                  <c:v>70.230199999999996</c:v>
                </c:pt>
                <c:pt idx="169">
                  <c:v>71.452500000000001</c:v>
                </c:pt>
                <c:pt idx="170">
                  <c:v>72.381100000000004</c:v>
                </c:pt>
                <c:pt idx="171">
                  <c:v>73.625100000000003</c:v>
                </c:pt>
                <c:pt idx="172">
                  <c:v>74.805300000000003</c:v>
                </c:pt>
                <c:pt idx="173">
                  <c:v>75.855500000000006</c:v>
                </c:pt>
                <c:pt idx="174">
                  <c:v>77.225300000000004</c:v>
                </c:pt>
                <c:pt idx="175">
                  <c:v>78.303600000000003</c:v>
                </c:pt>
                <c:pt idx="176">
                  <c:v>79.729500000000002</c:v>
                </c:pt>
                <c:pt idx="177">
                  <c:v>80.809600000000003</c:v>
                </c:pt>
                <c:pt idx="178">
                  <c:v>81.889499999999998</c:v>
                </c:pt>
                <c:pt idx="179">
                  <c:v>83.231999999999999</c:v>
                </c:pt>
                <c:pt idx="180">
                  <c:v>84.236999999999995</c:v>
                </c:pt>
                <c:pt idx="181">
                  <c:v>85.2346</c:v>
                </c:pt>
                <c:pt idx="182">
                  <c:v>86.590500000000006</c:v>
                </c:pt>
                <c:pt idx="183">
                  <c:v>87.635099999999994</c:v>
                </c:pt>
                <c:pt idx="184">
                  <c:v>89.133799999999994</c:v>
                </c:pt>
                <c:pt idx="185">
                  <c:v>90.243799999999993</c:v>
                </c:pt>
                <c:pt idx="186">
                  <c:v>91.347800000000007</c:v>
                </c:pt>
                <c:pt idx="187">
                  <c:v>92.876000000000005</c:v>
                </c:pt>
                <c:pt idx="188">
                  <c:v>93.998199999999997</c:v>
                </c:pt>
                <c:pt idx="189">
                  <c:v>95.495000000000005</c:v>
                </c:pt>
                <c:pt idx="190">
                  <c:v>97.021600000000007</c:v>
                </c:pt>
                <c:pt idx="191">
                  <c:v>98.161199999999994</c:v>
                </c:pt>
                <c:pt idx="192">
                  <c:v>99.662400000000005</c:v>
                </c:pt>
                <c:pt idx="193">
                  <c:v>100.789</c:v>
                </c:pt>
                <c:pt idx="194">
                  <c:v>101.967</c:v>
                </c:pt>
                <c:pt idx="195">
                  <c:v>103.4706</c:v>
                </c:pt>
                <c:pt idx="196">
                  <c:v>104.6092</c:v>
                </c:pt>
                <c:pt idx="197">
                  <c:v>106.15519999999999</c:v>
                </c:pt>
                <c:pt idx="198">
                  <c:v>107.4101</c:v>
                </c:pt>
                <c:pt idx="199">
                  <c:v>109.08110000000001</c:v>
                </c:pt>
                <c:pt idx="200">
                  <c:v>110.6332</c:v>
                </c:pt>
                <c:pt idx="201">
                  <c:v>111.86579999999999</c:v>
                </c:pt>
                <c:pt idx="202">
                  <c:v>113.12390000000001</c:v>
                </c:pt>
                <c:pt idx="203">
                  <c:v>114.7133</c:v>
                </c:pt>
                <c:pt idx="204">
                  <c:v>115.9195</c:v>
                </c:pt>
                <c:pt idx="205">
                  <c:v>117.4892</c:v>
                </c:pt>
                <c:pt idx="206">
                  <c:v>118.639</c:v>
                </c:pt>
                <c:pt idx="207">
                  <c:v>119.9151</c:v>
                </c:pt>
                <c:pt idx="208">
                  <c:v>122.05719999999999</c:v>
                </c:pt>
                <c:pt idx="209">
                  <c:v>123.4057</c:v>
                </c:pt>
                <c:pt idx="210">
                  <c:v>124.58880000000001</c:v>
                </c:pt>
                <c:pt idx="211">
                  <c:v>126.2886</c:v>
                </c:pt>
                <c:pt idx="212">
                  <c:v>127.5421</c:v>
                </c:pt>
                <c:pt idx="213">
                  <c:v>129.23509999999999</c:v>
                </c:pt>
                <c:pt idx="214">
                  <c:v>130.50489999999999</c:v>
                </c:pt>
                <c:pt idx="215">
                  <c:v>131.78440000000001</c:v>
                </c:pt>
                <c:pt idx="216">
                  <c:v>133.47970000000001</c:v>
                </c:pt>
                <c:pt idx="217">
                  <c:v>135.25640000000001</c:v>
                </c:pt>
                <c:pt idx="218">
                  <c:v>136.59030000000001</c:v>
                </c:pt>
                <c:pt idx="219">
                  <c:v>138.3424</c:v>
                </c:pt>
                <c:pt idx="220">
                  <c:v>139.67070000000001</c:v>
                </c:pt>
                <c:pt idx="221">
                  <c:v>141.4873</c:v>
                </c:pt>
                <c:pt idx="222">
                  <c:v>143.19059999999999</c:v>
                </c:pt>
                <c:pt idx="223">
                  <c:v>144.4512</c:v>
                </c:pt>
                <c:pt idx="224">
                  <c:v>146.27680000000001</c:v>
                </c:pt>
                <c:pt idx="225">
                  <c:v>148.6079</c:v>
                </c:pt>
                <c:pt idx="226">
                  <c:v>150.50020000000001</c:v>
                </c:pt>
                <c:pt idx="227">
                  <c:v>151.89009999999999</c:v>
                </c:pt>
                <c:pt idx="228">
                  <c:v>153.69759999999999</c:v>
                </c:pt>
                <c:pt idx="229">
                  <c:v>155.61080000000001</c:v>
                </c:pt>
                <c:pt idx="230">
                  <c:v>157.01509999999999</c:v>
                </c:pt>
                <c:pt idx="231">
                  <c:v>158.82759999999999</c:v>
                </c:pt>
                <c:pt idx="232">
                  <c:v>160.7654</c:v>
                </c:pt>
                <c:pt idx="233">
                  <c:v>162.1455</c:v>
                </c:pt>
                <c:pt idx="234">
                  <c:v>163.97739999999999</c:v>
                </c:pt>
                <c:pt idx="235">
                  <c:v>165.42019999999999</c:v>
                </c:pt>
                <c:pt idx="236">
                  <c:v>167.35409999999999</c:v>
                </c:pt>
                <c:pt idx="237">
                  <c:v>170.31399999999999</c:v>
                </c:pt>
                <c:pt idx="238">
                  <c:v>171.78139999999999</c:v>
                </c:pt>
                <c:pt idx="239">
                  <c:v>173.69380000000001</c:v>
                </c:pt>
                <c:pt idx="240">
                  <c:v>175.68039999999999</c:v>
                </c:pt>
                <c:pt idx="241">
                  <c:v>177.15100000000001</c:v>
                </c:pt>
                <c:pt idx="242">
                  <c:v>179.0933</c:v>
                </c:pt>
                <c:pt idx="243">
                  <c:v>180.58260000000001</c:v>
                </c:pt>
                <c:pt idx="244">
                  <c:v>182.7304</c:v>
                </c:pt>
                <c:pt idx="245">
                  <c:v>184.73609999999999</c:v>
                </c:pt>
                <c:pt idx="246">
                  <c:v>186.1361</c:v>
                </c:pt>
                <c:pt idx="247">
                  <c:v>187.74170000000001</c:v>
                </c:pt>
                <c:pt idx="248">
                  <c:v>190.78960000000001</c:v>
                </c:pt>
                <c:pt idx="249">
                  <c:v>192.1953</c:v>
                </c:pt>
                <c:pt idx="250">
                  <c:v>194.81950000000001</c:v>
                </c:pt>
                <c:pt idx="251">
                  <c:v>196.57730000000001</c:v>
                </c:pt>
                <c:pt idx="252">
                  <c:v>198.50829999999999</c:v>
                </c:pt>
                <c:pt idx="253">
                  <c:v>201.03819999999999</c:v>
                </c:pt>
                <c:pt idx="254">
                  <c:v>202.82310000000001</c:v>
                </c:pt>
                <c:pt idx="255">
                  <c:v>204.88329999999999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7A-40DF-BCF8-B03CF139F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723008"/>
        <c:axId val="1881637728"/>
      </c:lineChart>
      <c:catAx>
        <c:axId val="6272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1637728"/>
        <c:crosses val="autoZero"/>
        <c:auto val="1"/>
        <c:lblAlgn val="ctr"/>
        <c:lblOffset val="100"/>
        <c:noMultiLvlLbl val="0"/>
      </c:catAx>
      <c:valAx>
        <c:axId val="188163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72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Gamma2.2_5400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'Gamma 2.2 5400K-長'!$C$16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2.2 5400K-長'!$B$17:$B$272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5400K-長'!$C$17:$C$272</c:f>
              <c:numCache>
                <c:formatCode>0.00_ </c:formatCode>
                <c:ptCount val="256"/>
                <c:pt idx="0">
                  <c:v>4.2449788662011416E-5</c:v>
                </c:pt>
                <c:pt idx="1">
                  <c:v>1.5075432414635359E-3</c:v>
                </c:pt>
                <c:pt idx="2">
                  <c:v>5.5114475974501597E-3</c:v>
                </c:pt>
                <c:pt idx="3">
                  <c:v>1.2392075998385177E-2</c:v>
                </c:pt>
                <c:pt idx="4">
                  <c:v>2.23738253812573E-2</c:v>
                </c:pt>
                <c:pt idx="5">
                  <c:v>3.5629586807212399E-2</c:v>
                </c:pt>
                <c:pt idx="6">
                  <c:v>5.2301702723140962E-2</c:v>
                </c:pt>
                <c:pt idx="7">
                  <c:v>7.2512004130694876E-2</c:v>
                </c:pt>
                <c:pt idx="8">
                  <c:v>9.6367481549279627E-2</c:v>
                </c:pt>
                <c:pt idx="9">
                  <c:v>0.12396383164336992</c:v>
                </c:pt>
                <c:pt idx="10">
                  <c:v>0.15538783561251754</c:v>
                </c:pt>
                <c:pt idx="11">
                  <c:v>0.19071903800275886</c:v>
                </c:pt>
                <c:pt idx="12">
                  <c:v>0.23003097926711308</c:v>
                </c:pt>
                <c:pt idx="13">
                  <c:v>0.27339212939677515</c:v>
                </c:pt>
                <c:pt idx="14">
                  <c:v>0.32086661332460292</c:v>
                </c:pt>
                <c:pt idx="15">
                  <c:v>0.37251478656295872</c:v>
                </c:pt>
                <c:pt idx="16">
                  <c:v>0.42839370020681222</c:v>
                </c:pt>
                <c:pt idx="17">
                  <c:v>0.48855748233582297</c:v>
                </c:pt>
                <c:pt idx="18">
                  <c:v>0.55305765500155402</c:v>
                </c:pt>
                <c:pt idx="19">
                  <c:v>0.62194340073631371</c:v>
                </c:pt>
                <c:pt idx="20">
                  <c:v>0.69526178891379797</c:v>
                </c:pt>
                <c:pt idx="21">
                  <c:v>0.77305796975605212</c:v>
                </c:pt>
                <c:pt idx="22">
                  <c:v>0.85537534196154852</c:v>
                </c:pt>
                <c:pt idx="23">
                  <c:v>0.94225569859928071</c:v>
                </c:pt>
                <c:pt idx="24">
                  <c:v>1.0337393549258898</c:v>
                </c:pt>
                <c:pt idx="25">
                  <c:v>1.1298652610381432</c:v>
                </c:pt>
                <c:pt idx="26">
                  <c:v>1.230671101704313</c:v>
                </c:pt>
                <c:pt idx="27">
                  <c:v>1.336193385278178</c:v>
                </c:pt>
                <c:pt idx="28">
                  <c:v>1.4464675232556528</c:v>
                </c:pt>
                <c:pt idx="29">
                  <c:v>1.5615279017625425</c:v>
                </c:pt>
                <c:pt idx="30">
                  <c:v>1.6814079460456104</c:v>
                </c:pt>
                <c:pt idx="31">
                  <c:v>1.8061401788651825</c:v>
                </c:pt>
                <c:pt idx="32">
                  <c:v>1.9357562735465943</c:v>
                </c:pt>
                <c:pt idx="33">
                  <c:v>2.0702871023326974</c:v>
                </c:pt>
                <c:pt idx="34">
                  <c:v>2.2097627805851086</c:v>
                </c:pt>
                <c:pt idx="35">
                  <c:v>2.3542127073036014</c:v>
                </c:pt>
                <c:pt idx="36">
                  <c:v>2.5036656023679065</c:v>
                </c:pt>
                <c:pt idx="37">
                  <c:v>2.6581495408517575</c:v>
                </c:pt>
                <c:pt idx="38">
                  <c:v>2.8176919847130062</c:v>
                </c:pt>
                <c:pt idx="39">
                  <c:v>2.9823198121249805</c:v>
                </c:pt>
                <c:pt idx="40">
                  <c:v>3.152059344681208</c:v>
                </c:pt>
                <c:pt idx="41">
                  <c:v>3.3269363726774923</c:v>
                </c:pt>
                <c:pt idx="42">
                  <c:v>3.5069761786512834</c:v>
                </c:pt>
                <c:pt idx="43">
                  <c:v>3.6922035593374476</c:v>
                </c:pt>
                <c:pt idx="44">
                  <c:v>3.8826428461816467</c:v>
                </c:pt>
                <c:pt idx="45">
                  <c:v>4.0783179245370116</c:v>
                </c:pt>
                <c:pt idx="46">
                  <c:v>4.2792522516562563</c:v>
                </c:pt>
                <c:pt idx="47">
                  <c:v>4.4854688735795651</c:v>
                </c:pt>
                <c:pt idx="48">
                  <c:v>4.6969904410082535</c:v>
                </c:pt>
                <c:pt idx="49">
                  <c:v>4.9138392242451783</c:v>
                </c:pt>
                <c:pt idx="50">
                  <c:v>5.1360371272748058</c:v>
                </c:pt>
                <c:pt idx="51">
                  <c:v>5.3636057010488312</c:v>
                </c:pt>
                <c:pt idx="52">
                  <c:v>5.5965661560369853</c:v>
                </c:pt>
                <c:pt idx="53">
                  <c:v>5.8349393740971678</c:v>
                </c:pt>
                <c:pt idx="54">
                  <c:v>6.0787459197139659</c:v>
                </c:pt>
                <c:pt idx="55">
                  <c:v>6.3280060506504263</c:v>
                </c:pt>
                <c:pt idx="56">
                  <c:v>6.5827397280538182</c:v>
                </c:pt>
                <c:pt idx="57">
                  <c:v>6.8429666260527577</c:v>
                </c:pt>
                <c:pt idx="58">
                  <c:v>7.1087061408797325</c:v>
                </c:pt>
                <c:pt idx="59">
                  <c:v>7.3799773995504694</c:v>
                </c:pt>
                <c:pt idx="60">
                  <c:v>7.6567992681286938</c:v>
                </c:pt>
                <c:pt idx="61">
                  <c:v>7.9391903596028941</c:v>
                </c:pt>
                <c:pt idx="62">
                  <c:v>8.2271690413992165</c:v>
                </c:pt>
                <c:pt idx="63">
                  <c:v>8.5207534425531186</c:v>
                </c:pt>
                <c:pt idx="64">
                  <c:v>8.8199614605603411</c:v>
                </c:pt>
                <c:pt idx="65">
                  <c:v>9.1248107679263892</c:v>
                </c:pt>
                <c:pt idx="66">
                  <c:v>9.43531881843235</c:v>
                </c:pt>
                <c:pt idx="67">
                  <c:v>9.7515028531332799</c:v>
                </c:pt>
                <c:pt idx="68">
                  <c:v>10.073379906104613</c:v>
                </c:pt>
                <c:pt idx="69">
                  <c:v>10.400966809950614</c:v>
                </c:pt>
                <c:pt idx="70">
                  <c:v>10.734280201088094</c:v>
                </c:pt>
                <c:pt idx="71">
                  <c:v>11.073336524817693</c:v>
                </c:pt>
                <c:pt idx="72">
                  <c:v>11.418152040194098</c:v>
                </c:pt>
                <c:pt idx="73">
                  <c:v>11.768742824705871</c:v>
                </c:pt>
                <c:pt idx="74">
                  <c:v>12.12512477877493</c:v>
                </c:pt>
                <c:pt idx="75">
                  <c:v>12.487313630084831</c:v>
                </c:pt>
                <c:pt idx="76">
                  <c:v>12.855324937746779</c:v>
                </c:pt>
                <c:pt idx="77">
                  <c:v>13.229174096311329</c:v>
                </c:pt>
                <c:pt idx="78">
                  <c:v>13.608876339633493</c:v>
                </c:pt>
                <c:pt idx="79">
                  <c:v>13.994446744598545</c:v>
                </c:pt>
                <c:pt idx="80">
                  <c:v>14.385900234715011</c:v>
                </c:pt>
                <c:pt idx="81">
                  <c:v>14.783251583581471</c:v>
                </c:pt>
                <c:pt idx="82">
                  <c:v>15.186515418232865</c:v>
                </c:pt>
                <c:pt idx="83">
                  <c:v>15.595706222372083</c:v>
                </c:pt>
                <c:pt idx="84">
                  <c:v>16.010838339492015</c:v>
                </c:pt>
                <c:pt idx="85">
                  <c:v>16.431925975893108</c:v>
                </c:pt>
                <c:pt idx="86">
                  <c:v>16.858983203601099</c:v>
                </c:pt>
                <c:pt idx="87">
                  <c:v>17.292023963189273</c:v>
                </c:pt>
                <c:pt idx="88">
                  <c:v>17.731062066509619</c:v>
                </c:pt>
                <c:pt idx="89">
                  <c:v>18.176111199336606</c:v>
                </c:pt>
                <c:pt idx="90">
                  <c:v>18.627184923927555</c:v>
                </c:pt>
                <c:pt idx="91">
                  <c:v>19.084296681502916</c:v>
                </c:pt>
                <c:pt idx="92">
                  <c:v>19.547459794649992</c:v>
                </c:pt>
                <c:pt idx="93">
                  <c:v>20.016687469653256</c:v>
                </c:pt>
                <c:pt idx="94">
                  <c:v>20.491992798754097</c:v>
                </c:pt>
                <c:pt idx="95">
                  <c:v>20.973388762343109</c:v>
                </c:pt>
                <c:pt idx="96">
                  <c:v>21.460888231087466</c:v>
                </c:pt>
                <c:pt idx="97">
                  <c:v>21.954503967996043</c:v>
                </c:pt>
                <c:pt idx="98">
                  <c:v>22.454248630424654</c:v>
                </c:pt>
                <c:pt idx="99">
                  <c:v>22.960134772023835</c:v>
                </c:pt>
                <c:pt idx="100">
                  <c:v>23.472174844631255</c:v>
                </c:pt>
                <c:pt idx="101">
                  <c:v>23.990381200111088</c:v>
                </c:pt>
                <c:pt idx="102">
                  <c:v>24.514766092142057</c:v>
                </c:pt>
                <c:pt idx="103">
                  <c:v>25.045341677956291</c:v>
                </c:pt>
                <c:pt idx="104">
                  <c:v>25.582120020030743</c:v>
                </c:pt>
                <c:pt idx="105">
                  <c:v>26.125113087732892</c:v>
                </c:pt>
                <c:pt idx="106">
                  <c:v>26.674332758922443</c:v>
                </c:pt>
                <c:pt idx="107">
                  <c:v>27.229790821510512</c:v>
                </c:pt>
                <c:pt idx="108">
                  <c:v>27.791498974977909</c:v>
                </c:pt>
                <c:pt idx="109">
                  <c:v>28.35946883185396</c:v>
                </c:pt>
                <c:pt idx="110">
                  <c:v>28.93371191915714</c:v>
                </c:pt>
                <c:pt idx="111">
                  <c:v>29.51423967979893</c:v>
                </c:pt>
                <c:pt idx="112">
                  <c:v>30.101063473952209</c:v>
                </c:pt>
                <c:pt idx="113">
                  <c:v>30.694194580385251</c:v>
                </c:pt>
                <c:pt idx="114">
                  <c:v>31.293644197762617</c:v>
                </c:pt>
                <c:pt idx="115">
                  <c:v>31.899423445913904</c:v>
                </c:pt>
                <c:pt idx="116">
                  <c:v>32.511543367071631</c:v>
                </c:pt>
                <c:pt idx="117">
                  <c:v>33.130014927079074</c:v>
                </c:pt>
                <c:pt idx="118">
                  <c:v>33.754849016569096</c:v>
                </c:pt>
                <c:pt idx="119">
                  <c:v>34.386056452114907</c:v>
                </c:pt>
                <c:pt idx="120">
                  <c:v>35.023647977353818</c:v>
                </c:pt>
                <c:pt idx="121">
                  <c:v>35.667634264084427</c:v>
                </c:pt>
                <c:pt idx="122">
                  <c:v>36.318025913338616</c:v>
                </c:pt>
                <c:pt idx="123">
                  <c:v>36.974833456428613</c:v>
                </c:pt>
                <c:pt idx="124">
                  <c:v>37.638067355970414</c:v>
                </c:pt>
                <c:pt idx="125">
                  <c:v>38.307738006883802</c:v>
                </c:pt>
                <c:pt idx="126">
                  <c:v>38.98385573737</c:v>
                </c:pt>
                <c:pt idx="127">
                  <c:v>39.666430809867499</c:v>
                </c:pt>
                <c:pt idx="128">
                  <c:v>40.355473421986915</c:v>
                </c:pt>
                <c:pt idx="129">
                  <c:v>41.050993707425015</c:v>
                </c:pt>
                <c:pt idx="130">
                  <c:v>41.753001736859147</c:v>
                </c:pt>
                <c:pt idx="131">
                  <c:v>42.461507518822224</c:v>
                </c:pt>
                <c:pt idx="132">
                  <c:v>43.176521000558985</c:v>
                </c:pt>
                <c:pt idx="133">
                  <c:v>43.898052068863883</c:v>
                </c:pt>
                <c:pt idx="134">
                  <c:v>44.626110550901664</c:v>
                </c:pt>
                <c:pt idx="135">
                  <c:v>45.360706215010367</c:v>
                </c:pt>
                <c:pt idx="136">
                  <c:v>46.101848771487823</c:v>
                </c:pt>
                <c:pt idx="137">
                  <c:v>46.849547873361793</c:v>
                </c:pt>
                <c:pt idx="138">
                  <c:v>47.603813117144547</c:v>
                </c:pt>
                <c:pt idx="139">
                  <c:v>48.364654043571804</c:v>
                </c:pt>
                <c:pt idx="140">
                  <c:v>49.132080138327012</c:v>
                </c:pt>
                <c:pt idx="141">
                  <c:v>49.906100832750852</c:v>
                </c:pt>
                <c:pt idx="142">
                  <c:v>50.686725504536888</c:v>
                </c:pt>
                <c:pt idx="143">
                  <c:v>51.473963478413239</c:v>
                </c:pt>
                <c:pt idx="144">
                  <c:v>52.26782402681097</c:v>
                </c:pt>
                <c:pt idx="145">
                  <c:v>53.068316370519483</c:v>
                </c:pt>
                <c:pt idx="146">
                  <c:v>53.875449679329101</c:v>
                </c:pt>
                <c:pt idx="147">
                  <c:v>54.689233072661452</c:v>
                </c:pt>
                <c:pt idx="148">
                  <c:v>55.509675620187714</c:v>
                </c:pt>
                <c:pt idx="149">
                  <c:v>56.33678634243509</c:v>
                </c:pt>
                <c:pt idx="150">
                  <c:v>57.170574211382053</c:v>
                </c:pt>
                <c:pt idx="151">
                  <c:v>58.011048151042282</c:v>
                </c:pt>
                <c:pt idx="152">
                  <c:v>58.858217038037694</c:v>
                </c:pt>
                <c:pt idx="153">
                  <c:v>59.712089702161116</c:v>
                </c:pt>
                <c:pt idx="154">
                  <c:v>60.572674926928521</c:v>
                </c:pt>
                <c:pt idx="155">
                  <c:v>61.439981450121053</c:v>
                </c:pt>
                <c:pt idx="156">
                  <c:v>62.314017964317536</c:v>
                </c:pt>
                <c:pt idx="157">
                  <c:v>63.194793117417063</c:v>
                </c:pt>
                <c:pt idx="158">
                  <c:v>64.082315513152594</c:v>
                </c:pt>
                <c:pt idx="159">
                  <c:v>64.976593711595171</c:v>
                </c:pt>
                <c:pt idx="160">
                  <c:v>65.877636229649369</c:v>
                </c:pt>
                <c:pt idx="161">
                  <c:v>66.785451541539942</c:v>
                </c:pt>
                <c:pt idx="162">
                  <c:v>67.700048079290099</c:v>
                </c:pt>
                <c:pt idx="163">
                  <c:v>68.621434233191451</c:v>
                </c:pt>
                <c:pt idx="164">
                  <c:v>69.549618352265867</c:v>
                </c:pt>
                <c:pt idx="165">
                  <c:v>70.484608744719381</c:v>
                </c:pt>
                <c:pt idx="166">
                  <c:v>71.426413678388528</c:v>
                </c:pt>
                <c:pt idx="167">
                  <c:v>72.375041381178903</c:v>
                </c:pt>
                <c:pt idx="168">
                  <c:v>73.330500041496634</c:v>
                </c:pt>
                <c:pt idx="169">
                  <c:v>74.292797808672333</c:v>
                </c:pt>
                <c:pt idx="170">
                  <c:v>75.261942793378282</c:v>
                </c:pt>
                <c:pt idx="171">
                  <c:v>76.237943068038575</c:v>
                </c:pt>
                <c:pt idx="172">
                  <c:v>77.220806667232623</c:v>
                </c:pt>
                <c:pt idx="173">
                  <c:v>78.210541588091928</c:v>
                </c:pt>
                <c:pt idx="174">
                  <c:v>79.207155790690621</c:v>
                </c:pt>
                <c:pt idx="175">
                  <c:v>80.210657198429587</c:v>
                </c:pt>
                <c:pt idx="176">
                  <c:v>81.221053698414451</c:v>
                </c:pt>
                <c:pt idx="177">
                  <c:v>82.238353141827488</c:v>
                </c:pt>
                <c:pt idx="178">
                  <c:v>83.262563344293781</c:v>
                </c:pt>
                <c:pt idx="179">
                  <c:v>84.29369208624135</c:v>
                </c:pt>
                <c:pt idx="180">
                  <c:v>85.331747113256029</c:v>
                </c:pt>
                <c:pt idx="181">
                  <c:v>86.37673613643031</c:v>
                </c:pt>
                <c:pt idx="182">
                  <c:v>87.428666832707336</c:v>
                </c:pt>
                <c:pt idx="183">
                  <c:v>88.4875468452191</c:v>
                </c:pt>
                <c:pt idx="184">
                  <c:v>89.553383783619751</c:v>
                </c:pt>
                <c:pt idx="185">
                  <c:v>90.626185224413717</c:v>
                </c:pt>
                <c:pt idx="186">
                  <c:v>91.705958711278853</c:v>
                </c:pt>
                <c:pt idx="187">
                  <c:v>92.792711755384801</c:v>
                </c:pt>
                <c:pt idx="188">
                  <c:v>93.886451835706382</c:v>
                </c:pt>
                <c:pt idx="189">
                  <c:v>94.987186399332529</c:v>
                </c:pt>
                <c:pt idx="190">
                  <c:v>96.094922861770499</c:v>
                </c:pt>
                <c:pt idx="191">
                  <c:v>97.209668607245689</c:v>
                </c:pt>
                <c:pt idx="192">
                  <c:v>98.3314309889969</c:v>
                </c:pt>
                <c:pt idx="193">
                  <c:v>99.460217329567399</c:v>
                </c:pt>
                <c:pt idx="194">
                  <c:v>100.59603492109183</c:v>
                </c:pt>
                <c:pt idx="195">
                  <c:v>101.73889102557881</c:v>
                </c:pt>
                <c:pt idx="196">
                  <c:v>102.88879287518944</c:v>
                </c:pt>
                <c:pt idx="197">
                  <c:v>104.04574767251204</c:v>
                </c:pt>
                <c:pt idx="198">
                  <c:v>105.2097625908328</c:v>
                </c:pt>
                <c:pt idx="199">
                  <c:v>106.38084477440268</c:v>
                </c:pt>
                <c:pt idx="200">
                  <c:v>107.55900133870047</c:v>
                </c:pt>
                <c:pt idx="201">
                  <c:v>108.74423937069218</c:v>
                </c:pt>
                <c:pt idx="202">
                  <c:v>109.93656592908698</c:v>
                </c:pt>
                <c:pt idx="203">
                  <c:v>111.13598804458921</c:v>
                </c:pt>
                <c:pt idx="204">
                  <c:v>112.34251272014737</c:v>
                </c:pt>
                <c:pt idx="205">
                  <c:v>113.55614693119921</c:v>
                </c:pt>
                <c:pt idx="206">
                  <c:v>114.77689762591397</c:v>
                </c:pt>
                <c:pt idx="207">
                  <c:v>116.00477172543088</c:v>
                </c:pt>
                <c:pt idx="208">
                  <c:v>117.2397761240947</c:v>
                </c:pt>
                <c:pt idx="209">
                  <c:v>118.48191768968795</c:v>
                </c:pt>
                <c:pt idx="210">
                  <c:v>119.73120326366005</c:v>
                </c:pt>
                <c:pt idx="211">
                  <c:v>120.98763966135353</c:v>
                </c:pt>
                <c:pt idx="212">
                  <c:v>122.25123367222696</c:v>
                </c:pt>
                <c:pt idx="213">
                  <c:v>123.52199206007519</c:v>
                </c:pt>
                <c:pt idx="214">
                  <c:v>124.7999215632466</c:v>
                </c:pt>
                <c:pt idx="215">
                  <c:v>126.08502889485742</c:v>
                </c:pt>
                <c:pt idx="216">
                  <c:v>127.37732074300344</c:v>
                </c:pt>
                <c:pt idx="217">
                  <c:v>128.67680377096872</c:v>
                </c:pt>
                <c:pt idx="218">
                  <c:v>129.98348461743188</c:v>
                </c:pt>
                <c:pt idx="219">
                  <c:v>131.29736989666947</c:v>
                </c:pt>
                <c:pt idx="220">
                  <c:v>132.61846619875706</c:v>
                </c:pt>
                <c:pt idx="221">
                  <c:v>133.9467800897672</c:v>
                </c:pt>
                <c:pt idx="222">
                  <c:v>135.28231811196565</c:v>
                </c:pt>
                <c:pt idx="223">
                  <c:v>136.62508678400454</c:v>
                </c:pt>
                <c:pt idx="224">
                  <c:v>137.9750926011132</c:v>
                </c:pt>
                <c:pt idx="225">
                  <c:v>139.33234203528679</c:v>
                </c:pt>
                <c:pt idx="226">
                  <c:v>140.69684153547252</c:v>
                </c:pt>
                <c:pt idx="227">
                  <c:v>142.06859752775333</c:v>
                </c:pt>
                <c:pt idx="228">
                  <c:v>143.44761641552955</c:v>
                </c:pt>
                <c:pt idx="229">
                  <c:v>144.83390457969838</c:v>
                </c:pt>
                <c:pt idx="230">
                  <c:v>146.22746837883093</c:v>
                </c:pt>
                <c:pt idx="231">
                  <c:v>147.62831414934718</c:v>
                </c:pt>
                <c:pt idx="232">
                  <c:v>149.03644820568891</c:v>
                </c:pt>
                <c:pt idx="233">
                  <c:v>150.4518768404906</c:v>
                </c:pt>
                <c:pt idx="234">
                  <c:v>151.8746063247479</c:v>
                </c:pt>
                <c:pt idx="235">
                  <c:v>153.3046429079846</c:v>
                </c:pt>
                <c:pt idx="236">
                  <c:v>154.741992818417</c:v>
                </c:pt>
                <c:pt idx="237">
                  <c:v>156.18666226311723</c:v>
                </c:pt>
                <c:pt idx="238">
                  <c:v>157.63865742817342</c:v>
                </c:pt>
                <c:pt idx="239">
                  <c:v>159.09798447884924</c:v>
                </c:pt>
                <c:pt idx="240">
                  <c:v>160.5646495597405</c:v>
                </c:pt>
                <c:pt idx="241">
                  <c:v>162.03865879493065</c:v>
                </c:pt>
                <c:pt idx="242">
                  <c:v>163.52001828814423</c:v>
                </c:pt>
                <c:pt idx="243">
                  <c:v>165.00873412289835</c:v>
                </c:pt>
                <c:pt idx="244">
                  <c:v>166.50481236265261</c:v>
                </c:pt>
                <c:pt idx="245">
                  <c:v>168.00825905095763</c:v>
                </c:pt>
                <c:pt idx="246">
                  <c:v>169.51908021160096</c:v>
                </c:pt>
                <c:pt idx="247">
                  <c:v>171.03728184875246</c:v>
                </c:pt>
                <c:pt idx="248">
                  <c:v>172.56286994710698</c:v>
                </c:pt>
                <c:pt idx="249">
                  <c:v>174.09585047202631</c:v>
                </c:pt>
                <c:pt idx="250">
                  <c:v>175.63622936967897</c:v>
                </c:pt>
                <c:pt idx="251">
                  <c:v>177.18401256717857</c:v>
                </c:pt>
                <c:pt idx="252">
                  <c:v>178.73920597272055</c:v>
                </c:pt>
                <c:pt idx="253">
                  <c:v>180.30181547571792</c:v>
                </c:pt>
                <c:pt idx="254">
                  <c:v>181.87184694693454</c:v>
                </c:pt>
                <c:pt idx="255">
                  <c:v>183.06072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2-4A4A-9EAB-3E67894BB994}"/>
            </c:ext>
          </c:extLst>
        </c:ser>
        <c:ser>
          <c:idx val="1"/>
          <c:order val="1"/>
          <c:tx>
            <c:strRef>
              <c:f>'Gamma 2.2 5400K-長'!$D$16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2.2 5400K-長'!$B$17:$B$272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5400K-長'!$D$17:$D$272</c:f>
              <c:numCache>
                <c:formatCode>0.00_ </c:formatCode>
                <c:ptCount val="256"/>
                <c:pt idx="0">
                  <c:v>4.7166431846679349E-5</c:v>
                </c:pt>
                <c:pt idx="1">
                  <c:v>1.6750480460705954E-3</c:v>
                </c:pt>
                <c:pt idx="2">
                  <c:v>6.123830663833511E-3</c:v>
                </c:pt>
                <c:pt idx="3">
                  <c:v>1.3768973331539086E-2</c:v>
                </c:pt>
                <c:pt idx="4">
                  <c:v>2.4859805979174778E-2</c:v>
                </c:pt>
                <c:pt idx="5">
                  <c:v>3.9588429785791558E-2</c:v>
                </c:pt>
                <c:pt idx="6">
                  <c:v>5.8113003025712179E-2</c:v>
                </c:pt>
                <c:pt idx="7">
                  <c:v>8.0568893478549869E-2</c:v>
                </c:pt>
                <c:pt idx="8">
                  <c:v>0.10707497949919959</c:v>
                </c:pt>
                <c:pt idx="9">
                  <c:v>0.13773759071485547</c:v>
                </c:pt>
                <c:pt idx="10">
                  <c:v>0.17265315068057505</c:v>
                </c:pt>
                <c:pt idx="11">
                  <c:v>0.21191004222528761</c:v>
                </c:pt>
                <c:pt idx="12">
                  <c:v>0.25558997696345898</c:v>
                </c:pt>
                <c:pt idx="13">
                  <c:v>0.30376903266308347</c:v>
                </c:pt>
                <c:pt idx="14">
                  <c:v>0.35651845924955883</c:v>
                </c:pt>
                <c:pt idx="15">
                  <c:v>0.41390531840328748</c:v>
                </c:pt>
                <c:pt idx="16">
                  <c:v>0.47599300022979135</c:v>
                </c:pt>
                <c:pt idx="17">
                  <c:v>0.54284164703980331</c:v>
                </c:pt>
                <c:pt idx="18">
                  <c:v>0.6145085055572822</c:v>
                </c:pt>
                <c:pt idx="19">
                  <c:v>0.69104822304034852</c:v>
                </c:pt>
                <c:pt idx="20">
                  <c:v>0.77251309879310881</c:v>
                </c:pt>
                <c:pt idx="21">
                  <c:v>0.85895329972894685</c:v>
                </c:pt>
                <c:pt idx="22">
                  <c:v>0.95041704662394277</c:v>
                </c:pt>
                <c:pt idx="23">
                  <c:v>1.046950776221423</c:v>
                </c:pt>
                <c:pt idx="24">
                  <c:v>1.1485992832509886</c:v>
                </c:pt>
                <c:pt idx="25">
                  <c:v>1.2554058455979369</c:v>
                </c:pt>
                <c:pt idx="26">
                  <c:v>1.3674123352270144</c:v>
                </c:pt>
                <c:pt idx="27">
                  <c:v>1.4846593169757534</c:v>
                </c:pt>
                <c:pt idx="28">
                  <c:v>1.6071861369507254</c:v>
                </c:pt>
                <c:pt idx="29">
                  <c:v>1.7350310019583806</c:v>
                </c:pt>
                <c:pt idx="30">
                  <c:v>1.8682310511617894</c:v>
                </c:pt>
                <c:pt idx="31">
                  <c:v>2.0068224209613139</c:v>
                </c:pt>
                <c:pt idx="32">
                  <c:v>2.1508403039406603</c:v>
                </c:pt>
                <c:pt idx="33">
                  <c:v>2.3003190025918858</c:v>
                </c:pt>
                <c:pt idx="34">
                  <c:v>2.4552919784278986</c:v>
                </c:pt>
                <c:pt idx="35">
                  <c:v>2.6157918970040015</c:v>
                </c:pt>
                <c:pt idx="36">
                  <c:v>2.7818506692976741</c:v>
                </c:pt>
                <c:pt idx="37">
                  <c:v>2.953499489835286</c:v>
                </c:pt>
                <c:pt idx="38">
                  <c:v>3.1307688719033404</c:v>
                </c:pt>
                <c:pt idx="39">
                  <c:v>3.3136886801388674</c:v>
                </c:pt>
                <c:pt idx="40">
                  <c:v>3.5022881607568976</c:v>
                </c:pt>
                <c:pt idx="41">
                  <c:v>3.6965959696416579</c:v>
                </c:pt>
                <c:pt idx="42">
                  <c:v>3.8966401985014261</c:v>
                </c:pt>
                <c:pt idx="43">
                  <c:v>4.1024483992638308</c:v>
                </c:pt>
                <c:pt idx="44">
                  <c:v>4.3140476068684963</c:v>
                </c:pt>
                <c:pt idx="45">
                  <c:v>4.5314643605966793</c:v>
                </c:pt>
                <c:pt idx="46">
                  <c:v>4.7547247240625072</c:v>
                </c:pt>
                <c:pt idx="47">
                  <c:v>4.9838543039772949</c:v>
                </c:pt>
                <c:pt idx="48">
                  <c:v>5.2188782677869483</c:v>
                </c:pt>
                <c:pt idx="49">
                  <c:v>5.4598213602724206</c:v>
                </c:pt>
                <c:pt idx="50">
                  <c:v>5.7067079191942289</c:v>
                </c:pt>
                <c:pt idx="51">
                  <c:v>5.9595618900542568</c:v>
                </c:pt>
                <c:pt idx="52">
                  <c:v>6.2184068400410952</c:v>
                </c:pt>
                <c:pt idx="53">
                  <c:v>6.4832659712190752</c:v>
                </c:pt>
                <c:pt idx="54">
                  <c:v>6.7541621330155177</c:v>
                </c:pt>
                <c:pt idx="55">
                  <c:v>7.0311178340560296</c:v>
                </c:pt>
                <c:pt idx="56">
                  <c:v>7.3141552533931309</c:v>
                </c:pt>
                <c:pt idx="57">
                  <c:v>7.6032962511697306</c:v>
                </c:pt>
                <c:pt idx="58">
                  <c:v>7.8985623787552584</c:v>
                </c:pt>
                <c:pt idx="59">
                  <c:v>8.199974888389411</c:v>
                </c:pt>
                <c:pt idx="60">
                  <c:v>8.5075547423652154</c:v>
                </c:pt>
                <c:pt idx="61">
                  <c:v>8.8213226217809932</c:v>
                </c:pt>
                <c:pt idx="62">
                  <c:v>9.1412989348880185</c:v>
                </c:pt>
                <c:pt idx="63">
                  <c:v>9.4675038250590209</c:v>
                </c:pt>
                <c:pt idx="64">
                  <c:v>9.7999571784003798</c:v>
                </c:pt>
                <c:pt idx="65">
                  <c:v>10.138678631029322</c:v>
                </c:pt>
                <c:pt idx="66">
                  <c:v>10.483687576035944</c:v>
                </c:pt>
                <c:pt idx="67">
                  <c:v>10.835003170148088</c:v>
                </c:pt>
                <c:pt idx="68">
                  <c:v>11.192644340116237</c:v>
                </c:pt>
                <c:pt idx="69">
                  <c:v>11.556629788834014</c:v>
                </c:pt>
                <c:pt idx="70">
                  <c:v>11.926978001208994</c:v>
                </c:pt>
                <c:pt idx="71">
                  <c:v>12.303707249797437</c:v>
                </c:pt>
                <c:pt idx="72">
                  <c:v>12.686835600215664</c:v>
                </c:pt>
                <c:pt idx="73">
                  <c:v>13.076380916339858</c:v>
                </c:pt>
                <c:pt idx="74">
                  <c:v>13.472360865305479</c:v>
                </c:pt>
                <c:pt idx="75">
                  <c:v>13.874792922316479</c:v>
                </c:pt>
                <c:pt idx="76">
                  <c:v>14.2836943752742</c:v>
                </c:pt>
                <c:pt idx="77">
                  <c:v>14.699082329234811</c:v>
                </c:pt>
                <c:pt idx="78">
                  <c:v>15.120973710703883</c:v>
                </c:pt>
                <c:pt idx="79">
                  <c:v>15.549385271776162</c:v>
                </c:pt>
                <c:pt idx="80">
                  <c:v>15.98433359412779</c:v>
                </c:pt>
                <c:pt idx="81">
                  <c:v>16.425835092868301</c:v>
                </c:pt>
                <c:pt idx="82">
                  <c:v>16.87390602025874</c:v>
                </c:pt>
                <c:pt idx="83">
                  <c:v>17.328562469302316</c:v>
                </c:pt>
                <c:pt idx="84">
                  <c:v>17.789820377213349</c:v>
                </c:pt>
                <c:pt idx="85">
                  <c:v>18.257695528770121</c:v>
                </c:pt>
                <c:pt idx="86">
                  <c:v>18.732203559556776</c:v>
                </c:pt>
                <c:pt idx="87">
                  <c:v>19.21335995909919</c:v>
                </c:pt>
                <c:pt idx="88">
                  <c:v>19.701180073899575</c:v>
                </c:pt>
                <c:pt idx="89">
                  <c:v>20.195679110374009</c:v>
                </c:pt>
                <c:pt idx="90">
                  <c:v>20.696872137697284</c:v>
                </c:pt>
                <c:pt idx="91">
                  <c:v>21.204774090558796</c:v>
                </c:pt>
                <c:pt idx="92">
                  <c:v>21.719399771833324</c:v>
                </c:pt>
                <c:pt idx="93">
                  <c:v>22.240763855170282</c:v>
                </c:pt>
                <c:pt idx="94">
                  <c:v>22.768880887504551</c:v>
                </c:pt>
                <c:pt idx="95">
                  <c:v>23.303765291492343</c:v>
                </c:pt>
                <c:pt idx="96">
                  <c:v>23.845431367874962</c:v>
                </c:pt>
                <c:pt idx="97">
                  <c:v>24.393893297773381</c:v>
                </c:pt>
                <c:pt idx="98">
                  <c:v>24.949165144916282</c:v>
                </c:pt>
                <c:pt idx="99">
                  <c:v>25.51126085780426</c:v>
                </c:pt>
                <c:pt idx="100">
                  <c:v>26.080194271812505</c:v>
                </c:pt>
                <c:pt idx="101">
                  <c:v>26.65597911123454</c:v>
                </c:pt>
                <c:pt idx="102">
                  <c:v>27.238628991268953</c:v>
                </c:pt>
                <c:pt idx="103">
                  <c:v>27.828157419951435</c:v>
                </c:pt>
                <c:pt idx="104">
                  <c:v>28.424577800034161</c:v>
                </c:pt>
                <c:pt idx="105">
                  <c:v>29.027903430814323</c:v>
                </c:pt>
                <c:pt idx="106">
                  <c:v>29.638147509913825</c:v>
                </c:pt>
                <c:pt idx="107">
                  <c:v>30.255323135011679</c:v>
                </c:pt>
                <c:pt idx="108">
                  <c:v>30.879443305531009</c:v>
                </c:pt>
                <c:pt idx="109">
                  <c:v>31.510520924282179</c:v>
                </c:pt>
                <c:pt idx="110">
                  <c:v>32.14856879906349</c:v>
                </c:pt>
                <c:pt idx="111">
                  <c:v>32.793599644221032</c:v>
                </c:pt>
                <c:pt idx="112">
                  <c:v>33.44562608216912</c:v>
                </c:pt>
                <c:pt idx="113">
                  <c:v>34.104660644872503</c:v>
                </c:pt>
                <c:pt idx="114">
                  <c:v>34.770715775291798</c:v>
                </c:pt>
                <c:pt idx="115">
                  <c:v>35.443803828793229</c:v>
                </c:pt>
                <c:pt idx="116">
                  <c:v>36.123937074524036</c:v>
                </c:pt>
                <c:pt idx="117">
                  <c:v>36.811127696754525</c:v>
                </c:pt>
                <c:pt idx="118">
                  <c:v>37.505387796187883</c:v>
                </c:pt>
                <c:pt idx="119">
                  <c:v>38.206729391238788</c:v>
                </c:pt>
                <c:pt idx="120">
                  <c:v>38.915164419282021</c:v>
                </c:pt>
                <c:pt idx="121">
                  <c:v>39.630704737871589</c:v>
                </c:pt>
                <c:pt idx="122">
                  <c:v>40.353362125931795</c:v>
                </c:pt>
                <c:pt idx="123">
                  <c:v>41.083148284920682</c:v>
                </c:pt>
                <c:pt idx="124">
                  <c:v>41.820074839967127</c:v>
                </c:pt>
                <c:pt idx="125">
                  <c:v>42.564153340982003</c:v>
                </c:pt>
                <c:pt idx="126">
                  <c:v>43.315395263744442</c:v>
                </c:pt>
                <c:pt idx="127">
                  <c:v>44.073812010963891</c:v>
                </c:pt>
                <c:pt idx="128">
                  <c:v>44.839414913318791</c:v>
                </c:pt>
                <c:pt idx="129">
                  <c:v>45.612215230472238</c:v>
                </c:pt>
                <c:pt idx="130">
                  <c:v>46.392224152065722</c:v>
                </c:pt>
                <c:pt idx="131">
                  <c:v>47.179452798691358</c:v>
                </c:pt>
                <c:pt idx="132">
                  <c:v>47.973912222843317</c:v>
                </c:pt>
                <c:pt idx="133">
                  <c:v>48.775613409848759</c:v>
                </c:pt>
                <c:pt idx="134">
                  <c:v>49.58456727877963</c:v>
                </c:pt>
                <c:pt idx="135">
                  <c:v>50.400784683344853</c:v>
                </c:pt>
                <c:pt idx="136">
                  <c:v>51.224276412764247</c:v>
                </c:pt>
                <c:pt idx="137">
                  <c:v>52.055053192624214</c:v>
                </c:pt>
                <c:pt idx="138">
                  <c:v>52.893125685716164</c:v>
                </c:pt>
                <c:pt idx="139">
                  <c:v>53.738504492857558</c:v>
                </c:pt>
                <c:pt idx="140">
                  <c:v>54.591200153696683</c:v>
                </c:pt>
                <c:pt idx="141">
                  <c:v>55.451223147500947</c:v>
                </c:pt>
                <c:pt idx="142">
                  <c:v>56.318583893929876</c:v>
                </c:pt>
                <c:pt idx="143">
                  <c:v>57.193292753792484</c:v>
                </c:pt>
                <c:pt idx="144">
                  <c:v>58.075360029789969</c:v>
                </c:pt>
                <c:pt idx="145">
                  <c:v>58.964795967243866</c:v>
                </c:pt>
                <c:pt idx="146">
                  <c:v>59.861610754810116</c:v>
                </c:pt>
                <c:pt idx="147">
                  <c:v>60.765814525179394</c:v>
                </c:pt>
                <c:pt idx="148">
                  <c:v>61.677417355764128</c:v>
                </c:pt>
                <c:pt idx="149">
                  <c:v>62.596429269372322</c:v>
                </c:pt>
                <c:pt idx="150">
                  <c:v>63.522860234868951</c:v>
                </c:pt>
                <c:pt idx="151">
                  <c:v>64.456720167824756</c:v>
                </c:pt>
                <c:pt idx="152">
                  <c:v>65.39801893115299</c:v>
                </c:pt>
                <c:pt idx="153">
                  <c:v>66.346766335734571</c:v>
                </c:pt>
                <c:pt idx="154">
                  <c:v>67.302972141031688</c:v>
                </c:pt>
                <c:pt idx="155">
                  <c:v>68.26664605569006</c:v>
                </c:pt>
                <c:pt idx="156">
                  <c:v>69.237797738130595</c:v>
                </c:pt>
                <c:pt idx="157">
                  <c:v>70.216436797130072</c:v>
                </c:pt>
                <c:pt idx="158">
                  <c:v>71.202572792391763</c:v>
                </c:pt>
                <c:pt idx="159">
                  <c:v>72.196215235105754</c:v>
                </c:pt>
                <c:pt idx="160">
                  <c:v>73.197373588499303</c:v>
                </c:pt>
                <c:pt idx="161">
                  <c:v>74.20605726837772</c:v>
                </c:pt>
                <c:pt idx="162">
                  <c:v>75.222275643655664</c:v>
                </c:pt>
                <c:pt idx="163">
                  <c:v>76.246038036879384</c:v>
                </c:pt>
                <c:pt idx="164">
                  <c:v>77.277353724739854</c:v>
                </c:pt>
                <c:pt idx="165">
                  <c:v>78.31623193857709</c:v>
                </c:pt>
                <c:pt idx="166">
                  <c:v>79.362681864876137</c:v>
                </c:pt>
                <c:pt idx="167">
                  <c:v>80.416712645754345</c:v>
                </c:pt>
                <c:pt idx="168">
                  <c:v>81.478333379440713</c:v>
                </c:pt>
                <c:pt idx="169">
                  <c:v>82.54755312074704</c:v>
                </c:pt>
                <c:pt idx="170">
                  <c:v>83.624380881531422</c:v>
                </c:pt>
                <c:pt idx="171">
                  <c:v>84.708825631153971</c:v>
                </c:pt>
                <c:pt idx="172">
                  <c:v>85.800896296925131</c:v>
                </c:pt>
                <c:pt idx="173">
                  <c:v>86.900601764546579</c:v>
                </c:pt>
                <c:pt idx="174">
                  <c:v>88.007950878545131</c:v>
                </c:pt>
                <c:pt idx="175">
                  <c:v>89.122952442699543</c:v>
                </c:pt>
                <c:pt idx="176">
                  <c:v>90.245615220460508</c:v>
                </c:pt>
                <c:pt idx="177">
                  <c:v>91.375947935363882</c:v>
                </c:pt>
                <c:pt idx="178">
                  <c:v>92.513959271437528</c:v>
                </c:pt>
                <c:pt idx="179">
                  <c:v>93.659657873601503</c:v>
                </c:pt>
                <c:pt idx="180">
                  <c:v>94.813052348062257</c:v>
                </c:pt>
                <c:pt idx="181">
                  <c:v>95.974151262700346</c:v>
                </c:pt>
                <c:pt idx="182">
                  <c:v>97.142963147452605</c:v>
                </c:pt>
                <c:pt idx="183">
                  <c:v>98.319496494687897</c:v>
                </c:pt>
                <c:pt idx="184">
                  <c:v>99.503759759577505</c:v>
                </c:pt>
                <c:pt idx="185">
                  <c:v>100.69576136045968</c:v>
                </c:pt>
                <c:pt idx="186">
                  <c:v>101.89550967919872</c:v>
                </c:pt>
                <c:pt idx="187">
                  <c:v>103.10301306153866</c:v>
                </c:pt>
                <c:pt idx="188">
                  <c:v>104.31827981745154</c:v>
                </c:pt>
                <c:pt idx="189">
                  <c:v>105.54131822148059</c:v>
                </c:pt>
                <c:pt idx="190">
                  <c:v>106.77213651307834</c:v>
                </c:pt>
                <c:pt idx="191">
                  <c:v>108.01074289693966</c:v>
                </c:pt>
                <c:pt idx="192">
                  <c:v>109.25714554332988</c:v>
                </c:pt>
                <c:pt idx="193">
                  <c:v>110.51135258840823</c:v>
                </c:pt>
                <c:pt idx="194">
                  <c:v>111.77337213454648</c:v>
                </c:pt>
                <c:pt idx="195">
                  <c:v>113.04321225064312</c:v>
                </c:pt>
                <c:pt idx="196">
                  <c:v>114.32088097243272</c:v>
                </c:pt>
                <c:pt idx="197">
                  <c:v>115.60638630279115</c:v>
                </c:pt>
                <c:pt idx="198">
                  <c:v>116.89973621203644</c:v>
                </c:pt>
                <c:pt idx="199">
                  <c:v>118.2009386382252</c:v>
                </c:pt>
                <c:pt idx="200">
                  <c:v>119.51000148744497</c:v>
                </c:pt>
                <c:pt idx="201">
                  <c:v>120.82693263410243</c:v>
                </c:pt>
                <c:pt idx="202">
                  <c:v>122.15173992120775</c:v>
                </c:pt>
                <c:pt idx="203">
                  <c:v>123.48443116065468</c:v>
                </c:pt>
                <c:pt idx="204">
                  <c:v>124.82501413349708</c:v>
                </c:pt>
                <c:pt idx="205">
                  <c:v>126.17349659022135</c:v>
                </c:pt>
                <c:pt idx="206">
                  <c:v>127.52988625101553</c:v>
                </c:pt>
                <c:pt idx="207">
                  <c:v>128.89419080603432</c:v>
                </c:pt>
                <c:pt idx="208">
                  <c:v>130.26641791566078</c:v>
                </c:pt>
                <c:pt idx="209">
                  <c:v>131.64657521076438</c:v>
                </c:pt>
                <c:pt idx="210">
                  <c:v>133.03467029295561</c:v>
                </c:pt>
                <c:pt idx="211">
                  <c:v>134.43071073483725</c:v>
                </c:pt>
                <c:pt idx="212">
                  <c:v>135.83470408025218</c:v>
                </c:pt>
                <c:pt idx="213">
                  <c:v>137.24665784452799</c:v>
                </c:pt>
                <c:pt idx="214">
                  <c:v>138.66657951471845</c:v>
                </c:pt>
                <c:pt idx="215">
                  <c:v>140.09447654984157</c:v>
                </c:pt>
                <c:pt idx="216">
                  <c:v>141.53035638111493</c:v>
                </c:pt>
                <c:pt idx="217">
                  <c:v>142.97422641218748</c:v>
                </c:pt>
                <c:pt idx="218">
                  <c:v>144.42609401936875</c:v>
                </c:pt>
                <c:pt idx="219">
                  <c:v>145.88596655185498</c:v>
                </c:pt>
                <c:pt idx="220">
                  <c:v>147.35385133195228</c:v>
                </c:pt>
                <c:pt idx="221">
                  <c:v>148.82975565529688</c:v>
                </c:pt>
                <c:pt idx="222">
                  <c:v>150.31368679107294</c:v>
                </c:pt>
                <c:pt idx="223">
                  <c:v>151.80565198222726</c:v>
                </c:pt>
                <c:pt idx="224">
                  <c:v>153.30565844568133</c:v>
                </c:pt>
                <c:pt idx="225">
                  <c:v>154.81371337254089</c:v>
                </c:pt>
                <c:pt idx="226">
                  <c:v>156.3298239283028</c:v>
                </c:pt>
                <c:pt idx="227">
                  <c:v>157.85399725305925</c:v>
                </c:pt>
                <c:pt idx="228">
                  <c:v>159.38624046169951</c:v>
                </c:pt>
                <c:pt idx="229">
                  <c:v>160.92656064410932</c:v>
                </c:pt>
                <c:pt idx="230">
                  <c:v>162.4749648653677</c:v>
                </c:pt>
                <c:pt idx="231">
                  <c:v>164.0314601659413</c:v>
                </c:pt>
                <c:pt idx="232">
                  <c:v>165.59605356187657</c:v>
                </c:pt>
                <c:pt idx="233">
                  <c:v>167.16875204498956</c:v>
                </c:pt>
                <c:pt idx="234">
                  <c:v>168.74956258305323</c:v>
                </c:pt>
                <c:pt idx="235">
                  <c:v>170.33849211998287</c:v>
                </c:pt>
                <c:pt idx="236">
                  <c:v>171.93554757601891</c:v>
                </c:pt>
                <c:pt idx="237">
                  <c:v>173.54073584790802</c:v>
                </c:pt>
                <c:pt idx="238">
                  <c:v>175.15406380908158</c:v>
                </c:pt>
                <c:pt idx="239">
                  <c:v>176.77553830983248</c:v>
                </c:pt>
                <c:pt idx="240">
                  <c:v>178.40516617748943</c:v>
                </c:pt>
                <c:pt idx="241">
                  <c:v>180.04295421658961</c:v>
                </c:pt>
                <c:pt idx="242">
                  <c:v>181.68890920904914</c:v>
                </c:pt>
                <c:pt idx="243">
                  <c:v>183.34303791433149</c:v>
                </c:pt>
                <c:pt idx="244">
                  <c:v>185.00534706961403</c:v>
                </c:pt>
                <c:pt idx="245">
                  <c:v>186.67584338995292</c:v>
                </c:pt>
                <c:pt idx="246">
                  <c:v>188.35453356844553</c:v>
                </c:pt>
                <c:pt idx="247">
                  <c:v>190.04142427639161</c:v>
                </c:pt>
                <c:pt idx="248">
                  <c:v>191.73652216345221</c:v>
                </c:pt>
                <c:pt idx="249">
                  <c:v>193.43983385780703</c:v>
                </c:pt>
                <c:pt idx="250">
                  <c:v>195.15136596630998</c:v>
                </c:pt>
                <c:pt idx="251">
                  <c:v>196.87112507464286</c:v>
                </c:pt>
                <c:pt idx="252">
                  <c:v>198.59911774746729</c:v>
                </c:pt>
                <c:pt idx="253">
                  <c:v>200.33535052857547</c:v>
                </c:pt>
                <c:pt idx="254">
                  <c:v>202.07982994103838</c:v>
                </c:pt>
                <c:pt idx="255">
                  <c:v>203.4008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92-4A4A-9EAB-3E67894BB994}"/>
            </c:ext>
          </c:extLst>
        </c:ser>
        <c:ser>
          <c:idx val="2"/>
          <c:order val="2"/>
          <c:tx>
            <c:strRef>
              <c:f>'Gamma 2.2 5400K-長'!$E$16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2.2 5400K-長'!$B$17:$B$272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5400K-長'!$E$17:$E$272</c:f>
              <c:numCache>
                <c:formatCode>0.00_ </c:formatCode>
                <c:ptCount val="256"/>
                <c:pt idx="0">
                  <c:v>5.1883075031347283E-5</c:v>
                </c:pt>
                <c:pt idx="1">
                  <c:v>1.842552850677655E-3</c:v>
                </c:pt>
                <c:pt idx="2">
                  <c:v>6.7362137302168622E-3</c:v>
                </c:pt>
                <c:pt idx="3">
                  <c:v>1.5145870664692996E-2</c:v>
                </c:pt>
                <c:pt idx="4">
                  <c:v>2.7345786577092256E-2</c:v>
                </c:pt>
                <c:pt idx="5">
                  <c:v>4.3547272764370717E-2</c:v>
                </c:pt>
                <c:pt idx="6">
                  <c:v>6.3924303328283402E-2</c:v>
                </c:pt>
                <c:pt idx="7">
                  <c:v>8.8625782826404861E-2</c:v>
                </c:pt>
                <c:pt idx="8">
                  <c:v>0.11778247744911954</c:v>
                </c:pt>
                <c:pt idx="9">
                  <c:v>0.15151134978634101</c:v>
                </c:pt>
                <c:pt idx="10">
                  <c:v>0.18991846574863255</c:v>
                </c:pt>
                <c:pt idx="11">
                  <c:v>0.23310104644781637</c:v>
                </c:pt>
                <c:pt idx="12">
                  <c:v>0.28114897465980487</c:v>
                </c:pt>
                <c:pt idx="13">
                  <c:v>0.33414593592939179</c:v>
                </c:pt>
                <c:pt idx="14">
                  <c:v>0.39217030517451473</c:v>
                </c:pt>
                <c:pt idx="15">
                  <c:v>0.45529585024361624</c:v>
                </c:pt>
                <c:pt idx="16">
                  <c:v>0.52359230025277048</c:v>
                </c:pt>
                <c:pt idx="17">
                  <c:v>0.59712581174378365</c:v>
                </c:pt>
                <c:pt idx="18">
                  <c:v>0.67595935611301039</c:v>
                </c:pt>
                <c:pt idx="19">
                  <c:v>0.76015304534438333</c:v>
                </c:pt>
                <c:pt idx="20">
                  <c:v>0.84976440867241965</c:v>
                </c:pt>
                <c:pt idx="21">
                  <c:v>0.94484862970184158</c:v>
                </c:pt>
                <c:pt idx="22">
                  <c:v>1.0454587512863371</c:v>
                </c:pt>
                <c:pt idx="23">
                  <c:v>1.1516458538435652</c:v>
                </c:pt>
                <c:pt idx="24">
                  <c:v>1.2634592115760874</c:v>
                </c:pt>
                <c:pt idx="25">
                  <c:v>1.3809464301577306</c:v>
                </c:pt>
                <c:pt idx="26">
                  <c:v>1.5041535687497158</c:v>
                </c:pt>
                <c:pt idx="27">
                  <c:v>1.6331252486733288</c:v>
                </c:pt>
                <c:pt idx="28">
                  <c:v>1.7679047506457981</c:v>
                </c:pt>
                <c:pt idx="29">
                  <c:v>1.9085341021542186</c:v>
                </c:pt>
                <c:pt idx="30">
                  <c:v>2.0550541562779685</c:v>
                </c:pt>
                <c:pt idx="31">
                  <c:v>2.2075046630574455</c:v>
                </c:pt>
                <c:pt idx="32">
                  <c:v>2.3659243343347263</c:v>
                </c:pt>
                <c:pt idx="33">
                  <c:v>2.5303509028510742</c:v>
                </c:pt>
                <c:pt idx="34">
                  <c:v>2.7008211762706886</c:v>
                </c:pt>
                <c:pt idx="35">
                  <c:v>2.8773710867044016</c:v>
                </c:pt>
                <c:pt idx="36">
                  <c:v>3.0600357362274417</c:v>
                </c:pt>
                <c:pt idx="37">
                  <c:v>3.2488494388188145</c:v>
                </c:pt>
                <c:pt idx="38">
                  <c:v>3.4438457590936746</c:v>
                </c:pt>
                <c:pt idx="39">
                  <c:v>3.6450575481527543</c:v>
                </c:pt>
                <c:pt idx="40">
                  <c:v>3.8525169768325873</c:v>
                </c:pt>
                <c:pt idx="41">
                  <c:v>4.0662555666058235</c:v>
                </c:pt>
                <c:pt idx="42">
                  <c:v>4.2863042183515692</c:v>
                </c:pt>
                <c:pt idx="43">
                  <c:v>4.5126932391902139</c:v>
                </c:pt>
                <c:pt idx="44">
                  <c:v>4.7454523675553464</c:v>
                </c:pt>
                <c:pt idx="45">
                  <c:v>4.9846107966563471</c:v>
                </c:pt>
                <c:pt idx="46">
                  <c:v>5.2301971964687581</c:v>
                </c:pt>
                <c:pt idx="47">
                  <c:v>5.4822397343750247</c:v>
                </c:pt>
                <c:pt idx="48">
                  <c:v>5.7407660945656431</c:v>
                </c:pt>
                <c:pt idx="49">
                  <c:v>6.0058034962996629</c:v>
                </c:pt>
                <c:pt idx="50">
                  <c:v>6.2773787111136521</c:v>
                </c:pt>
                <c:pt idx="51">
                  <c:v>6.5555180790596825</c:v>
                </c:pt>
                <c:pt idx="52">
                  <c:v>6.8402475240452052</c:v>
                </c:pt>
                <c:pt idx="53">
                  <c:v>7.1315925683409827</c:v>
                </c:pt>
                <c:pt idx="54">
                  <c:v>7.4295783463170695</c:v>
                </c:pt>
                <c:pt idx="55">
                  <c:v>7.734229617461633</c:v>
                </c:pt>
                <c:pt idx="56">
                  <c:v>8.0455707787324435</c:v>
                </c:pt>
                <c:pt idx="57">
                  <c:v>8.3636258762867044</c:v>
                </c:pt>
                <c:pt idx="58">
                  <c:v>8.6884186166307842</c:v>
                </c:pt>
                <c:pt idx="59">
                  <c:v>9.0199723772283527</c:v>
                </c:pt>
                <c:pt idx="60">
                  <c:v>9.3583102166017369</c:v>
                </c:pt>
                <c:pt idx="61">
                  <c:v>9.7034548839590933</c:v>
                </c:pt>
                <c:pt idx="62">
                  <c:v>10.055428828376821</c:v>
                </c:pt>
                <c:pt idx="63">
                  <c:v>10.414254207564923</c:v>
                </c:pt>
                <c:pt idx="64">
                  <c:v>10.779952896240419</c:v>
                </c:pt>
                <c:pt idx="65">
                  <c:v>11.152546494132254</c:v>
                </c:pt>
                <c:pt idx="66">
                  <c:v>11.532056333639538</c:v>
                </c:pt>
                <c:pt idx="67">
                  <c:v>11.918503487162896</c:v>
                </c:pt>
                <c:pt idx="68">
                  <c:v>12.311908774127861</c:v>
                </c:pt>
                <c:pt idx="69">
                  <c:v>12.712292767717415</c:v>
                </c:pt>
                <c:pt idx="70">
                  <c:v>13.119675801329894</c:v>
                </c:pt>
                <c:pt idx="71">
                  <c:v>13.534077974777182</c:v>
                </c:pt>
                <c:pt idx="72">
                  <c:v>13.95551916023723</c:v>
                </c:pt>
                <c:pt idx="73">
                  <c:v>14.384019007973844</c:v>
                </c:pt>
                <c:pt idx="74">
                  <c:v>14.819596951836028</c:v>
                </c:pt>
                <c:pt idx="75">
                  <c:v>15.262272214548126</c:v>
                </c:pt>
                <c:pt idx="76">
                  <c:v>15.71206381280162</c:v>
                </c:pt>
                <c:pt idx="77">
                  <c:v>16.168990562158292</c:v>
                </c:pt>
                <c:pt idx="78">
                  <c:v>16.633071081774272</c:v>
                </c:pt>
                <c:pt idx="79">
                  <c:v>17.104323798953779</c:v>
                </c:pt>
                <c:pt idx="80">
                  <c:v>17.58276695354057</c:v>
                </c:pt>
                <c:pt idx="81">
                  <c:v>18.068418602155131</c:v>
                </c:pt>
                <c:pt idx="82">
                  <c:v>18.561296622284615</c:v>
                </c:pt>
                <c:pt idx="83">
                  <c:v>19.061418716232549</c:v>
                </c:pt>
                <c:pt idx="84">
                  <c:v>19.568802414934684</c:v>
                </c:pt>
                <c:pt idx="85">
                  <c:v>20.083465081647134</c:v>
                </c:pt>
                <c:pt idx="86">
                  <c:v>20.605423915512453</c:v>
                </c:pt>
                <c:pt idx="87">
                  <c:v>21.134695955009107</c:v>
                </c:pt>
                <c:pt idx="88">
                  <c:v>21.671298081289532</c:v>
                </c:pt>
                <c:pt idx="89">
                  <c:v>22.215247021411411</c:v>
                </c:pt>
                <c:pt idx="90">
                  <c:v>22.766559351467013</c:v>
                </c:pt>
                <c:pt idx="91">
                  <c:v>23.325251499614676</c:v>
                </c:pt>
                <c:pt idx="92">
                  <c:v>23.891339749016655</c:v>
                </c:pt>
                <c:pt idx="93">
                  <c:v>24.464840240687309</c:v>
                </c:pt>
                <c:pt idx="94">
                  <c:v>25.045768976255005</c:v>
                </c:pt>
                <c:pt idx="95">
                  <c:v>25.634141820641577</c:v>
                </c:pt>
                <c:pt idx="96">
                  <c:v>26.229974504662458</c:v>
                </c:pt>
                <c:pt idx="97">
                  <c:v>26.833282627550719</c:v>
                </c:pt>
                <c:pt idx="98">
                  <c:v>27.44408165940791</c:v>
                </c:pt>
                <c:pt idx="99">
                  <c:v>28.062386943584684</c:v>
                </c:pt>
                <c:pt idx="100">
                  <c:v>28.688213698993756</c:v>
                </c:pt>
                <c:pt idx="101">
                  <c:v>29.321577022357992</c:v>
                </c:pt>
                <c:pt idx="102">
                  <c:v>29.962491890395849</c:v>
                </c:pt>
                <c:pt idx="103">
                  <c:v>30.610973161946578</c:v>
                </c:pt>
                <c:pt idx="104">
                  <c:v>31.267035580037579</c:v>
                </c:pt>
                <c:pt idx="105">
                  <c:v>31.930693773895754</c:v>
                </c:pt>
                <c:pt idx="106">
                  <c:v>32.601962260905211</c:v>
                </c:pt>
                <c:pt idx="107">
                  <c:v>33.280855448512845</c:v>
                </c:pt>
                <c:pt idx="108">
                  <c:v>33.967387636084112</c:v>
                </c:pt>
                <c:pt idx="109">
                  <c:v>34.661573016710399</c:v>
                </c:pt>
                <c:pt idx="110">
                  <c:v>35.36342567896984</c:v>
                </c:pt>
                <c:pt idx="111">
                  <c:v>36.072959608643139</c:v>
                </c:pt>
                <c:pt idx="112">
                  <c:v>36.790188690386032</c:v>
                </c:pt>
                <c:pt idx="113">
                  <c:v>37.515126709359755</c:v>
                </c:pt>
                <c:pt idx="114">
                  <c:v>38.247787352820978</c:v>
                </c:pt>
                <c:pt idx="115">
                  <c:v>38.988184211672554</c:v>
                </c:pt>
                <c:pt idx="116">
                  <c:v>39.736330781976442</c:v>
                </c:pt>
                <c:pt idx="117">
                  <c:v>40.492240466429976</c:v>
                </c:pt>
                <c:pt idx="118">
                  <c:v>41.255926575806669</c:v>
                </c:pt>
                <c:pt idx="119">
                  <c:v>42.027402330362669</c:v>
                </c:pt>
                <c:pt idx="120">
                  <c:v>42.806680861210225</c:v>
                </c:pt>
                <c:pt idx="121">
                  <c:v>43.593775211658752</c:v>
                </c:pt>
                <c:pt idx="122">
                  <c:v>44.388698338524975</c:v>
                </c:pt>
                <c:pt idx="123">
                  <c:v>45.191463113412752</c:v>
                </c:pt>
                <c:pt idx="124">
                  <c:v>46.00208232396384</c:v>
                </c:pt>
                <c:pt idx="125">
                  <c:v>46.820568675080203</c:v>
                </c:pt>
                <c:pt idx="126">
                  <c:v>47.646934790118884</c:v>
                </c:pt>
                <c:pt idx="127">
                  <c:v>48.481193212060283</c:v>
                </c:pt>
                <c:pt idx="128">
                  <c:v>49.323356404650667</c:v>
                </c:pt>
                <c:pt idx="129">
                  <c:v>50.173436753519461</c:v>
                </c:pt>
                <c:pt idx="130">
                  <c:v>51.031446567272297</c:v>
                </c:pt>
                <c:pt idx="131">
                  <c:v>51.897398078560492</c:v>
                </c:pt>
                <c:pt idx="132">
                  <c:v>52.77130344512765</c:v>
                </c:pt>
                <c:pt idx="133">
                  <c:v>53.653174750833635</c:v>
                </c:pt>
                <c:pt idx="134">
                  <c:v>54.543024006657596</c:v>
                </c:pt>
                <c:pt idx="135">
                  <c:v>55.440863151679338</c:v>
                </c:pt>
                <c:pt idx="136">
                  <c:v>56.346704054040671</c:v>
                </c:pt>
                <c:pt idx="137">
                  <c:v>57.260558511886636</c:v>
                </c:pt>
                <c:pt idx="138">
                  <c:v>58.182438254287781</c:v>
                </c:pt>
                <c:pt idx="139">
                  <c:v>59.112354942143313</c:v>
                </c:pt>
                <c:pt idx="140">
                  <c:v>60.050320169066353</c:v>
                </c:pt>
                <c:pt idx="141">
                  <c:v>60.996345462251043</c:v>
                </c:pt>
                <c:pt idx="142">
                  <c:v>61.950442283322865</c:v>
                </c:pt>
                <c:pt idx="143">
                  <c:v>62.912622029171729</c:v>
                </c:pt>
                <c:pt idx="144">
                  <c:v>63.882896032768969</c:v>
                </c:pt>
                <c:pt idx="145">
                  <c:v>64.861275563968249</c:v>
                </c:pt>
                <c:pt idx="146">
                  <c:v>65.847771830291123</c:v>
                </c:pt>
                <c:pt idx="147">
                  <c:v>66.842395977697336</c:v>
                </c:pt>
                <c:pt idx="148">
                  <c:v>67.845159091340548</c:v>
                </c:pt>
                <c:pt idx="149">
                  <c:v>68.856072196309555</c:v>
                </c:pt>
                <c:pt idx="150">
                  <c:v>69.875146258355841</c:v>
                </c:pt>
                <c:pt idx="151">
                  <c:v>70.902392184607237</c:v>
                </c:pt>
                <c:pt idx="152">
                  <c:v>71.937820824268286</c:v>
                </c:pt>
                <c:pt idx="153">
                  <c:v>72.981442969308034</c:v>
                </c:pt>
                <c:pt idx="154">
                  <c:v>74.033269355134863</c:v>
                </c:pt>
                <c:pt idx="155">
                  <c:v>75.093310661259068</c:v>
                </c:pt>
                <c:pt idx="156">
                  <c:v>76.161577511943648</c:v>
                </c:pt>
                <c:pt idx="157">
                  <c:v>77.238080476843081</c:v>
                </c:pt>
                <c:pt idx="158">
                  <c:v>78.322830071630932</c:v>
                </c:pt>
                <c:pt idx="159">
                  <c:v>79.415836758616337</c:v>
                </c:pt>
                <c:pt idx="160">
                  <c:v>80.517110947349238</c:v>
                </c:pt>
                <c:pt idx="161">
                  <c:v>81.626662995215497</c:v>
                </c:pt>
                <c:pt idx="162">
                  <c:v>82.744503208021229</c:v>
                </c:pt>
                <c:pt idx="163">
                  <c:v>83.870641840567316</c:v>
                </c:pt>
                <c:pt idx="164">
                  <c:v>85.00508909721384</c:v>
                </c:pt>
                <c:pt idx="165">
                  <c:v>86.147855132434799</c:v>
                </c:pt>
                <c:pt idx="166">
                  <c:v>87.298950051363747</c:v>
                </c:pt>
                <c:pt idx="167">
                  <c:v>88.458383910329786</c:v>
                </c:pt>
                <c:pt idx="168">
                  <c:v>89.626166717384791</c:v>
                </c:pt>
                <c:pt idx="169">
                  <c:v>90.802308432821746</c:v>
                </c:pt>
                <c:pt idx="170">
                  <c:v>91.986818969684563</c:v>
                </c:pt>
                <c:pt idx="171">
                  <c:v>93.179708194269367</c:v>
                </c:pt>
                <c:pt idx="172">
                  <c:v>94.38098592661764</c:v>
                </c:pt>
                <c:pt idx="173">
                  <c:v>95.59066194100123</c:v>
                </c:pt>
                <c:pt idx="174">
                  <c:v>96.808745966399641</c:v>
                </c:pt>
                <c:pt idx="175">
                  <c:v>98.035247686969498</c:v>
                </c:pt>
                <c:pt idx="176">
                  <c:v>99.270176742506564</c:v>
                </c:pt>
                <c:pt idx="177">
                  <c:v>100.51354272890028</c:v>
                </c:pt>
                <c:pt idx="178">
                  <c:v>101.76535519858128</c:v>
                </c:pt>
                <c:pt idx="179">
                  <c:v>103.02562366096166</c:v>
                </c:pt>
                <c:pt idx="180">
                  <c:v>104.29435758286849</c:v>
                </c:pt>
                <c:pt idx="181">
                  <c:v>105.57156638897038</c:v>
                </c:pt>
                <c:pt idx="182">
                  <c:v>106.85725946219787</c:v>
                </c:pt>
                <c:pt idx="183">
                  <c:v>108.15144614415669</c:v>
                </c:pt>
                <c:pt idx="184">
                  <c:v>109.45413573553526</c:v>
                </c:pt>
                <c:pt idx="185">
                  <c:v>110.76533749650565</c:v>
                </c:pt>
                <c:pt idx="186">
                  <c:v>112.0850606471186</c:v>
                </c:pt>
                <c:pt idx="187">
                  <c:v>113.41331436769252</c:v>
                </c:pt>
                <c:pt idx="188">
                  <c:v>114.7501077991967</c:v>
                </c:pt>
                <c:pt idx="189">
                  <c:v>116.09545004362866</c:v>
                </c:pt>
                <c:pt idx="190">
                  <c:v>117.44935016438617</c:v>
                </c:pt>
                <c:pt idx="191">
                  <c:v>118.81181718663363</c:v>
                </c:pt>
                <c:pt idx="192">
                  <c:v>120.18286009766287</c:v>
                </c:pt>
                <c:pt idx="193">
                  <c:v>121.56248784724906</c:v>
                </c:pt>
                <c:pt idx="194">
                  <c:v>122.95070934800113</c:v>
                </c:pt>
                <c:pt idx="195">
                  <c:v>124.34753347570744</c:v>
                </c:pt>
                <c:pt idx="196">
                  <c:v>125.752969069676</c:v>
                </c:pt>
                <c:pt idx="197">
                  <c:v>127.16702493307027</c:v>
                </c:pt>
                <c:pt idx="198">
                  <c:v>128.58970983324008</c:v>
                </c:pt>
                <c:pt idx="199">
                  <c:v>130.02103250204772</c:v>
                </c:pt>
                <c:pt idx="200">
                  <c:v>131.46100163618945</c:v>
                </c:pt>
                <c:pt idx="201">
                  <c:v>132.90962589751268</c:v>
                </c:pt>
                <c:pt idx="202">
                  <c:v>134.36691391332852</c:v>
                </c:pt>
                <c:pt idx="203">
                  <c:v>135.83287427672013</c:v>
                </c:pt>
                <c:pt idx="204">
                  <c:v>137.30751554684679</c:v>
                </c:pt>
                <c:pt idx="205">
                  <c:v>138.79084624924349</c:v>
                </c:pt>
                <c:pt idx="206">
                  <c:v>140.28287487611709</c:v>
                </c:pt>
                <c:pt idx="207">
                  <c:v>141.78360988663775</c:v>
                </c:pt>
                <c:pt idx="208">
                  <c:v>143.29305970722686</c:v>
                </c:pt>
                <c:pt idx="209">
                  <c:v>144.81123273184082</c:v>
                </c:pt>
                <c:pt idx="210">
                  <c:v>146.33813732225116</c:v>
                </c:pt>
                <c:pt idx="211">
                  <c:v>147.87378180832098</c:v>
                </c:pt>
                <c:pt idx="212">
                  <c:v>149.4181744882774</c:v>
                </c:pt>
                <c:pt idx="213">
                  <c:v>150.9713236289808</c:v>
                </c:pt>
                <c:pt idx="214">
                  <c:v>152.53323746619029</c:v>
                </c:pt>
                <c:pt idx="215">
                  <c:v>154.10392420482572</c:v>
                </c:pt>
                <c:pt idx="216">
                  <c:v>155.68339201922643</c:v>
                </c:pt>
                <c:pt idx="217">
                  <c:v>157.27164905340624</c:v>
                </c:pt>
                <c:pt idx="218">
                  <c:v>158.86870342130561</c:v>
                </c:pt>
                <c:pt idx="219">
                  <c:v>160.47456320704049</c:v>
                </c:pt>
                <c:pt idx="220">
                  <c:v>162.08923646514751</c:v>
                </c:pt>
                <c:pt idx="221">
                  <c:v>163.71273122082656</c:v>
                </c:pt>
                <c:pt idx="222">
                  <c:v>165.34505547018023</c:v>
                </c:pt>
                <c:pt idx="223">
                  <c:v>166.98621718044998</c:v>
                </c:pt>
                <c:pt idx="224">
                  <c:v>168.63622429024946</c:v>
                </c:pt>
                <c:pt idx="225">
                  <c:v>170.29508470979499</c:v>
                </c:pt>
                <c:pt idx="226">
                  <c:v>171.96280632113309</c:v>
                </c:pt>
                <c:pt idx="227">
                  <c:v>173.63939697836517</c:v>
                </c:pt>
                <c:pt idx="228">
                  <c:v>175.32486450786948</c:v>
                </c:pt>
                <c:pt idx="229">
                  <c:v>177.01921670852025</c:v>
                </c:pt>
                <c:pt idx="230">
                  <c:v>178.72246135190446</c:v>
                </c:pt>
                <c:pt idx="231">
                  <c:v>180.43460618253542</c:v>
                </c:pt>
                <c:pt idx="232">
                  <c:v>182.15565891806423</c:v>
                </c:pt>
                <c:pt idx="233">
                  <c:v>183.88562724948852</c:v>
                </c:pt>
                <c:pt idx="234">
                  <c:v>185.62451884135857</c:v>
                </c:pt>
                <c:pt idx="235">
                  <c:v>187.37234133198115</c:v>
                </c:pt>
                <c:pt idx="236">
                  <c:v>189.12910233362081</c:v>
                </c:pt>
                <c:pt idx="237">
                  <c:v>190.89480943269882</c:v>
                </c:pt>
                <c:pt idx="238">
                  <c:v>192.66947018998974</c:v>
                </c:pt>
                <c:pt idx="239">
                  <c:v>194.45309214081573</c:v>
                </c:pt>
                <c:pt idx="240">
                  <c:v>196.24568279523837</c:v>
                </c:pt>
                <c:pt idx="241">
                  <c:v>198.04724963824856</c:v>
                </c:pt>
                <c:pt idx="242">
                  <c:v>199.85780012995406</c:v>
                </c:pt>
                <c:pt idx="243">
                  <c:v>201.67734170576463</c:v>
                </c:pt>
                <c:pt idx="244">
                  <c:v>203.50588177657545</c:v>
                </c:pt>
                <c:pt idx="245">
                  <c:v>205.3434277289482</c:v>
                </c:pt>
                <c:pt idx="246">
                  <c:v>207.1899869252901</c:v>
                </c:pt>
                <c:pt idx="247">
                  <c:v>209.04556670403076</c:v>
                </c:pt>
                <c:pt idx="248">
                  <c:v>210.91017437979744</c:v>
                </c:pt>
                <c:pt idx="249">
                  <c:v>212.78381724358775</c:v>
                </c:pt>
                <c:pt idx="250">
                  <c:v>214.66650256294099</c:v>
                </c:pt>
                <c:pt idx="251">
                  <c:v>216.55823758210715</c:v>
                </c:pt>
                <c:pt idx="252">
                  <c:v>218.45902952221402</c:v>
                </c:pt>
                <c:pt idx="253">
                  <c:v>220.36888558143303</c:v>
                </c:pt>
                <c:pt idx="254">
                  <c:v>222.28781293514223</c:v>
                </c:pt>
                <c:pt idx="255">
                  <c:v>223.74088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92-4A4A-9EAB-3E67894BB994}"/>
            </c:ext>
          </c:extLst>
        </c:ser>
        <c:ser>
          <c:idx val="3"/>
          <c:order val="3"/>
          <c:tx>
            <c:strRef>
              <c:f>'Gamma 2.2 5400K-長'!$F$16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2.2 5400K-長'!$B$17:$B$272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2.2 5400K-長'!$F$17:$F$272</c:f>
              <c:numCache>
                <c:formatCode>General</c:formatCode>
                <c:ptCount val="256"/>
                <c:pt idx="0">
                  <c:v>0.24590000000000001</c:v>
                </c:pt>
                <c:pt idx="1">
                  <c:v>0.2462</c:v>
                </c:pt>
                <c:pt idx="2">
                  <c:v>0.246</c:v>
                </c:pt>
                <c:pt idx="3">
                  <c:v>0.2606</c:v>
                </c:pt>
                <c:pt idx="4">
                  <c:v>0.28010000000000002</c:v>
                </c:pt>
                <c:pt idx="5">
                  <c:v>0.28560000000000002</c:v>
                </c:pt>
                <c:pt idx="6">
                  <c:v>0.30159999999999998</c:v>
                </c:pt>
                <c:pt idx="7">
                  <c:v>0.31719999999999998</c:v>
                </c:pt>
                <c:pt idx="8">
                  <c:v>0.34899999999999998</c:v>
                </c:pt>
                <c:pt idx="9">
                  <c:v>0.35930000000000001</c:v>
                </c:pt>
                <c:pt idx="10">
                  <c:v>0.39450000000000002</c:v>
                </c:pt>
                <c:pt idx="11">
                  <c:v>0.43140000000000001</c:v>
                </c:pt>
                <c:pt idx="12">
                  <c:v>0.48170000000000002</c:v>
                </c:pt>
                <c:pt idx="13">
                  <c:v>0.54330000000000001</c:v>
                </c:pt>
                <c:pt idx="14">
                  <c:v>0.56179999999999997</c:v>
                </c:pt>
                <c:pt idx="15">
                  <c:v>0.62619999999999998</c:v>
                </c:pt>
                <c:pt idx="16">
                  <c:v>0.69499999999999995</c:v>
                </c:pt>
                <c:pt idx="17">
                  <c:v>0.79069999999999996</c:v>
                </c:pt>
                <c:pt idx="18">
                  <c:v>0.87919999999999998</c:v>
                </c:pt>
                <c:pt idx="19">
                  <c:v>0.99280000000000002</c:v>
                </c:pt>
                <c:pt idx="20">
                  <c:v>1.0862000000000001</c:v>
                </c:pt>
                <c:pt idx="21">
                  <c:v>1.1105</c:v>
                </c:pt>
                <c:pt idx="22">
                  <c:v>1.2059</c:v>
                </c:pt>
                <c:pt idx="23">
                  <c:v>1.3304</c:v>
                </c:pt>
                <c:pt idx="24">
                  <c:v>1.4258999999999999</c:v>
                </c:pt>
                <c:pt idx="25">
                  <c:v>1.5144</c:v>
                </c:pt>
                <c:pt idx="26">
                  <c:v>1.6617</c:v>
                </c:pt>
                <c:pt idx="27">
                  <c:v>1.7499</c:v>
                </c:pt>
                <c:pt idx="28">
                  <c:v>1.8524</c:v>
                </c:pt>
                <c:pt idx="29">
                  <c:v>1.9831000000000001</c:v>
                </c:pt>
                <c:pt idx="30">
                  <c:v>2.0926999999999998</c:v>
                </c:pt>
                <c:pt idx="31">
                  <c:v>2.2480000000000002</c:v>
                </c:pt>
                <c:pt idx="32">
                  <c:v>2.3792</c:v>
                </c:pt>
                <c:pt idx="33">
                  <c:v>2.5701999999999998</c:v>
                </c:pt>
                <c:pt idx="34">
                  <c:v>2.6919</c:v>
                </c:pt>
                <c:pt idx="35">
                  <c:v>2.9039999999999999</c:v>
                </c:pt>
                <c:pt idx="36">
                  <c:v>3.0647000000000002</c:v>
                </c:pt>
                <c:pt idx="37">
                  <c:v>3.2553000000000001</c:v>
                </c:pt>
                <c:pt idx="38">
                  <c:v>3.4127999999999998</c:v>
                </c:pt>
                <c:pt idx="39">
                  <c:v>3.6402999999999999</c:v>
                </c:pt>
                <c:pt idx="40">
                  <c:v>3.7932999999999999</c:v>
                </c:pt>
                <c:pt idx="41">
                  <c:v>4.0359999999999996</c:v>
                </c:pt>
                <c:pt idx="42">
                  <c:v>4.2321</c:v>
                </c:pt>
                <c:pt idx="43">
                  <c:v>4.6468999999999996</c:v>
                </c:pt>
                <c:pt idx="44">
                  <c:v>4.8613</c:v>
                </c:pt>
                <c:pt idx="45">
                  <c:v>5.0777999999999999</c:v>
                </c:pt>
                <c:pt idx="46">
                  <c:v>5.2872000000000003</c:v>
                </c:pt>
                <c:pt idx="47">
                  <c:v>5.6272000000000002</c:v>
                </c:pt>
                <c:pt idx="48">
                  <c:v>5.8521999999999998</c:v>
                </c:pt>
                <c:pt idx="49">
                  <c:v>6.2107999999999999</c:v>
                </c:pt>
                <c:pt idx="50">
                  <c:v>6.3810000000000002</c:v>
                </c:pt>
                <c:pt idx="51">
                  <c:v>6.7008000000000001</c:v>
                </c:pt>
                <c:pt idx="52">
                  <c:v>7.0397999999999996</c:v>
                </c:pt>
                <c:pt idx="53">
                  <c:v>7.2971000000000004</c:v>
                </c:pt>
                <c:pt idx="54">
                  <c:v>7.6604999999999999</c:v>
                </c:pt>
                <c:pt idx="55">
                  <c:v>7.9105999999999996</c:v>
                </c:pt>
                <c:pt idx="56">
                  <c:v>8.2738999999999994</c:v>
                </c:pt>
                <c:pt idx="57">
                  <c:v>8.3485999999999994</c:v>
                </c:pt>
                <c:pt idx="58">
                  <c:v>8.6333000000000002</c:v>
                </c:pt>
                <c:pt idx="59">
                  <c:v>8.9654000000000007</c:v>
                </c:pt>
                <c:pt idx="60">
                  <c:v>9.3800000000000008</c:v>
                </c:pt>
                <c:pt idx="61">
                  <c:v>9.6757000000000009</c:v>
                </c:pt>
                <c:pt idx="62">
                  <c:v>9.9270999999999994</c:v>
                </c:pt>
                <c:pt idx="63">
                  <c:v>10.4312</c:v>
                </c:pt>
                <c:pt idx="64">
                  <c:v>10.791700000000001</c:v>
                </c:pt>
                <c:pt idx="65">
                  <c:v>11.2127</c:v>
                </c:pt>
                <c:pt idx="66">
                  <c:v>11.645300000000001</c:v>
                </c:pt>
                <c:pt idx="67">
                  <c:v>11.950200000000001</c:v>
                </c:pt>
                <c:pt idx="68">
                  <c:v>12.007</c:v>
                </c:pt>
                <c:pt idx="69">
                  <c:v>12.5471</c:v>
                </c:pt>
                <c:pt idx="70">
                  <c:v>12.811500000000001</c:v>
                </c:pt>
                <c:pt idx="71">
                  <c:v>13.255800000000001</c:v>
                </c:pt>
                <c:pt idx="72">
                  <c:v>13.766</c:v>
                </c:pt>
                <c:pt idx="73">
                  <c:v>14.095599999999999</c:v>
                </c:pt>
                <c:pt idx="74">
                  <c:v>14.7028</c:v>
                </c:pt>
                <c:pt idx="75">
                  <c:v>15.0814</c:v>
                </c:pt>
                <c:pt idx="76">
                  <c:v>15.540800000000001</c:v>
                </c:pt>
                <c:pt idx="77">
                  <c:v>15.5982</c:v>
                </c:pt>
                <c:pt idx="78">
                  <c:v>16.126000000000001</c:v>
                </c:pt>
                <c:pt idx="79">
                  <c:v>16.428999999999998</c:v>
                </c:pt>
                <c:pt idx="80">
                  <c:v>17.171399999999998</c:v>
                </c:pt>
                <c:pt idx="81">
                  <c:v>17.552099999999999</c:v>
                </c:pt>
                <c:pt idx="82">
                  <c:v>18.206800000000001</c:v>
                </c:pt>
                <c:pt idx="83">
                  <c:v>18.526800000000001</c:v>
                </c:pt>
                <c:pt idx="84">
                  <c:v>19.141100000000002</c:v>
                </c:pt>
                <c:pt idx="85">
                  <c:v>19.692900000000002</c:v>
                </c:pt>
                <c:pt idx="86">
                  <c:v>19.896999999999998</c:v>
                </c:pt>
                <c:pt idx="87">
                  <c:v>20.215699999999998</c:v>
                </c:pt>
                <c:pt idx="88">
                  <c:v>20.790299999999998</c:v>
                </c:pt>
                <c:pt idx="89">
                  <c:v>21.441400000000002</c:v>
                </c:pt>
                <c:pt idx="90">
                  <c:v>21.9191</c:v>
                </c:pt>
                <c:pt idx="91">
                  <c:v>22.464300000000001</c:v>
                </c:pt>
                <c:pt idx="92">
                  <c:v>23.1219</c:v>
                </c:pt>
                <c:pt idx="93">
                  <c:v>23.5459</c:v>
                </c:pt>
                <c:pt idx="94">
                  <c:v>24.361499999999999</c:v>
                </c:pt>
                <c:pt idx="95">
                  <c:v>24.381799999999998</c:v>
                </c:pt>
                <c:pt idx="96">
                  <c:v>25.1065</c:v>
                </c:pt>
                <c:pt idx="97">
                  <c:v>25.588699999999999</c:v>
                </c:pt>
                <c:pt idx="98">
                  <c:v>26.2105</c:v>
                </c:pt>
                <c:pt idx="99">
                  <c:v>26.8233</c:v>
                </c:pt>
                <c:pt idx="100">
                  <c:v>27.457599999999999</c:v>
                </c:pt>
                <c:pt idx="101">
                  <c:v>28.230899999999998</c:v>
                </c:pt>
                <c:pt idx="102">
                  <c:v>28.7639</c:v>
                </c:pt>
                <c:pt idx="103">
                  <c:v>29.183299999999999</c:v>
                </c:pt>
                <c:pt idx="104">
                  <c:v>29.406300000000002</c:v>
                </c:pt>
                <c:pt idx="105">
                  <c:v>30.206</c:v>
                </c:pt>
                <c:pt idx="106">
                  <c:v>30.8856</c:v>
                </c:pt>
                <c:pt idx="107">
                  <c:v>31.511600000000001</c:v>
                </c:pt>
                <c:pt idx="108">
                  <c:v>32.320799999999998</c:v>
                </c:pt>
                <c:pt idx="109">
                  <c:v>32.771900000000002</c:v>
                </c:pt>
                <c:pt idx="110">
                  <c:v>33.657299999999999</c:v>
                </c:pt>
                <c:pt idx="111">
                  <c:v>34.360999999999997</c:v>
                </c:pt>
                <c:pt idx="112">
                  <c:v>34.982700000000001</c:v>
                </c:pt>
                <c:pt idx="113">
                  <c:v>35.647799999999997</c:v>
                </c:pt>
                <c:pt idx="114">
                  <c:v>35.7806</c:v>
                </c:pt>
                <c:pt idx="115">
                  <c:v>36.464700000000001</c:v>
                </c:pt>
                <c:pt idx="116">
                  <c:v>37.192500000000003</c:v>
                </c:pt>
                <c:pt idx="117">
                  <c:v>37.975999999999999</c:v>
                </c:pt>
                <c:pt idx="118">
                  <c:v>38.972200000000001</c:v>
                </c:pt>
                <c:pt idx="119">
                  <c:v>39.671599999999998</c:v>
                </c:pt>
                <c:pt idx="120">
                  <c:v>40.401899999999998</c:v>
                </c:pt>
                <c:pt idx="121">
                  <c:v>41.299100000000003</c:v>
                </c:pt>
                <c:pt idx="122">
                  <c:v>41.880800000000001</c:v>
                </c:pt>
                <c:pt idx="123">
                  <c:v>42.057699999999997</c:v>
                </c:pt>
                <c:pt idx="124">
                  <c:v>42.779400000000003</c:v>
                </c:pt>
                <c:pt idx="125">
                  <c:v>43.730200000000004</c:v>
                </c:pt>
                <c:pt idx="126">
                  <c:v>44.462600000000002</c:v>
                </c:pt>
                <c:pt idx="127">
                  <c:v>45.475499999999997</c:v>
                </c:pt>
                <c:pt idx="128">
                  <c:v>46.246499999999997</c:v>
                </c:pt>
                <c:pt idx="129">
                  <c:v>46.983199999999997</c:v>
                </c:pt>
                <c:pt idx="130">
                  <c:v>47.950699999999998</c:v>
                </c:pt>
                <c:pt idx="131">
                  <c:v>48.702199999999998</c:v>
                </c:pt>
                <c:pt idx="132">
                  <c:v>49.433199999999999</c:v>
                </c:pt>
                <c:pt idx="133">
                  <c:v>49.695900000000002</c:v>
                </c:pt>
                <c:pt idx="134">
                  <c:v>50.734299999999998</c:v>
                </c:pt>
                <c:pt idx="135">
                  <c:v>51.472799999999999</c:v>
                </c:pt>
                <c:pt idx="136">
                  <c:v>52.238799999999998</c:v>
                </c:pt>
                <c:pt idx="137">
                  <c:v>53.243400000000001</c:v>
                </c:pt>
                <c:pt idx="138">
                  <c:v>53.891599999999997</c:v>
                </c:pt>
                <c:pt idx="139">
                  <c:v>55.064500000000002</c:v>
                </c:pt>
                <c:pt idx="140">
                  <c:v>55.7926</c:v>
                </c:pt>
                <c:pt idx="141">
                  <c:v>56.4998</c:v>
                </c:pt>
                <c:pt idx="142">
                  <c:v>57.659799999999997</c:v>
                </c:pt>
                <c:pt idx="143">
                  <c:v>57.7164</c:v>
                </c:pt>
                <c:pt idx="144">
                  <c:v>58.841799999999999</c:v>
                </c:pt>
                <c:pt idx="145">
                  <c:v>59.664400000000001</c:v>
                </c:pt>
                <c:pt idx="146">
                  <c:v>60.641500000000001</c:v>
                </c:pt>
                <c:pt idx="147">
                  <c:v>61.837299999999999</c:v>
                </c:pt>
                <c:pt idx="148">
                  <c:v>62.615400000000001</c:v>
                </c:pt>
                <c:pt idx="149">
                  <c:v>63.587000000000003</c:v>
                </c:pt>
                <c:pt idx="150">
                  <c:v>64.793300000000002</c:v>
                </c:pt>
                <c:pt idx="151">
                  <c:v>65.685000000000002</c:v>
                </c:pt>
                <c:pt idx="152">
                  <c:v>66.029200000000003</c:v>
                </c:pt>
                <c:pt idx="153">
                  <c:v>66.912999999999997</c:v>
                </c:pt>
                <c:pt idx="154">
                  <c:v>68.143500000000003</c:v>
                </c:pt>
                <c:pt idx="155">
                  <c:v>69.034599999999998</c:v>
                </c:pt>
                <c:pt idx="156">
                  <c:v>70.333799999999997</c:v>
                </c:pt>
                <c:pt idx="157">
                  <c:v>71.329499999999996</c:v>
                </c:pt>
                <c:pt idx="158">
                  <c:v>72.285200000000003</c:v>
                </c:pt>
                <c:pt idx="159">
                  <c:v>73.603499999999997</c:v>
                </c:pt>
                <c:pt idx="160">
                  <c:v>74.529300000000006</c:v>
                </c:pt>
                <c:pt idx="161">
                  <c:v>74.890799999999999</c:v>
                </c:pt>
                <c:pt idx="162">
                  <c:v>75.840800000000002</c:v>
                </c:pt>
                <c:pt idx="163">
                  <c:v>76.747200000000007</c:v>
                </c:pt>
                <c:pt idx="164">
                  <c:v>77.66</c:v>
                </c:pt>
                <c:pt idx="165">
                  <c:v>78.983099999999993</c:v>
                </c:pt>
                <c:pt idx="166">
                  <c:v>79.979799999999997</c:v>
                </c:pt>
                <c:pt idx="167">
                  <c:v>81.280199999999994</c:v>
                </c:pt>
                <c:pt idx="168">
                  <c:v>82.351799999999997</c:v>
                </c:pt>
                <c:pt idx="169">
                  <c:v>83.457700000000003</c:v>
                </c:pt>
                <c:pt idx="170">
                  <c:v>83.779300000000006</c:v>
                </c:pt>
                <c:pt idx="171">
                  <c:v>85.1614</c:v>
                </c:pt>
                <c:pt idx="172">
                  <c:v>86.131200000000007</c:v>
                </c:pt>
                <c:pt idx="173">
                  <c:v>87.358199999999997</c:v>
                </c:pt>
                <c:pt idx="174">
                  <c:v>88.765500000000003</c:v>
                </c:pt>
                <c:pt idx="175">
                  <c:v>89.767799999999994</c:v>
                </c:pt>
                <c:pt idx="176">
                  <c:v>91.345799999999997</c:v>
                </c:pt>
                <c:pt idx="177">
                  <c:v>91.346599999999995</c:v>
                </c:pt>
                <c:pt idx="178">
                  <c:v>92.806399999999996</c:v>
                </c:pt>
                <c:pt idx="179">
                  <c:v>93.898600000000002</c:v>
                </c:pt>
                <c:pt idx="180">
                  <c:v>95.283699999999996</c:v>
                </c:pt>
                <c:pt idx="181">
                  <c:v>96.405799999999999</c:v>
                </c:pt>
                <c:pt idx="182">
                  <c:v>97.459400000000002</c:v>
                </c:pt>
                <c:pt idx="183">
                  <c:v>98.896199999999993</c:v>
                </c:pt>
                <c:pt idx="184">
                  <c:v>99.875399999999999</c:v>
                </c:pt>
                <c:pt idx="185">
                  <c:v>101.1782</c:v>
                </c:pt>
                <c:pt idx="186">
                  <c:v>101.49630000000001</c:v>
                </c:pt>
                <c:pt idx="187">
                  <c:v>103.23739999999999</c:v>
                </c:pt>
                <c:pt idx="188">
                  <c:v>104.40560000000001</c:v>
                </c:pt>
                <c:pt idx="189">
                  <c:v>105.8841</c:v>
                </c:pt>
                <c:pt idx="190">
                  <c:v>107.0724</c:v>
                </c:pt>
                <c:pt idx="191">
                  <c:v>108.173</c:v>
                </c:pt>
                <c:pt idx="192">
                  <c:v>109.6938</c:v>
                </c:pt>
                <c:pt idx="193">
                  <c:v>110.9372</c:v>
                </c:pt>
                <c:pt idx="194">
                  <c:v>112.0449</c:v>
                </c:pt>
                <c:pt idx="195">
                  <c:v>112.4141</c:v>
                </c:pt>
                <c:pt idx="196">
                  <c:v>113.9853</c:v>
                </c:pt>
                <c:pt idx="197">
                  <c:v>115.0989</c:v>
                </c:pt>
                <c:pt idx="198">
                  <c:v>116.4405</c:v>
                </c:pt>
                <c:pt idx="199">
                  <c:v>118.0839</c:v>
                </c:pt>
                <c:pt idx="200">
                  <c:v>119.373</c:v>
                </c:pt>
                <c:pt idx="201">
                  <c:v>121.04940000000001</c:v>
                </c:pt>
                <c:pt idx="202">
                  <c:v>122.2955</c:v>
                </c:pt>
                <c:pt idx="203">
                  <c:v>123.5449</c:v>
                </c:pt>
                <c:pt idx="204">
                  <c:v>125.1461</c:v>
                </c:pt>
                <c:pt idx="205">
                  <c:v>126.3921</c:v>
                </c:pt>
                <c:pt idx="206">
                  <c:v>127.6366</c:v>
                </c:pt>
                <c:pt idx="207">
                  <c:v>128.06809999999999</c:v>
                </c:pt>
                <c:pt idx="208">
                  <c:v>129.7381</c:v>
                </c:pt>
                <c:pt idx="209">
                  <c:v>130.99090000000001</c:v>
                </c:pt>
                <c:pt idx="210">
                  <c:v>132.19999999999999</c:v>
                </c:pt>
                <c:pt idx="211">
                  <c:v>133.90479999999999</c:v>
                </c:pt>
                <c:pt idx="212">
                  <c:v>135.1678</c:v>
                </c:pt>
                <c:pt idx="213">
                  <c:v>136.8588</c:v>
                </c:pt>
                <c:pt idx="214">
                  <c:v>138.1609</c:v>
                </c:pt>
                <c:pt idx="215">
                  <c:v>139.42230000000001</c:v>
                </c:pt>
                <c:pt idx="216">
                  <c:v>141.23689999999999</c:v>
                </c:pt>
                <c:pt idx="217">
                  <c:v>142.56039999999999</c:v>
                </c:pt>
                <c:pt idx="218">
                  <c:v>143.90190000000001</c:v>
                </c:pt>
                <c:pt idx="219">
                  <c:v>145.59119999999999</c:v>
                </c:pt>
                <c:pt idx="220">
                  <c:v>146.8194</c:v>
                </c:pt>
                <c:pt idx="221">
                  <c:v>148.62389999999999</c:v>
                </c:pt>
                <c:pt idx="222">
                  <c:v>150.36670000000001</c:v>
                </c:pt>
                <c:pt idx="223">
                  <c:v>151.84780000000001</c:v>
                </c:pt>
                <c:pt idx="224">
                  <c:v>152.24590000000001</c:v>
                </c:pt>
                <c:pt idx="225">
                  <c:v>154.09270000000001</c:v>
                </c:pt>
                <c:pt idx="226">
                  <c:v>155.47499999999999</c:v>
                </c:pt>
                <c:pt idx="227">
                  <c:v>156.85470000000001</c:v>
                </c:pt>
                <c:pt idx="228">
                  <c:v>158.67439999999999</c:v>
                </c:pt>
                <c:pt idx="229">
                  <c:v>160.0609</c:v>
                </c:pt>
                <c:pt idx="230">
                  <c:v>161.43340000000001</c:v>
                </c:pt>
                <c:pt idx="231">
                  <c:v>163.1421</c:v>
                </c:pt>
                <c:pt idx="232">
                  <c:v>165.0582</c:v>
                </c:pt>
                <c:pt idx="233">
                  <c:v>166.47479999999999</c:v>
                </c:pt>
                <c:pt idx="234">
                  <c:v>168.35730000000001</c:v>
                </c:pt>
                <c:pt idx="235">
                  <c:v>169.79750000000001</c:v>
                </c:pt>
                <c:pt idx="236">
                  <c:v>171.25810000000001</c:v>
                </c:pt>
                <c:pt idx="237">
                  <c:v>173.1361</c:v>
                </c:pt>
                <c:pt idx="238">
                  <c:v>174.55779999999999</c:v>
                </c:pt>
                <c:pt idx="239">
                  <c:v>176.52760000000001</c:v>
                </c:pt>
                <c:pt idx="240">
                  <c:v>176.93549999999999</c:v>
                </c:pt>
                <c:pt idx="241">
                  <c:v>178.88229999999999</c:v>
                </c:pt>
                <c:pt idx="242">
                  <c:v>180.4331</c:v>
                </c:pt>
                <c:pt idx="243">
                  <c:v>181.90690000000001</c:v>
                </c:pt>
                <c:pt idx="244">
                  <c:v>183.84630000000001</c:v>
                </c:pt>
                <c:pt idx="245">
                  <c:v>185.18620000000001</c:v>
                </c:pt>
                <c:pt idx="246">
                  <c:v>186.77629999999999</c:v>
                </c:pt>
                <c:pt idx="247">
                  <c:v>188.39869999999999</c:v>
                </c:pt>
                <c:pt idx="248">
                  <c:v>189.76660000000001</c:v>
                </c:pt>
                <c:pt idx="249">
                  <c:v>191.24700000000001</c:v>
                </c:pt>
                <c:pt idx="250">
                  <c:v>193.40870000000001</c:v>
                </c:pt>
                <c:pt idx="251">
                  <c:v>195.08629999999999</c:v>
                </c:pt>
                <c:pt idx="252">
                  <c:v>197.76130000000001</c:v>
                </c:pt>
                <c:pt idx="253">
                  <c:v>200.05119999999999</c:v>
                </c:pt>
                <c:pt idx="254">
                  <c:v>201.66569999999999</c:v>
                </c:pt>
                <c:pt idx="255">
                  <c:v>203.4008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92-4A4A-9EAB-3E67894B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3684048"/>
        <c:axId val="137872928"/>
      </c:lineChart>
      <c:catAx>
        <c:axId val="191368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7872928"/>
        <c:crosses val="autoZero"/>
        <c:auto val="1"/>
        <c:lblAlgn val="ctr"/>
        <c:lblOffset val="100"/>
        <c:noMultiLvlLbl val="0"/>
      </c:catAx>
      <c:valAx>
        <c:axId val="1378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68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Gamma2.6_5400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'Gamma 2.6 5400K-長'!$C$16</c:f>
              <c:strCache>
                <c:ptCount val="1"/>
                <c:pt idx="0">
                  <c:v>-10%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'Gamma 2.6 5400K-長'!$B$17:$B$272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5400K-長'!$C$17:$C$272</c:f>
              <c:numCache>
                <c:formatCode>0.00_ </c:formatCode>
                <c:ptCount val="256"/>
                <c:pt idx="0">
                  <c:v>2.5900859549243646E-6</c:v>
                </c:pt>
                <c:pt idx="1">
                  <c:v>1.7603470033612599E-4</c:v>
                </c:pt>
                <c:pt idx="2">
                  <c:v>8.1462377611262208E-4</c:v>
                </c:pt>
                <c:pt idx="3">
                  <c:v>2.1223321623168099E-3</c:v>
                </c:pt>
                <c:pt idx="4">
                  <c:v>4.2664177917221572E-3</c:v>
                </c:pt>
                <c:pt idx="5">
                  <c:v>7.3939076493889358E-3</c:v>
                </c:pt>
                <c:pt idx="6">
                  <c:v>1.163828723652602E-2</c:v>
                </c:pt>
                <c:pt idx="7">
                  <c:v>1.7123087500351093E-2</c:v>
                </c:pt>
                <c:pt idx="8">
                  <c:v>2.396409142457083E-2</c:v>
                </c:pt>
                <c:pt idx="9">
                  <c:v>3.2270812593730658E-2</c:v>
                </c:pt>
                <c:pt idx="10">
                  <c:v>4.2147546216456284E-2</c:v>
                </c:pt>
                <c:pt idx="11">
                  <c:v>5.3694149461925862E-2</c:v>
                </c:pt>
                <c:pt idx="12">
                  <c:v>6.7006640553596966E-2</c:v>
                </c:pt>
                <c:pt idx="13">
                  <c:v>8.2177671121723223E-2</c:v>
                </c:pt>
                <c:pt idx="14">
                  <c:v>9.9296906791400963E-2</c:v>
                </c:pt>
                <c:pt idx="15">
                  <c:v>0.11845133940958411</c:v>
                </c:pt>
                <c:pt idx="16">
                  <c:v>0.13972554711867938</c:v>
                </c:pt>
                <c:pt idx="17">
                  <c:v>0.16320191382972604</c:v>
                </c:pt>
                <c:pt idx="18">
                  <c:v>0.18896081653532967</c:v>
                </c:pt>
                <c:pt idx="19">
                  <c:v>0.21708078676058293</c:v>
                </c:pt>
                <c:pt idx="20">
                  <c:v>0.24763865093958576</c:v>
                </c:pt>
                <c:pt idx="21">
                  <c:v>0.28070965341656667</c:v>
                </c:pt>
                <c:pt idx="22">
                  <c:v>0.31636756497105867</c:v>
                </c:pt>
                <c:pt idx="23">
                  <c:v>0.35468477916935226</c:v>
                </c:pt>
                <c:pt idx="24">
                  <c:v>0.39573239839151975</c:v>
                </c:pt>
                <c:pt idx="25">
                  <c:v>0.43958031103510609</c:v>
                </c:pt>
                <c:pt idx="26">
                  <c:v>0.48629726112559812</c:v>
                </c:pt>
                <c:pt idx="27">
                  <c:v>0.53595091135048856</c:v>
                </c:pt>
                <c:pt idx="28">
                  <c:v>0.58860790036413202</c:v>
                </c:pt>
                <c:pt idx="29">
                  <c:v>0.64433389507447503</c:v>
                </c:pt>
                <c:pt idx="30">
                  <c:v>0.70319363851248484</c:v>
                </c:pt>
                <c:pt idx="31">
                  <c:v>0.76525099379516082</c:v>
                </c:pt>
                <c:pt idx="32">
                  <c:v>0.8305689846190375</c:v>
                </c:pt>
                <c:pt idx="33">
                  <c:v>0.89920983265982835</c:v>
                </c:pt>
                <c:pt idx="34">
                  <c:v>0.97123499220285336</c:v>
                </c:pt>
                <c:pt idx="35">
                  <c:v>1.0467051822861226</c:v>
                </c:pt>
                <c:pt idx="36">
                  <c:v>1.1256804166018461</c:v>
                </c:pt>
                <c:pt idx="37">
                  <c:v>1.2082200313716676</c:v>
                </c:pt>
                <c:pt idx="38">
                  <c:v>1.2943827113848061</c:v>
                </c:pt>
                <c:pt idx="39">
                  <c:v>1.3842265143660992</c:v>
                </c:pt>
                <c:pt idx="40">
                  <c:v>1.4778088938217757</c:v>
                </c:pt>
                <c:pt idx="41">
                  <c:v>1.5751867204942851</c:v>
                </c:pt>
                <c:pt idx="42">
                  <c:v>1.6764163025432086</c:v>
                </c:pt>
                <c:pt idx="43">
                  <c:v>1.7815534045568411</c:v>
                </c:pt>
                <c:pt idx="44">
                  <c:v>1.8906532654881893</c:v>
                </c:pt>
                <c:pt idx="45">
                  <c:v>2.0037706155996045</c:v>
                </c:pt>
                <c:pt idx="46">
                  <c:v>2.1209596924919532</c:v>
                </c:pt>
                <c:pt idx="47">
                  <c:v>2.2422742562868558</c:v>
                </c:pt>
                <c:pt idx="48">
                  <c:v>2.367767604024031</c:v>
                </c:pt>
                <c:pt idx="49">
                  <c:v>2.4974925833300357</c:v>
                </c:pt>
                <c:pt idx="50">
                  <c:v>2.6315016054095368</c:v>
                </c:pt>
                <c:pt idx="51">
                  <c:v>2.769846657405771</c:v>
                </c:pt>
                <c:pt idx="52">
                  <c:v>2.9125793141726657</c:v>
                </c:pt>
                <c:pt idx="53">
                  <c:v>3.0597507494976188</c:v>
                </c:pt>
                <c:pt idx="54">
                  <c:v>3.2114117468104504</c:v>
                </c:pt>
                <c:pt idx="55">
                  <c:v>3.3676127094113459</c:v>
                </c:pt>
                <c:pt idx="56">
                  <c:v>3.5284036702477395</c:v>
                </c:pt>
                <c:pt idx="57">
                  <c:v>3.6938343012679065</c:v>
                </c:pt>
                <c:pt idx="58">
                  <c:v>3.8639539223766715</c:v>
                </c:pt>
                <c:pt idx="59">
                  <c:v>4.0388115100168971</c:v>
                </c:pt>
                <c:pt idx="60">
                  <c:v>4.2184557053984193</c:v>
                </c:pt>
                <c:pt idx="61">
                  <c:v>4.4029348223947249</c:v>
                </c:pt>
                <c:pt idx="62">
                  <c:v>4.5922968551259427</c:v>
                </c:pt>
                <c:pt idx="63">
                  <c:v>4.7865894852456048</c:v>
                </c:pt>
                <c:pt idx="64">
                  <c:v>4.9858600889472848</c:v>
                </c:pt>
                <c:pt idx="65">
                  <c:v>5.1901557437060735</c:v>
                </c:pt>
                <c:pt idx="66">
                  <c:v>5.3995232347690196</c:v>
                </c:pt>
                <c:pt idx="67">
                  <c:v>5.6140090614074092</c:v>
                </c:pt>
                <c:pt idx="68">
                  <c:v>5.8336594429432349</c:v>
                </c:pt>
                <c:pt idx="69">
                  <c:v>6.0585203245611163</c:v>
                </c:pt>
                <c:pt idx="70">
                  <c:v>6.2886373829164199</c:v>
                </c:pt>
                <c:pt idx="71">
                  <c:v>6.5240560315495033</c:v>
                </c:pt>
                <c:pt idx="72">
                  <c:v>6.7648214261154855</c:v>
                </c:pt>
                <c:pt idx="73">
                  <c:v>7.0109784694382791</c:v>
                </c:pt>
                <c:pt idx="74">
                  <c:v>7.2625718163971875</c:v>
                </c:pt>
                <c:pt idx="75">
                  <c:v>7.5196458786537397</c:v>
                </c:pt>
                <c:pt idx="76">
                  <c:v>7.782244829226193</c:v>
                </c:pt>
                <c:pt idx="77">
                  <c:v>8.0504126069184263</c:v>
                </c:pt>
                <c:pt idx="78">
                  <c:v>8.3241929206097591</c:v>
                </c:pt>
                <c:pt idx="79">
                  <c:v>8.6036292534118797</c:v>
                </c:pt>
                <c:pt idx="80">
                  <c:v>8.8887648666984713</c:v>
                </c:pt>
                <c:pt idx="81">
                  <c:v>9.1796428040131985</c:v>
                </c:pt>
                <c:pt idx="82">
                  <c:v>9.4763058948609906</c:v>
                </c:pt>
                <c:pt idx="83">
                  <c:v>9.7787967583876281</c:v>
                </c:pt>
                <c:pt idx="84">
                  <c:v>10.087157806952222</c:v>
                </c:pt>
                <c:pt idx="85">
                  <c:v>10.401431249596868</c:v>
                </c:pt>
                <c:pt idx="86">
                  <c:v>10.721659095417774</c:v>
                </c:pt>
                <c:pt idx="87">
                  <c:v>11.047883156841531</c:v>
                </c:pt>
                <c:pt idx="88">
                  <c:v>11.380145052810612</c:v>
                </c:pt>
                <c:pt idx="89">
                  <c:v>11.718486211881251</c:v>
                </c:pt>
                <c:pt idx="90">
                  <c:v>12.062947875237374</c:v>
                </c:pt>
                <c:pt idx="91">
                  <c:v>12.413571099623566</c:v>
                </c:pt>
                <c:pt idx="92">
                  <c:v>12.770396760200235</c:v>
                </c:pt>
                <c:pt idx="93">
                  <c:v>13.133465553323877</c:v>
                </c:pt>
                <c:pt idx="94">
                  <c:v>13.502817999255074</c:v>
                </c:pt>
                <c:pt idx="95">
                  <c:v>13.878494444796965</c:v>
                </c:pt>
                <c:pt idx="96">
                  <c:v>14.260535065866701</c:v>
                </c:pt>
                <c:pt idx="97">
                  <c:v>14.648979870002162</c:v>
                </c:pt>
                <c:pt idx="98">
                  <c:v>15.043868698806362</c:v>
                </c:pt>
                <c:pt idx="99">
                  <c:v>15.445241230331566</c:v>
                </c:pt>
                <c:pt idx="100">
                  <c:v>15.853136981405358</c:v>
                </c:pt>
                <c:pt idx="101">
                  <c:v>16.267595309900511</c:v>
                </c:pt>
                <c:pt idx="102">
                  <c:v>16.68865541695066</c:v>
                </c:pt>
                <c:pt idx="103">
                  <c:v>17.116356349113477</c:v>
                </c:pt>
                <c:pt idx="104">
                  <c:v>17.550737000483252</c:v>
                </c:pt>
                <c:pt idx="105">
                  <c:v>17.991836114754413</c:v>
                </c:pt>
                <c:pt idx="106">
                  <c:v>18.439692287237616</c:v>
                </c:pt>
                <c:pt idx="107">
                  <c:v>18.894343966829986</c:v>
                </c:pt>
                <c:pt idx="108">
                  <c:v>19.355829457940871</c:v>
                </c:pt>
                <c:pt idx="109">
                  <c:v>19.824186922374608</c:v>
                </c:pt>
                <c:pt idx="110">
                  <c:v>20.299454381171667</c:v>
                </c:pt>
                <c:pt idx="111">
                  <c:v>20.781669716409297</c:v>
                </c:pt>
                <c:pt idx="112">
                  <c:v>21.270870672963184</c:v>
                </c:pt>
                <c:pt idx="113">
                  <c:v>21.767094860231051</c:v>
                </c:pt>
                <c:pt idx="114">
                  <c:v>22.270379753819547</c:v>
                </c:pt>
                <c:pt idx="115">
                  <c:v>22.780762697195364</c:v>
                </c:pt>
                <c:pt idx="116">
                  <c:v>23.298280903301819</c:v>
                </c:pt>
                <c:pt idx="117">
                  <c:v>23.822971456141783</c:v>
                </c:pt>
                <c:pt idx="118">
                  <c:v>24.354871312327994</c:v>
                </c:pt>
                <c:pt idx="119">
                  <c:v>24.894017302601569</c:v>
                </c:pt>
                <c:pt idx="120">
                  <c:v>25.440446133320027</c:v>
                </c:pt>
                <c:pt idx="121">
                  <c:v>25.994194387915076</c:v>
                </c:pt>
                <c:pt idx="122">
                  <c:v>26.555298528321625</c:v>
                </c:pt>
                <c:pt idx="123">
                  <c:v>27.123794896378357</c:v>
                </c:pt>
                <c:pt idx="124">
                  <c:v>27.699719715200992</c:v>
                </c:pt>
                <c:pt idx="125">
                  <c:v>28.283109090528729</c:v>
                </c:pt>
                <c:pt idx="126">
                  <c:v>28.873999012044859</c:v>
                </c:pt>
                <c:pt idx="127">
                  <c:v>29.472425354671923</c:v>
                </c:pt>
                <c:pt idx="128">
                  <c:v>30.078423879842504</c:v>
                </c:pt>
                <c:pt idx="129">
                  <c:v>30.692030236745882</c:v>
                </c:pt>
                <c:pt idx="130">
                  <c:v>31.313279963551555</c:v>
                </c:pt>
                <c:pt idx="131">
                  <c:v>31.942208488609946</c:v>
                </c:pt>
                <c:pt idx="132">
                  <c:v>32.578851131631204</c:v>
                </c:pt>
                <c:pt idx="133">
                  <c:v>33.223243104842112</c:v>
                </c:pt>
                <c:pt idx="134">
                  <c:v>33.875419514122527</c:v>
                </c:pt>
                <c:pt idx="135">
                  <c:v>34.535415360121</c:v>
                </c:pt>
                <c:pt idx="136">
                  <c:v>35.203265539350632</c:v>
                </c:pt>
                <c:pt idx="137">
                  <c:v>35.879004845265449</c:v>
                </c:pt>
                <c:pt idx="138">
                  <c:v>36.562667969317914</c:v>
                </c:pt>
                <c:pt idx="139">
                  <c:v>37.254289501997938</c:v>
                </c:pt>
                <c:pt idx="140">
                  <c:v>37.953903933853908</c:v>
                </c:pt>
                <c:pt idx="141">
                  <c:v>38.661545656495981</c:v>
                </c:pt>
                <c:pt idx="142">
                  <c:v>39.377248963582531</c:v>
                </c:pt>
                <c:pt idx="143">
                  <c:v>40.101048051789576</c:v>
                </c:pt>
                <c:pt idx="144">
                  <c:v>40.832977021764037</c:v>
                </c:pt>
                <c:pt idx="145">
                  <c:v>41.573069879060959</c:v>
                </c:pt>
                <c:pt idx="146">
                  <c:v>42.321360535065203</c:v>
                </c:pt>
                <c:pt idx="147">
                  <c:v>43.077882807897922</c:v>
                </c:pt>
                <c:pt idx="148">
                  <c:v>43.842670423308242</c:v>
                </c:pt>
                <c:pt idx="149">
                  <c:v>44.615757015550194</c:v>
                </c:pt>
                <c:pt idx="150">
                  <c:v>45.397176128245803</c:v>
                </c:pt>
                <c:pt idx="151">
                  <c:v>46.186961215234135</c:v>
                </c:pt>
                <c:pt idx="152">
                  <c:v>46.985145641406689</c:v>
                </c:pt>
                <c:pt idx="153">
                  <c:v>47.791762683529811</c:v>
                </c:pt>
                <c:pt idx="154">
                  <c:v>48.606845531053942</c:v>
                </c:pt>
                <c:pt idx="155">
                  <c:v>49.430427286910344</c:v>
                </c:pt>
                <c:pt idx="156">
                  <c:v>50.262540968295383</c:v>
                </c:pt>
                <c:pt idx="157">
                  <c:v>51.10321950744261</c:v>
                </c:pt>
                <c:pt idx="158">
                  <c:v>51.952495752383221</c:v>
                </c:pt>
                <c:pt idx="159">
                  <c:v>52.810402467694814</c:v>
                </c:pt>
                <c:pt idx="160">
                  <c:v>53.676972335238652</c:v>
                </c:pt>
                <c:pt idx="161">
                  <c:v>54.552237954886138</c:v>
                </c:pt>
                <c:pt idx="162">
                  <c:v>55.436231845234069</c:v>
                </c:pt>
                <c:pt idx="163">
                  <c:v>56.328986444309628</c:v>
                </c:pt>
                <c:pt idx="164">
                  <c:v>57.230534110264657</c:v>
                </c:pt>
                <c:pt idx="165">
                  <c:v>58.140907122059801</c:v>
                </c:pt>
                <c:pt idx="166">
                  <c:v>59.060137680138894</c:v>
                </c:pt>
                <c:pt idx="167">
                  <c:v>59.988257907093214</c:v>
                </c:pt>
                <c:pt idx="168">
                  <c:v>60.925299848316413</c:v>
                </c:pt>
                <c:pt idx="169">
                  <c:v>61.87129547264994</c:v>
                </c:pt>
                <c:pt idx="170">
                  <c:v>62.826276673019372</c:v>
                </c:pt>
                <c:pt idx="171">
                  <c:v>63.79027526706156</c:v>
                </c:pt>
                <c:pt idx="172">
                  <c:v>64.76332299774316</c:v>
                </c:pt>
                <c:pt idx="173">
                  <c:v>65.745451533970183</c:v>
                </c:pt>
                <c:pt idx="174">
                  <c:v>66.736692471189613</c:v>
                </c:pt>
                <c:pt idx="175">
                  <c:v>67.737077331982007</c:v>
                </c:pt>
                <c:pt idx="176">
                  <c:v>68.746637566646612</c:v>
                </c:pt>
                <c:pt idx="177">
                  <c:v>69.765404553777799</c:v>
                </c:pt>
                <c:pt idx="178">
                  <c:v>70.793409600834423</c:v>
                </c:pt>
                <c:pt idx="179">
                  <c:v>71.830683944700695</c:v>
                </c:pt>
                <c:pt idx="180">
                  <c:v>72.877258752240181</c:v>
                </c:pt>
                <c:pt idx="181">
                  <c:v>73.933165120841863</c:v>
                </c:pt>
                <c:pt idx="182">
                  <c:v>74.998434078959377</c:v>
                </c:pt>
                <c:pt idx="183">
                  <c:v>76.073096586642819</c:v>
                </c:pt>
                <c:pt idx="184">
                  <c:v>77.157183536063656</c:v>
                </c:pt>
                <c:pt idx="185">
                  <c:v>78.250725752032736</c:v>
                </c:pt>
                <c:pt idx="186">
                  <c:v>79.353753992511685</c:v>
                </c:pt>
                <c:pt idx="187">
                  <c:v>80.466298949117444</c:v>
                </c:pt>
                <c:pt idx="188">
                  <c:v>81.588391247620649</c:v>
                </c:pt>
                <c:pt idx="189">
                  <c:v>82.720061448437164</c:v>
                </c:pt>
                <c:pt idx="190">
                  <c:v>83.861340047113899</c:v>
                </c:pt>
                <c:pt idx="191">
                  <c:v>85.012257474808038</c:v>
                </c:pt>
                <c:pt idx="192">
                  <c:v>86.172844098760436</c:v>
                </c:pt>
                <c:pt idx="193">
                  <c:v>87.343130222763051</c:v>
                </c:pt>
                <c:pt idx="194">
                  <c:v>88.523146087620432</c:v>
                </c:pt>
                <c:pt idx="195">
                  <c:v>89.71292187160573</c:v>
                </c:pt>
                <c:pt idx="196">
                  <c:v>90.912487690910865</c:v>
                </c:pt>
                <c:pt idx="197">
                  <c:v>92.121873600091078</c:v>
                </c:pt>
                <c:pt idx="198">
                  <c:v>93.341109592504509</c:v>
                </c:pt>
                <c:pt idx="199">
                  <c:v>94.570225600745829</c:v>
                </c:pt>
                <c:pt idx="200">
                  <c:v>95.809251497075138</c:v>
                </c:pt>
                <c:pt idx="201">
                  <c:v>97.058217093841364</c:v>
                </c:pt>
                <c:pt idx="202">
                  <c:v>98.317152143900714</c:v>
                </c:pt>
                <c:pt idx="203">
                  <c:v>99.586086341030253</c:v>
                </c:pt>
                <c:pt idx="204">
                  <c:v>100.8650493203364</c:v>
                </c:pt>
                <c:pt idx="205">
                  <c:v>102.15407065865853</c:v>
                </c:pt>
                <c:pt idx="206">
                  <c:v>103.45317987496827</c:v>
                </c:pt>
                <c:pt idx="207">
                  <c:v>104.76240643076363</c:v>
                </c:pt>
                <c:pt idx="208">
                  <c:v>106.08177973045886</c:v>
                </c:pt>
                <c:pt idx="209">
                  <c:v>107.41132912176963</c:v>
                </c:pt>
                <c:pt idx="210">
                  <c:v>108.75108389609383</c:v>
                </c:pt>
                <c:pt idx="211">
                  <c:v>110.10107328888822</c:v>
                </c:pt>
                <c:pt idx="212">
                  <c:v>111.46132648004034</c:v>
                </c:pt>
                <c:pt idx="213">
                  <c:v>112.83187259423647</c:v>
                </c:pt>
                <c:pt idx="214">
                  <c:v>114.21274070132564</c:v>
                </c:pt>
                <c:pt idx="215">
                  <c:v>115.60395981667907</c:v>
                </c:pt>
                <c:pt idx="216">
                  <c:v>117.0055589015459</c:v>
                </c:pt>
                <c:pt idx="217">
                  <c:v>118.41756686340489</c:v>
                </c:pt>
                <c:pt idx="218">
                  <c:v>119.84001255631237</c:v>
                </c:pt>
                <c:pt idx="219">
                  <c:v>121.27292478124591</c:v>
                </c:pt>
                <c:pt idx="220">
                  <c:v>122.71633228644477</c:v>
                </c:pt>
                <c:pt idx="221">
                  <c:v>124.17026376774611</c:v>
                </c:pt>
                <c:pt idx="222">
                  <c:v>125.63474786891803</c:v>
                </c:pt>
                <c:pt idx="223">
                  <c:v>127.10981318198864</c:v>
                </c:pt>
                <c:pt idx="224">
                  <c:v>128.59548824757172</c:v>
                </c:pt>
                <c:pt idx="225">
                  <c:v>130.09180155518885</c:v>
                </c:pt>
                <c:pt idx="226">
                  <c:v>131.59878154358802</c:v>
                </c:pt>
                <c:pt idx="227">
                  <c:v>133.11645660105918</c:v>
                </c:pt>
                <c:pt idx="228">
                  <c:v>134.64485506574596</c:v>
                </c:pt>
                <c:pt idx="229">
                  <c:v>136.18400522595437</c:v>
                </c:pt>
                <c:pt idx="230">
                  <c:v>137.73393532045841</c:v>
                </c:pt>
                <c:pt idx="231">
                  <c:v>139.2946735388021</c:v>
                </c:pt>
                <c:pt idx="232">
                  <c:v>140.86624802159866</c:v>
                </c:pt>
                <c:pt idx="233">
                  <c:v>142.44868686082643</c:v>
                </c:pt>
                <c:pt idx="234">
                  <c:v>144.04201810012191</c:v>
                </c:pt>
                <c:pt idx="235">
                  <c:v>145.64626973506964</c:v>
                </c:pt>
                <c:pt idx="236">
                  <c:v>147.26146971348888</c:v>
                </c:pt>
                <c:pt idx="237">
                  <c:v>148.88764593571813</c:v>
                </c:pt>
                <c:pt idx="238">
                  <c:v>150.52482625489591</c:v>
                </c:pt>
                <c:pt idx="239">
                  <c:v>152.17303847723915</c:v>
                </c:pt>
                <c:pt idx="240">
                  <c:v>153.83231036231862</c:v>
                </c:pt>
                <c:pt idx="241">
                  <c:v>155.50266962333188</c:v>
                </c:pt>
                <c:pt idx="242">
                  <c:v>157.18414392737304</c:v>
                </c:pt>
                <c:pt idx="243">
                  <c:v>158.8767608957003</c:v>
                </c:pt>
                <c:pt idx="244">
                  <c:v>160.58054810400029</c:v>
                </c:pt>
                <c:pt idx="245">
                  <c:v>162.29553308265071</c:v>
                </c:pt>
                <c:pt idx="246">
                  <c:v>164.02174331697924</c:v>
                </c:pt>
                <c:pt idx="247">
                  <c:v>165.75920624752092</c:v>
                </c:pt>
                <c:pt idx="248">
                  <c:v>167.50794927027235</c:v>
                </c:pt>
                <c:pt idx="249">
                  <c:v>169.26799973694395</c:v>
                </c:pt>
                <c:pt idx="250">
                  <c:v>171.03938495520913</c:v>
                </c:pt>
                <c:pt idx="251">
                  <c:v>172.82213218895188</c:v>
                </c:pt>
                <c:pt idx="252">
                  <c:v>174.61626865851116</c:v>
                </c:pt>
                <c:pt idx="253">
                  <c:v>176.4218215409237</c:v>
                </c:pt>
                <c:pt idx="254">
                  <c:v>178.23881797016389</c:v>
                </c:pt>
                <c:pt idx="255">
                  <c:v>179.61660000000001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2-434C-94A5-218492A75641}"/>
            </c:ext>
          </c:extLst>
        </c:ser>
        <c:ser>
          <c:idx val="1"/>
          <c:order val="1"/>
          <c:tx>
            <c:strRef>
              <c:f>'Gamma 2.6 5400K-長'!$D$16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'Gamma 2.6 5400K-長'!$B$17:$B$272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5400K-長'!$D$17:$D$272</c:f>
              <c:numCache>
                <c:formatCode>0.00_ </c:formatCode>
                <c:ptCount val="256"/>
                <c:pt idx="0">
                  <c:v>2.8778732832492938E-6</c:v>
                </c:pt>
                <c:pt idx="1">
                  <c:v>1.9559411148458445E-4</c:v>
                </c:pt>
                <c:pt idx="2">
                  <c:v>9.0513752901402451E-4</c:v>
                </c:pt>
                <c:pt idx="3">
                  <c:v>2.3581468470186776E-3</c:v>
                </c:pt>
                <c:pt idx="4">
                  <c:v>4.7404642130246194E-3</c:v>
                </c:pt>
                <c:pt idx="5">
                  <c:v>8.215452943765484E-3</c:v>
                </c:pt>
                <c:pt idx="6">
                  <c:v>1.2931430262806689E-2</c:v>
                </c:pt>
                <c:pt idx="7">
                  <c:v>1.9025652778167881E-2</c:v>
                </c:pt>
                <c:pt idx="8">
                  <c:v>2.6626768249523144E-2</c:v>
                </c:pt>
                <c:pt idx="9">
                  <c:v>3.5856458437478513E-2</c:v>
                </c:pt>
                <c:pt idx="10">
                  <c:v>4.6830606907173652E-2</c:v>
                </c:pt>
                <c:pt idx="11">
                  <c:v>5.9660166068806517E-2</c:v>
                </c:pt>
                <c:pt idx="12">
                  <c:v>7.4451822837329956E-2</c:v>
                </c:pt>
                <c:pt idx="13">
                  <c:v>9.1308523468581357E-2</c:v>
                </c:pt>
                <c:pt idx="14">
                  <c:v>0.11032989643488995</c:v>
                </c:pt>
                <c:pt idx="15">
                  <c:v>0.13161259934398234</c:v>
                </c:pt>
                <c:pt idx="16">
                  <c:v>0.15525060790964376</c:v>
                </c:pt>
                <c:pt idx="17">
                  <c:v>0.1813354598108067</c:v>
                </c:pt>
                <c:pt idx="18">
                  <c:v>0.20995646281703298</c:v>
                </c:pt>
                <c:pt idx="19">
                  <c:v>0.24120087417842548</c:v>
                </c:pt>
                <c:pt idx="20">
                  <c:v>0.27515405659953973</c:v>
                </c:pt>
                <c:pt idx="21">
                  <c:v>0.31189961490729629</c:v>
                </c:pt>
                <c:pt idx="22">
                  <c:v>0.35151951663450964</c:v>
                </c:pt>
                <c:pt idx="23">
                  <c:v>0.39409419907705806</c:v>
                </c:pt>
                <c:pt idx="24">
                  <c:v>0.43970266487946641</c:v>
                </c:pt>
                <c:pt idx="25">
                  <c:v>0.48842256781678456</c:v>
                </c:pt>
                <c:pt idx="26">
                  <c:v>0.54033029013955347</c:v>
                </c:pt>
                <c:pt idx="27">
                  <c:v>0.59550101261165389</c:v>
                </c:pt>
                <c:pt idx="28">
                  <c:v>0.65400877818236891</c:v>
                </c:pt>
                <c:pt idx="29">
                  <c:v>0.71592655008275008</c:v>
                </c:pt>
                <c:pt idx="30">
                  <c:v>0.78132626501387203</c:v>
                </c:pt>
                <c:pt idx="31">
                  <c:v>0.85027888199462309</c:v>
                </c:pt>
                <c:pt idx="32">
                  <c:v>0.92285442735448608</c:v>
                </c:pt>
                <c:pt idx="33">
                  <c:v>0.99912203628869811</c:v>
                </c:pt>
                <c:pt idx="34">
                  <c:v>1.0791499913365037</c:v>
                </c:pt>
                <c:pt idx="35">
                  <c:v>1.1630057580956918</c:v>
                </c:pt>
                <c:pt idx="36">
                  <c:v>1.2507560184464956</c:v>
                </c:pt>
                <c:pt idx="37">
                  <c:v>1.342466701524075</c:v>
                </c:pt>
                <c:pt idx="38">
                  <c:v>1.4382030126497845</c:v>
                </c:pt>
                <c:pt idx="39">
                  <c:v>1.538029460406777</c:v>
                </c:pt>
                <c:pt idx="40">
                  <c:v>1.6420098820241953</c:v>
                </c:pt>
                <c:pt idx="41">
                  <c:v>1.7502074672158723</c:v>
                </c:pt>
                <c:pt idx="42">
                  <c:v>1.8626847806035651</c:v>
                </c:pt>
                <c:pt idx="43">
                  <c:v>1.9795037828409345</c:v>
                </c:pt>
                <c:pt idx="44">
                  <c:v>2.1007258505424327</c:v>
                </c:pt>
                <c:pt idx="45">
                  <c:v>2.2264117951106717</c:v>
                </c:pt>
                <c:pt idx="46">
                  <c:v>2.3566218805466148</c:v>
                </c:pt>
                <c:pt idx="47">
                  <c:v>2.4914158403187288</c:v>
                </c:pt>
                <c:pt idx="48">
                  <c:v>2.6308528933600344</c:v>
                </c:pt>
                <c:pt idx="49">
                  <c:v>2.7749917592555953</c:v>
                </c:pt>
                <c:pt idx="50">
                  <c:v>2.9238906726772633</c:v>
                </c:pt>
                <c:pt idx="51">
                  <c:v>3.0776073971175233</c:v>
                </c:pt>
                <c:pt idx="52">
                  <c:v>3.2361992379696285</c:v>
                </c:pt>
                <c:pt idx="53">
                  <c:v>3.3997230549973541</c:v>
                </c:pt>
                <c:pt idx="54">
                  <c:v>3.5682352742338339</c:v>
                </c:pt>
                <c:pt idx="55">
                  <c:v>3.74179189934594</c:v>
                </c:pt>
                <c:pt idx="56">
                  <c:v>3.9204485224974883</c:v>
                </c:pt>
                <c:pt idx="57">
                  <c:v>4.1042603347421185</c:v>
                </c:pt>
                <c:pt idx="58">
                  <c:v>4.2932821359740796</c:v>
                </c:pt>
                <c:pt idx="59">
                  <c:v>4.4875683444632193</c:v>
                </c:pt>
                <c:pt idx="60">
                  <c:v>4.6871730059982433</c:v>
                </c:pt>
                <c:pt idx="61">
                  <c:v>4.8921498026608052</c:v>
                </c:pt>
                <c:pt idx="62">
                  <c:v>5.1025520612510471</c:v>
                </c:pt>
                <c:pt idx="63">
                  <c:v>5.3184327613840052</c:v>
                </c:pt>
                <c:pt idx="64">
                  <c:v>5.5398445432747607</c:v>
                </c:pt>
                <c:pt idx="65">
                  <c:v>5.7668397152289703</c:v>
                </c:pt>
                <c:pt idx="66">
                  <c:v>5.9994702608544666</c:v>
                </c:pt>
                <c:pt idx="67">
                  <c:v>6.2377878460082323</c:v>
                </c:pt>
                <c:pt idx="68">
                  <c:v>6.4818438254924837</c:v>
                </c:pt>
                <c:pt idx="69">
                  <c:v>6.7316892495123515</c:v>
                </c:pt>
                <c:pt idx="70">
                  <c:v>6.9873748699071339</c:v>
                </c:pt>
                <c:pt idx="71">
                  <c:v>7.2489511461661147</c:v>
                </c:pt>
                <c:pt idx="72">
                  <c:v>7.5164682512394281</c:v>
                </c:pt>
                <c:pt idx="73">
                  <c:v>7.7899760771536437</c:v>
                </c:pt>
                <c:pt idx="74">
                  <c:v>8.0695242404413197</c:v>
                </c:pt>
                <c:pt idx="75">
                  <c:v>8.3551620873930439</c:v>
                </c:pt>
                <c:pt idx="76">
                  <c:v>8.6469386991402146</c:v>
                </c:pt>
                <c:pt idx="77">
                  <c:v>8.9449028965760284</c:v>
                </c:pt>
                <c:pt idx="78">
                  <c:v>9.2491032451219546</c:v>
                </c:pt>
                <c:pt idx="79">
                  <c:v>9.5595880593465328</c:v>
                </c:pt>
                <c:pt idx="80">
                  <c:v>9.8764054074427463</c:v>
                </c:pt>
                <c:pt idx="81">
                  <c:v>10.199603115570222</c:v>
                </c:pt>
                <c:pt idx="82">
                  <c:v>10.529228772067768</c:v>
                </c:pt>
                <c:pt idx="83">
                  <c:v>10.865329731541809</c:v>
                </c:pt>
                <c:pt idx="84">
                  <c:v>11.207953118835801</c:v>
                </c:pt>
                <c:pt idx="85">
                  <c:v>11.557145832885409</c:v>
                </c:pt>
                <c:pt idx="86">
                  <c:v>11.912954550464192</c:v>
                </c:pt>
                <c:pt idx="87">
                  <c:v>12.275425729823922</c:v>
                </c:pt>
                <c:pt idx="88">
                  <c:v>12.644605614234013</c:v>
                </c:pt>
                <c:pt idx="89">
                  <c:v>13.020540235423612</c:v>
                </c:pt>
                <c:pt idx="90">
                  <c:v>13.403275416930414</c:v>
                </c:pt>
                <c:pt idx="91">
                  <c:v>13.792856777359518</c:v>
                </c:pt>
                <c:pt idx="92">
                  <c:v>14.189329733555816</c:v>
                </c:pt>
                <c:pt idx="93">
                  <c:v>14.592739503693197</c:v>
                </c:pt>
                <c:pt idx="94">
                  <c:v>15.003131110283416</c:v>
                </c:pt>
                <c:pt idx="95">
                  <c:v>15.420549383107739</c:v>
                </c:pt>
                <c:pt idx="96">
                  <c:v>15.845038962074112</c:v>
                </c:pt>
                <c:pt idx="97">
                  <c:v>16.276644300002403</c:v>
                </c:pt>
                <c:pt idx="98">
                  <c:v>16.715409665340403</c:v>
                </c:pt>
                <c:pt idx="99">
                  <c:v>17.161379144812852</c:v>
                </c:pt>
                <c:pt idx="100">
                  <c:v>17.614596646005953</c:v>
                </c:pt>
                <c:pt idx="101">
                  <c:v>18.075105899889458</c:v>
                </c:pt>
                <c:pt idx="102">
                  <c:v>18.542950463278512</c:v>
                </c:pt>
                <c:pt idx="103">
                  <c:v>19.018173721237197</c:v>
                </c:pt>
                <c:pt idx="104">
                  <c:v>19.500818889425837</c:v>
                </c:pt>
                <c:pt idx="105">
                  <c:v>19.990929016393792</c:v>
                </c:pt>
                <c:pt idx="106">
                  <c:v>20.488546985819575</c:v>
                </c:pt>
                <c:pt idx="107">
                  <c:v>20.993715518699986</c:v>
                </c:pt>
                <c:pt idx="108">
                  <c:v>21.506477175489856</c:v>
                </c:pt>
                <c:pt idx="109">
                  <c:v>22.026874358194007</c:v>
                </c:pt>
                <c:pt idx="110">
                  <c:v>22.554949312412965</c:v>
                </c:pt>
                <c:pt idx="111">
                  <c:v>23.090744129343662</c:v>
                </c:pt>
                <c:pt idx="112">
                  <c:v>23.634300747736869</c:v>
                </c:pt>
                <c:pt idx="113">
                  <c:v>24.185660955812278</c:v>
                </c:pt>
                <c:pt idx="114">
                  <c:v>24.744866393132831</c:v>
                </c:pt>
                <c:pt idx="115">
                  <c:v>25.311958552439293</c:v>
                </c:pt>
                <c:pt idx="116">
                  <c:v>25.886978781446466</c:v>
                </c:pt>
                <c:pt idx="117">
                  <c:v>26.469968284601983</c:v>
                </c:pt>
                <c:pt idx="118">
                  <c:v>27.06096812480888</c:v>
                </c:pt>
                <c:pt idx="119">
                  <c:v>27.660019225112855</c:v>
                </c:pt>
                <c:pt idx="120">
                  <c:v>28.267162370355585</c:v>
                </c:pt>
                <c:pt idx="121">
                  <c:v>28.882438208794529</c:v>
                </c:pt>
                <c:pt idx="122">
                  <c:v>29.505887253690695</c:v>
                </c:pt>
                <c:pt idx="123">
                  <c:v>30.137549884864843</c:v>
                </c:pt>
                <c:pt idx="124">
                  <c:v>30.777466350223325</c:v>
                </c:pt>
                <c:pt idx="125">
                  <c:v>31.425676767254142</c:v>
                </c:pt>
                <c:pt idx="126">
                  <c:v>32.082221124494289</c:v>
                </c:pt>
                <c:pt idx="127">
                  <c:v>32.747139282968803</c:v>
                </c:pt>
                <c:pt idx="128">
                  <c:v>33.420470977602783</c:v>
                </c:pt>
                <c:pt idx="129">
                  <c:v>34.102255818606537</c:v>
                </c:pt>
                <c:pt idx="130">
                  <c:v>34.79253329283506</c:v>
                </c:pt>
                <c:pt idx="131">
                  <c:v>35.491342765122162</c:v>
                </c:pt>
                <c:pt idx="132">
                  <c:v>36.198723479590228</c:v>
                </c:pt>
                <c:pt idx="133">
                  <c:v>36.914714560935678</c:v>
                </c:pt>
                <c:pt idx="134">
                  <c:v>37.639355015691699</c:v>
                </c:pt>
                <c:pt idx="135">
                  <c:v>38.372683733467781</c:v>
                </c:pt>
                <c:pt idx="136">
                  <c:v>39.114739488167366</c:v>
                </c:pt>
                <c:pt idx="137">
                  <c:v>39.86556093918383</c:v>
                </c:pt>
                <c:pt idx="138">
                  <c:v>40.625186632575456</c:v>
                </c:pt>
                <c:pt idx="139">
                  <c:v>41.39365500221993</c:v>
                </c:pt>
                <c:pt idx="140">
                  <c:v>42.171004370948786</c:v>
                </c:pt>
                <c:pt idx="141">
                  <c:v>42.957272951662205</c:v>
                </c:pt>
                <c:pt idx="142">
                  <c:v>43.752498848425034</c:v>
                </c:pt>
                <c:pt idx="143">
                  <c:v>44.556720057543977</c:v>
                </c:pt>
                <c:pt idx="144">
                  <c:v>45.369974468626708</c:v>
                </c:pt>
                <c:pt idx="145">
                  <c:v>46.192299865623291</c:v>
                </c:pt>
                <c:pt idx="146">
                  <c:v>47.023733927850223</c:v>
                </c:pt>
                <c:pt idx="147">
                  <c:v>47.864314230997692</c:v>
                </c:pt>
                <c:pt idx="148">
                  <c:v>48.714078248120266</c:v>
                </c:pt>
                <c:pt idx="149">
                  <c:v>49.573063350611328</c:v>
                </c:pt>
                <c:pt idx="150">
                  <c:v>50.441306809162008</c:v>
                </c:pt>
                <c:pt idx="151">
                  <c:v>51.318845794704593</c:v>
                </c:pt>
                <c:pt idx="152">
                  <c:v>52.205717379340769</c:v>
                </c:pt>
                <c:pt idx="153">
                  <c:v>53.101958537255342</c:v>
                </c:pt>
                <c:pt idx="154">
                  <c:v>54.00760614561549</c:v>
                </c:pt>
                <c:pt idx="155">
                  <c:v>54.922696985455943</c:v>
                </c:pt>
                <c:pt idx="156">
                  <c:v>55.847267742550429</c:v>
                </c:pt>
                <c:pt idx="157">
                  <c:v>56.781355008269564</c:v>
                </c:pt>
                <c:pt idx="158">
                  <c:v>57.724995280425802</c:v>
                </c:pt>
                <c:pt idx="159">
                  <c:v>58.678224964105347</c:v>
                </c:pt>
                <c:pt idx="160">
                  <c:v>59.641080372487394</c:v>
                </c:pt>
                <c:pt idx="161">
                  <c:v>60.613597727651261</c:v>
                </c:pt>
                <c:pt idx="162">
                  <c:v>61.59581316137119</c:v>
                </c:pt>
                <c:pt idx="163">
                  <c:v>62.587762715899586</c:v>
                </c:pt>
                <c:pt idx="164">
                  <c:v>63.589482344738506</c:v>
                </c:pt>
                <c:pt idx="165">
                  <c:v>64.601007913399783</c:v>
                </c:pt>
                <c:pt idx="166">
                  <c:v>65.622375200154323</c:v>
                </c:pt>
                <c:pt idx="167">
                  <c:v>66.653619896770238</c:v>
                </c:pt>
                <c:pt idx="168">
                  <c:v>67.694777609240461</c:v>
                </c:pt>
                <c:pt idx="169">
                  <c:v>68.745883858499937</c:v>
                </c:pt>
                <c:pt idx="170">
                  <c:v>69.806974081132637</c:v>
                </c:pt>
                <c:pt idx="171">
                  <c:v>70.878083630068403</c:v>
                </c:pt>
                <c:pt idx="172">
                  <c:v>71.959247775270171</c:v>
                </c:pt>
                <c:pt idx="173">
                  <c:v>73.050501704411317</c:v>
                </c:pt>
                <c:pt idx="174">
                  <c:v>74.151880523544008</c:v>
                </c:pt>
                <c:pt idx="175">
                  <c:v>75.263419257757789</c:v>
                </c:pt>
                <c:pt idx="176">
                  <c:v>76.385152851829574</c:v>
                </c:pt>
                <c:pt idx="177">
                  <c:v>77.517116170864227</c:v>
                </c:pt>
                <c:pt idx="178">
                  <c:v>78.659344000927135</c:v>
                </c:pt>
                <c:pt idx="179">
                  <c:v>79.811871049667445</c:v>
                </c:pt>
                <c:pt idx="180">
                  <c:v>80.974731946933531</c:v>
                </c:pt>
                <c:pt idx="181">
                  <c:v>82.147961245379847</c:v>
                </c:pt>
                <c:pt idx="182">
                  <c:v>83.331593421065975</c:v>
                </c:pt>
                <c:pt idx="183">
                  <c:v>84.525662874047583</c:v>
                </c:pt>
                <c:pt idx="184">
                  <c:v>85.730203928959625</c:v>
                </c:pt>
                <c:pt idx="185">
                  <c:v>86.945250835591935</c:v>
                </c:pt>
                <c:pt idx="186">
                  <c:v>88.170837769457421</c:v>
                </c:pt>
                <c:pt idx="187">
                  <c:v>89.406998832352713</c:v>
                </c:pt>
                <c:pt idx="188">
                  <c:v>90.653768052911829</c:v>
                </c:pt>
                <c:pt idx="189">
                  <c:v>91.911179387152401</c:v>
                </c:pt>
                <c:pt idx="190">
                  <c:v>93.179266719015445</c:v>
                </c:pt>
                <c:pt idx="191">
                  <c:v>94.458063860897823</c:v>
                </c:pt>
                <c:pt idx="192">
                  <c:v>95.747604554178267</c:v>
                </c:pt>
                <c:pt idx="193">
                  <c:v>97.047922469736719</c:v>
                </c:pt>
                <c:pt idx="194">
                  <c:v>98.35905120846715</c:v>
                </c:pt>
                <c:pt idx="195">
                  <c:v>99.681024301784149</c:v>
                </c:pt>
                <c:pt idx="196">
                  <c:v>101.01387521212318</c:v>
                </c:pt>
                <c:pt idx="197">
                  <c:v>102.35763733343454</c:v>
                </c:pt>
                <c:pt idx="198">
                  <c:v>103.71234399167167</c:v>
                </c:pt>
                <c:pt idx="199">
                  <c:v>105.07802844527315</c:v>
                </c:pt>
                <c:pt idx="200">
                  <c:v>106.45472388563904</c:v>
                </c:pt>
                <c:pt idx="201">
                  <c:v>107.84246343760151</c:v>
                </c:pt>
                <c:pt idx="202">
                  <c:v>109.24128015988968</c:v>
                </c:pt>
                <c:pt idx="203">
                  <c:v>110.65120704558917</c:v>
                </c:pt>
                <c:pt idx="204">
                  <c:v>112.072277022596</c:v>
                </c:pt>
                <c:pt idx="205">
                  <c:v>113.50452295406504</c:v>
                </c:pt>
                <c:pt idx="206">
                  <c:v>114.94797763885363</c:v>
                </c:pt>
                <c:pt idx="207">
                  <c:v>116.4026738119596</c:v>
                </c:pt>
                <c:pt idx="208">
                  <c:v>117.86864414495429</c:v>
                </c:pt>
                <c:pt idx="209">
                  <c:v>119.3459212464107</c:v>
                </c:pt>
                <c:pt idx="210">
                  <c:v>120.83453766232648</c:v>
                </c:pt>
                <c:pt idx="211">
                  <c:v>122.33452587654247</c:v>
                </c:pt>
                <c:pt idx="212">
                  <c:v>123.84591831115594</c:v>
                </c:pt>
                <c:pt idx="213">
                  <c:v>125.36874732692942</c:v>
                </c:pt>
                <c:pt idx="214">
                  <c:v>126.90304522369516</c:v>
                </c:pt>
                <c:pt idx="215">
                  <c:v>128.44884424075451</c:v>
                </c:pt>
                <c:pt idx="216">
                  <c:v>130.00617655727322</c:v>
                </c:pt>
                <c:pt idx="217">
                  <c:v>131.5750742926721</c:v>
                </c:pt>
                <c:pt idx="218">
                  <c:v>133.15556950701375</c:v>
                </c:pt>
                <c:pt idx="219">
                  <c:v>134.74769420138435</c:v>
                </c:pt>
                <c:pt idx="220">
                  <c:v>136.35148031827197</c:v>
                </c:pt>
                <c:pt idx="221">
                  <c:v>137.96695974194012</c:v>
                </c:pt>
                <c:pt idx="222">
                  <c:v>139.59416429879781</c:v>
                </c:pt>
                <c:pt idx="223">
                  <c:v>141.23312575776515</c:v>
                </c:pt>
                <c:pt idx="224">
                  <c:v>142.88387583063525</c:v>
                </c:pt>
                <c:pt idx="225">
                  <c:v>144.54644617243204</c:v>
                </c:pt>
                <c:pt idx="226">
                  <c:v>146.22086838176446</c:v>
                </c:pt>
                <c:pt idx="227">
                  <c:v>147.90717400117688</c:v>
                </c:pt>
                <c:pt idx="228">
                  <c:v>149.60539451749551</c:v>
                </c:pt>
                <c:pt idx="229">
                  <c:v>151.31556136217151</c:v>
                </c:pt>
                <c:pt idx="230">
                  <c:v>153.03770591162046</c:v>
                </c:pt>
                <c:pt idx="231">
                  <c:v>154.77185948755789</c:v>
                </c:pt>
                <c:pt idx="232">
                  <c:v>156.51805335733184</c:v>
                </c:pt>
                <c:pt idx="233">
                  <c:v>158.27631873425159</c:v>
                </c:pt>
                <c:pt idx="234">
                  <c:v>160.04668677791324</c:v>
                </c:pt>
                <c:pt idx="235">
                  <c:v>161.82918859452181</c:v>
                </c:pt>
                <c:pt idx="236">
                  <c:v>163.62385523720985</c:v>
                </c:pt>
                <c:pt idx="237">
                  <c:v>165.43071770635348</c:v>
                </c:pt>
                <c:pt idx="238">
                  <c:v>167.24980694988434</c:v>
                </c:pt>
                <c:pt idx="239">
                  <c:v>169.08115386359904</c:v>
                </c:pt>
                <c:pt idx="240">
                  <c:v>170.92478929146515</c:v>
                </c:pt>
                <c:pt idx="241">
                  <c:v>172.78074402592432</c:v>
                </c:pt>
                <c:pt idx="242">
                  <c:v>174.64904880819228</c:v>
                </c:pt>
                <c:pt idx="243">
                  <c:v>176.52973432855589</c:v>
                </c:pt>
                <c:pt idx="244">
                  <c:v>178.422831226667</c:v>
                </c:pt>
                <c:pt idx="245">
                  <c:v>180.3283700918341</c:v>
                </c:pt>
                <c:pt idx="246">
                  <c:v>182.24638146331026</c:v>
                </c:pt>
                <c:pt idx="247">
                  <c:v>184.17689583057879</c:v>
                </c:pt>
                <c:pt idx="248">
                  <c:v>186.11994363363596</c:v>
                </c:pt>
                <c:pt idx="249">
                  <c:v>188.07555526327104</c:v>
                </c:pt>
                <c:pt idx="250">
                  <c:v>190.04376106134347</c:v>
                </c:pt>
                <c:pt idx="251">
                  <c:v>192.02459132105764</c:v>
                </c:pt>
                <c:pt idx="252">
                  <c:v>194.01807628723461</c:v>
                </c:pt>
                <c:pt idx="253">
                  <c:v>196.02424615658188</c:v>
                </c:pt>
                <c:pt idx="254">
                  <c:v>198.04313107795988</c:v>
                </c:pt>
                <c:pt idx="255">
                  <c:v>199.57400000000001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52-434C-94A5-218492A75641}"/>
            </c:ext>
          </c:extLst>
        </c:ser>
        <c:ser>
          <c:idx val="2"/>
          <c:order val="2"/>
          <c:tx>
            <c:strRef>
              <c:f>'Gamma 2.6 5400K-長'!$E$16</c:f>
              <c:strCache>
                <c:ptCount val="1"/>
                <c:pt idx="0">
                  <c:v>10%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'Gamma 2.6 5400K-長'!$B$17:$B$272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5400K-長'!$E$17:$E$272</c:f>
              <c:numCache>
                <c:formatCode>0.00_ </c:formatCode>
                <c:ptCount val="256"/>
                <c:pt idx="0">
                  <c:v>3.1656606115742231E-6</c:v>
                </c:pt>
                <c:pt idx="1">
                  <c:v>2.151535226330429E-4</c:v>
                </c:pt>
                <c:pt idx="2">
                  <c:v>9.9565128191542694E-4</c:v>
                </c:pt>
                <c:pt idx="3">
                  <c:v>2.5939615317205453E-3</c:v>
                </c:pt>
                <c:pt idx="4">
                  <c:v>5.2145106343270816E-3</c:v>
                </c:pt>
                <c:pt idx="5">
                  <c:v>9.0369982381420331E-3</c:v>
                </c:pt>
                <c:pt idx="6">
                  <c:v>1.4224573289087357E-2</c:v>
                </c:pt>
                <c:pt idx="7">
                  <c:v>2.092821805598467E-2</c:v>
                </c:pt>
                <c:pt idx="8">
                  <c:v>2.9289445074475458E-2</c:v>
                </c:pt>
                <c:pt idx="9">
                  <c:v>3.9442104281226367E-2</c:v>
                </c:pt>
                <c:pt idx="10">
                  <c:v>5.1513667597891021E-2</c:v>
                </c:pt>
                <c:pt idx="11">
                  <c:v>6.5626182675687164E-2</c:v>
                </c:pt>
                <c:pt idx="12">
                  <c:v>8.1897005121062946E-2</c:v>
                </c:pt>
                <c:pt idx="13">
                  <c:v>0.10043937581543949</c:v>
                </c:pt>
                <c:pt idx="14">
                  <c:v>0.12136288607837895</c:v>
                </c:pt>
                <c:pt idx="15">
                  <c:v>0.14477385927838057</c:v>
                </c:pt>
                <c:pt idx="16">
                  <c:v>0.17077566870060815</c:v>
                </c:pt>
                <c:pt idx="17">
                  <c:v>0.19946900579188737</c:v>
                </c:pt>
                <c:pt idx="18">
                  <c:v>0.23095210909873629</c:v>
                </c:pt>
                <c:pt idx="19">
                  <c:v>0.26532096159626806</c:v>
                </c:pt>
                <c:pt idx="20">
                  <c:v>0.3026694622594937</c:v>
                </c:pt>
                <c:pt idx="21">
                  <c:v>0.3430895763980259</c:v>
                </c:pt>
                <c:pt idx="22">
                  <c:v>0.38667146829796062</c:v>
                </c:pt>
                <c:pt idx="23">
                  <c:v>0.43350361898476386</c:v>
                </c:pt>
                <c:pt idx="24">
                  <c:v>0.48367293136741307</c:v>
                </c:pt>
                <c:pt idx="25">
                  <c:v>0.53726482459846303</c:v>
                </c:pt>
                <c:pt idx="26">
                  <c:v>0.59436331915350882</c:v>
                </c:pt>
                <c:pt idx="27">
                  <c:v>0.65505111387281922</c:v>
                </c:pt>
                <c:pt idx="28">
                  <c:v>0.7194096560006058</c:v>
                </c:pt>
                <c:pt idx="29">
                  <c:v>0.78751920509102513</c:v>
                </c:pt>
                <c:pt idx="30">
                  <c:v>0.85945889151525923</c:v>
                </c:pt>
                <c:pt idx="31">
                  <c:v>0.93530677019408537</c:v>
                </c:pt>
                <c:pt idx="32">
                  <c:v>1.0151398700899348</c:v>
                </c:pt>
                <c:pt idx="33">
                  <c:v>1.0990342399175679</c:v>
                </c:pt>
                <c:pt idx="34">
                  <c:v>1.187064990470154</c:v>
                </c:pt>
                <c:pt idx="35">
                  <c:v>1.2793063339052611</c:v>
                </c:pt>
                <c:pt idx="36">
                  <c:v>1.3758316202911451</c:v>
                </c:pt>
                <c:pt idx="37">
                  <c:v>1.4767133716764824</c:v>
                </c:pt>
                <c:pt idx="38">
                  <c:v>1.5820233139147628</c:v>
                </c:pt>
                <c:pt idx="39">
                  <c:v>1.6918324064474548</c:v>
                </c:pt>
                <c:pt idx="40">
                  <c:v>1.8062108702266149</c:v>
                </c:pt>
                <c:pt idx="41">
                  <c:v>1.9252282139374595</c:v>
                </c:pt>
                <c:pt idx="42">
                  <c:v>2.0489532586639214</c:v>
                </c:pt>
                <c:pt idx="43">
                  <c:v>2.177454161125028</c:v>
                </c:pt>
                <c:pt idx="44">
                  <c:v>2.3107984355966757</c:v>
                </c:pt>
                <c:pt idx="45">
                  <c:v>2.4490529746217389</c:v>
                </c:pt>
                <c:pt idx="46">
                  <c:v>2.5922840686012765</c:v>
                </c:pt>
                <c:pt idx="47">
                  <c:v>2.7405574243506017</c:v>
                </c:pt>
                <c:pt idx="48">
                  <c:v>2.8939381826960378</c:v>
                </c:pt>
                <c:pt idx="49">
                  <c:v>3.0524909351811549</c:v>
                </c:pt>
                <c:pt idx="50">
                  <c:v>3.2162797399449898</c:v>
                </c:pt>
                <c:pt idx="51">
                  <c:v>3.3853681368292756</c:v>
                </c:pt>
                <c:pt idx="52">
                  <c:v>3.5598191617665913</c:v>
                </c:pt>
                <c:pt idx="53">
                  <c:v>3.7396953604970893</c:v>
                </c:pt>
                <c:pt idx="54">
                  <c:v>3.9250588016572174</c:v>
                </c:pt>
                <c:pt idx="55">
                  <c:v>4.1159710892805341</c:v>
                </c:pt>
                <c:pt idx="56">
                  <c:v>4.3124933747472376</c:v>
                </c:pt>
                <c:pt idx="57">
                  <c:v>4.5146863682163305</c:v>
                </c:pt>
                <c:pt idx="58">
                  <c:v>4.7226103495714877</c:v>
                </c:pt>
                <c:pt idx="59">
                  <c:v>4.9363251789095415</c:v>
                </c:pt>
                <c:pt idx="60">
                  <c:v>5.1558903065980672</c:v>
                </c:pt>
                <c:pt idx="61">
                  <c:v>5.3813647829268856</c:v>
                </c:pt>
                <c:pt idx="62">
                  <c:v>5.6128072673761515</c:v>
                </c:pt>
                <c:pt idx="63">
                  <c:v>5.8502760375224057</c:v>
                </c:pt>
                <c:pt idx="64">
                  <c:v>6.0938289976022366</c:v>
                </c:pt>
                <c:pt idx="65">
                  <c:v>6.3435236867518672</c:v>
                </c:pt>
                <c:pt idx="66">
                  <c:v>6.5994172869399135</c:v>
                </c:pt>
                <c:pt idx="67">
                  <c:v>6.8615666306090555</c:v>
                </c:pt>
                <c:pt idx="68">
                  <c:v>7.1300282080417325</c:v>
                </c:pt>
                <c:pt idx="69">
                  <c:v>7.4048581744635866</c:v>
                </c:pt>
                <c:pt idx="70">
                  <c:v>7.6861123568978478</c:v>
                </c:pt>
                <c:pt idx="71">
                  <c:v>7.9738462607827261</c:v>
                </c:pt>
                <c:pt idx="72">
                  <c:v>8.2681150763633706</c:v>
                </c:pt>
                <c:pt idx="73">
                  <c:v>8.5689736848690075</c:v>
                </c:pt>
                <c:pt idx="74">
                  <c:v>8.8764766644854518</c:v>
                </c:pt>
                <c:pt idx="75">
                  <c:v>9.190678296132349</c:v>
                </c:pt>
                <c:pt idx="76">
                  <c:v>9.5116325690542354</c:v>
                </c:pt>
                <c:pt idx="77">
                  <c:v>9.8393931862336306</c:v>
                </c:pt>
                <c:pt idx="78">
                  <c:v>10.17401356963415</c:v>
                </c:pt>
                <c:pt idx="79">
                  <c:v>10.515546865281186</c:v>
                </c:pt>
                <c:pt idx="80">
                  <c:v>10.864045948187021</c:v>
                </c:pt>
                <c:pt idx="81">
                  <c:v>11.219563427127245</c:v>
                </c:pt>
                <c:pt idx="82">
                  <c:v>11.582151649274545</c:v>
                </c:pt>
                <c:pt idx="83">
                  <c:v>11.951862704695991</c:v>
                </c:pt>
                <c:pt idx="84">
                  <c:v>12.328748430719381</c:v>
                </c:pt>
                <c:pt idx="85">
                  <c:v>12.71286041617395</c:v>
                </c:pt>
                <c:pt idx="86">
                  <c:v>13.104250005510611</c:v>
                </c:pt>
                <c:pt idx="87">
                  <c:v>13.502968302806314</c:v>
                </c:pt>
                <c:pt idx="88">
                  <c:v>13.909066175657415</c:v>
                </c:pt>
                <c:pt idx="89">
                  <c:v>14.322594258965973</c:v>
                </c:pt>
                <c:pt idx="90">
                  <c:v>14.743602958623455</c:v>
                </c:pt>
                <c:pt idx="91">
                  <c:v>15.17214245509547</c:v>
                </c:pt>
                <c:pt idx="92">
                  <c:v>15.608262706911397</c:v>
                </c:pt>
                <c:pt idx="93">
                  <c:v>16.052013454062518</c:v>
                </c:pt>
                <c:pt idx="94">
                  <c:v>16.503444221311756</c:v>
                </c:pt>
                <c:pt idx="95">
                  <c:v>16.962604321418514</c:v>
                </c:pt>
                <c:pt idx="96">
                  <c:v>17.429542858281522</c:v>
                </c:pt>
                <c:pt idx="97">
                  <c:v>17.904308730002644</c:v>
                </c:pt>
                <c:pt idx="98">
                  <c:v>18.386950631874441</c:v>
                </c:pt>
                <c:pt idx="99">
                  <c:v>18.877517059294135</c:v>
                </c:pt>
                <c:pt idx="100">
                  <c:v>19.37605631060655</c:v>
                </c:pt>
                <c:pt idx="101">
                  <c:v>19.882616489878405</c:v>
                </c:pt>
                <c:pt idx="102">
                  <c:v>20.397245509606364</c:v>
                </c:pt>
                <c:pt idx="103">
                  <c:v>20.919991093360917</c:v>
                </c:pt>
                <c:pt idx="104">
                  <c:v>21.450900778368421</c:v>
                </c:pt>
                <c:pt idx="105">
                  <c:v>21.990021918033172</c:v>
                </c:pt>
                <c:pt idx="106">
                  <c:v>22.537401684401534</c:v>
                </c:pt>
                <c:pt idx="107">
                  <c:v>23.093087070569986</c:v>
                </c:pt>
                <c:pt idx="108">
                  <c:v>23.657124893038841</c:v>
                </c:pt>
                <c:pt idx="109">
                  <c:v>24.229561794013406</c:v>
                </c:pt>
                <c:pt idx="110">
                  <c:v>24.810444243654263</c:v>
                </c:pt>
                <c:pt idx="111">
                  <c:v>25.399818542278027</c:v>
                </c:pt>
                <c:pt idx="112">
                  <c:v>25.997730822510555</c:v>
                </c:pt>
                <c:pt idx="113">
                  <c:v>26.604227051393504</c:v>
                </c:pt>
                <c:pt idx="114">
                  <c:v>27.219353032446115</c:v>
                </c:pt>
                <c:pt idx="115">
                  <c:v>27.843154407683222</c:v>
                </c:pt>
                <c:pt idx="116">
                  <c:v>28.475676659591112</c:v>
                </c:pt>
                <c:pt idx="117">
                  <c:v>29.116965113062182</c:v>
                </c:pt>
                <c:pt idx="118">
                  <c:v>29.767064937289767</c:v>
                </c:pt>
                <c:pt idx="119">
                  <c:v>30.426021147624141</c:v>
                </c:pt>
                <c:pt idx="120">
                  <c:v>31.093878607391144</c:v>
                </c:pt>
                <c:pt idx="121">
                  <c:v>31.770682029673981</c:v>
                </c:pt>
                <c:pt idx="122">
                  <c:v>32.456475979059761</c:v>
                </c:pt>
                <c:pt idx="123">
                  <c:v>33.151304873351329</c:v>
                </c:pt>
                <c:pt idx="124">
                  <c:v>33.855212985245657</c:v>
                </c:pt>
                <c:pt idx="125">
                  <c:v>34.568244443979559</c:v>
                </c:pt>
                <c:pt idx="126">
                  <c:v>35.290443236943716</c:v>
                </c:pt>
                <c:pt idx="127">
                  <c:v>36.021853211265686</c:v>
                </c:pt>
                <c:pt idx="128">
                  <c:v>36.762518075363062</c:v>
                </c:pt>
                <c:pt idx="129">
                  <c:v>37.512481400467188</c:v>
                </c:pt>
                <c:pt idx="130">
                  <c:v>38.271786622118569</c:v>
                </c:pt>
                <c:pt idx="131">
                  <c:v>39.040477041634375</c:v>
                </c:pt>
                <c:pt idx="132">
                  <c:v>39.818595827549252</c:v>
                </c:pt>
                <c:pt idx="133">
                  <c:v>40.606186017029245</c:v>
                </c:pt>
                <c:pt idx="134">
                  <c:v>41.403290517260871</c:v>
                </c:pt>
                <c:pt idx="135">
                  <c:v>42.209952106814562</c:v>
                </c:pt>
                <c:pt idx="136">
                  <c:v>43.026213436984101</c:v>
                </c:pt>
                <c:pt idx="137">
                  <c:v>43.852117033102211</c:v>
                </c:pt>
                <c:pt idx="138">
                  <c:v>44.687705295832998</c:v>
                </c:pt>
                <c:pt idx="139">
                  <c:v>45.533020502441921</c:v>
                </c:pt>
                <c:pt idx="140">
                  <c:v>46.388104808043664</c:v>
                </c:pt>
                <c:pt idx="141">
                  <c:v>47.253000246828428</c:v>
                </c:pt>
                <c:pt idx="142">
                  <c:v>48.127748733267538</c:v>
                </c:pt>
                <c:pt idx="143">
                  <c:v>49.012392063298378</c:v>
                </c:pt>
                <c:pt idx="144">
                  <c:v>49.906971915489379</c:v>
                </c:pt>
                <c:pt idx="145">
                  <c:v>50.811529852185622</c:v>
                </c:pt>
                <c:pt idx="146">
                  <c:v>51.726107320635244</c:v>
                </c:pt>
                <c:pt idx="147">
                  <c:v>52.650745654097463</c:v>
                </c:pt>
                <c:pt idx="148">
                  <c:v>53.585486072932291</c:v>
                </c:pt>
                <c:pt idx="149">
                  <c:v>54.530369685672461</c:v>
                </c:pt>
                <c:pt idx="150">
                  <c:v>55.485437490078212</c:v>
                </c:pt>
                <c:pt idx="151">
                  <c:v>56.450730374175052</c:v>
                </c:pt>
                <c:pt idx="152">
                  <c:v>57.426289117274848</c:v>
                </c:pt>
                <c:pt idx="153">
                  <c:v>58.412154390980874</c:v>
                </c:pt>
                <c:pt idx="154">
                  <c:v>59.408366760177039</c:v>
                </c:pt>
                <c:pt idx="155">
                  <c:v>60.414966684001541</c:v>
                </c:pt>
                <c:pt idx="156">
                  <c:v>61.431994516805474</c:v>
                </c:pt>
                <c:pt idx="157">
                  <c:v>62.459490509096518</c:v>
                </c:pt>
                <c:pt idx="158">
                  <c:v>63.497494808468382</c:v>
                </c:pt>
                <c:pt idx="159">
                  <c:v>64.546047460515879</c:v>
                </c:pt>
                <c:pt idx="160">
                  <c:v>65.60518840973613</c:v>
                </c:pt>
                <c:pt idx="161">
                  <c:v>66.674957500416383</c:v>
                </c:pt>
                <c:pt idx="162">
                  <c:v>67.755394477508304</c:v>
                </c:pt>
                <c:pt idx="163">
                  <c:v>68.846538987489538</c:v>
                </c:pt>
                <c:pt idx="164">
                  <c:v>69.948430579212356</c:v>
                </c:pt>
                <c:pt idx="165">
                  <c:v>71.061108704739766</c:v>
                </c:pt>
                <c:pt idx="166">
                  <c:v>72.184612720169753</c:v>
                </c:pt>
                <c:pt idx="167">
                  <c:v>73.318981886447261</c:v>
                </c:pt>
                <c:pt idx="168">
                  <c:v>74.464255370164508</c:v>
                </c:pt>
                <c:pt idx="169">
                  <c:v>75.620472244349926</c:v>
                </c:pt>
                <c:pt idx="170">
                  <c:v>76.787671489245895</c:v>
                </c:pt>
                <c:pt idx="171">
                  <c:v>77.965891993075246</c:v>
                </c:pt>
                <c:pt idx="172">
                  <c:v>79.155172552797183</c:v>
                </c:pt>
                <c:pt idx="173">
                  <c:v>80.355551874852452</c:v>
                </c:pt>
                <c:pt idx="174">
                  <c:v>81.567068575898404</c:v>
                </c:pt>
                <c:pt idx="175">
                  <c:v>82.789761183533571</c:v>
                </c:pt>
                <c:pt idx="176">
                  <c:v>84.023668137012535</c:v>
                </c:pt>
                <c:pt idx="177">
                  <c:v>85.268827787950656</c:v>
                </c:pt>
                <c:pt idx="178">
                  <c:v>86.525278401019847</c:v>
                </c:pt>
                <c:pt idx="179">
                  <c:v>87.793058154634195</c:v>
                </c:pt>
                <c:pt idx="180">
                  <c:v>89.072205141626881</c:v>
                </c:pt>
                <c:pt idx="181">
                  <c:v>90.36275736991783</c:v>
                </c:pt>
                <c:pt idx="182">
                  <c:v>91.664752763172572</c:v>
                </c:pt>
                <c:pt idx="183">
                  <c:v>92.978229161452347</c:v>
                </c:pt>
                <c:pt idx="184">
                  <c:v>94.303224321855595</c:v>
                </c:pt>
                <c:pt idx="185">
                  <c:v>95.639775919151134</c:v>
                </c:pt>
                <c:pt idx="186">
                  <c:v>96.987921546403157</c:v>
                </c:pt>
                <c:pt idx="187">
                  <c:v>98.347698715587981</c:v>
                </c:pt>
                <c:pt idx="188">
                  <c:v>99.719144858203009</c:v>
                </c:pt>
                <c:pt idx="189">
                  <c:v>101.10229732586764</c:v>
                </c:pt>
                <c:pt idx="190">
                  <c:v>102.49719339091699</c:v>
                </c:pt>
                <c:pt idx="191">
                  <c:v>103.90387024698761</c:v>
                </c:pt>
                <c:pt idx="192">
                  <c:v>105.3223650095961</c:v>
                </c:pt>
                <c:pt idx="193">
                  <c:v>106.75271471671039</c:v>
                </c:pt>
                <c:pt idx="194">
                  <c:v>108.19495632931387</c:v>
                </c:pt>
                <c:pt idx="195">
                  <c:v>109.64912673196257</c:v>
                </c:pt>
                <c:pt idx="196">
                  <c:v>111.1152627333355</c:v>
                </c:pt>
                <c:pt idx="197">
                  <c:v>112.593401066778</c:v>
                </c:pt>
                <c:pt idx="198">
                  <c:v>114.08357839083884</c:v>
                </c:pt>
                <c:pt idx="199">
                  <c:v>115.58583128980047</c:v>
                </c:pt>
                <c:pt idx="200">
                  <c:v>117.10019627420294</c:v>
                </c:pt>
                <c:pt idx="201">
                  <c:v>118.62670978136165</c:v>
                </c:pt>
                <c:pt idx="202">
                  <c:v>120.16540817587865</c:v>
                </c:pt>
                <c:pt idx="203">
                  <c:v>121.7163277501481</c:v>
                </c:pt>
                <c:pt idx="204">
                  <c:v>123.2795047248556</c:v>
                </c:pt>
                <c:pt idx="205">
                  <c:v>124.85497524947155</c:v>
                </c:pt>
                <c:pt idx="206">
                  <c:v>126.44277540273899</c:v>
                </c:pt>
                <c:pt idx="207">
                  <c:v>128.04294119315557</c:v>
                </c:pt>
                <c:pt idx="208">
                  <c:v>129.65550855944971</c:v>
                </c:pt>
                <c:pt idx="209">
                  <c:v>131.28051337105177</c:v>
                </c:pt>
                <c:pt idx="210">
                  <c:v>132.91799142855913</c:v>
                </c:pt>
                <c:pt idx="211">
                  <c:v>134.56797846419673</c:v>
                </c:pt>
                <c:pt idx="212">
                  <c:v>136.23051014227153</c:v>
                </c:pt>
                <c:pt idx="213">
                  <c:v>137.90562205962237</c:v>
                </c:pt>
                <c:pt idx="214">
                  <c:v>139.59334974606469</c:v>
                </c:pt>
                <c:pt idx="215">
                  <c:v>141.29372866482996</c:v>
                </c:pt>
                <c:pt idx="216">
                  <c:v>143.00679421300055</c:v>
                </c:pt>
                <c:pt idx="217">
                  <c:v>144.73258172193931</c:v>
                </c:pt>
                <c:pt idx="218">
                  <c:v>146.47112645771512</c:v>
                </c:pt>
                <c:pt idx="219">
                  <c:v>148.22246362152279</c:v>
                </c:pt>
                <c:pt idx="220">
                  <c:v>149.98662835009915</c:v>
                </c:pt>
                <c:pt idx="221">
                  <c:v>151.76365571613414</c:v>
                </c:pt>
                <c:pt idx="222">
                  <c:v>153.55358072867759</c:v>
                </c:pt>
                <c:pt idx="223">
                  <c:v>155.35643833354166</c:v>
                </c:pt>
                <c:pt idx="224">
                  <c:v>157.17226341369877</c:v>
                </c:pt>
                <c:pt idx="225">
                  <c:v>159.00109078967523</c:v>
                </c:pt>
                <c:pt idx="226">
                  <c:v>160.8429552199409</c:v>
                </c:pt>
                <c:pt idx="227">
                  <c:v>162.69789140129458</c:v>
                </c:pt>
                <c:pt idx="228">
                  <c:v>164.56593396924507</c:v>
                </c:pt>
                <c:pt idx="229">
                  <c:v>166.44711749838865</c:v>
                </c:pt>
                <c:pt idx="230">
                  <c:v>168.34147650278251</c:v>
                </c:pt>
                <c:pt idx="231">
                  <c:v>170.24904543631368</c:v>
                </c:pt>
                <c:pt idx="232">
                  <c:v>172.16985869306501</c:v>
                </c:pt>
                <c:pt idx="233">
                  <c:v>174.10395060767675</c:v>
                </c:pt>
                <c:pt idx="234">
                  <c:v>176.05135545570457</c:v>
                </c:pt>
                <c:pt idx="235">
                  <c:v>178.01210745397398</c:v>
                </c:pt>
                <c:pt idx="236">
                  <c:v>179.98624076093083</c:v>
                </c:pt>
                <c:pt idx="237">
                  <c:v>181.97378947698883</c:v>
                </c:pt>
                <c:pt idx="238">
                  <c:v>183.97478764487278</c:v>
                </c:pt>
                <c:pt idx="239">
                  <c:v>185.98926924995894</c:v>
                </c:pt>
                <c:pt idx="240">
                  <c:v>188.01726822061167</c:v>
                </c:pt>
                <c:pt idx="241">
                  <c:v>190.05881842851676</c:v>
                </c:pt>
                <c:pt idx="242">
                  <c:v>192.11395368901151</c:v>
                </c:pt>
                <c:pt idx="243">
                  <c:v>194.18270776141148</c:v>
                </c:pt>
                <c:pt idx="244">
                  <c:v>196.26511434933371</c:v>
                </c:pt>
                <c:pt idx="245">
                  <c:v>198.3612071010175</c:v>
                </c:pt>
                <c:pt idx="246">
                  <c:v>200.47101960964127</c:v>
                </c:pt>
                <c:pt idx="247">
                  <c:v>202.59458541363665</c:v>
                </c:pt>
                <c:pt idx="248">
                  <c:v>204.73193799699956</c:v>
                </c:pt>
                <c:pt idx="249">
                  <c:v>206.88311078959813</c:v>
                </c:pt>
                <c:pt idx="250">
                  <c:v>209.04813716747782</c:v>
                </c:pt>
                <c:pt idx="251">
                  <c:v>211.2270504531634</c:v>
                </c:pt>
                <c:pt idx="252">
                  <c:v>213.41988391595805</c:v>
                </c:pt>
                <c:pt idx="253">
                  <c:v>215.62667077224006</c:v>
                </c:pt>
                <c:pt idx="254">
                  <c:v>217.84744418575588</c:v>
                </c:pt>
                <c:pt idx="255">
                  <c:v>219.53140000000002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2-434C-94A5-218492A75641}"/>
            </c:ext>
          </c:extLst>
        </c:ser>
        <c:ser>
          <c:idx val="3"/>
          <c:order val="3"/>
          <c:tx>
            <c:strRef>
              <c:f>'Gamma 2.6 5400K-長'!$F$16</c:f>
              <c:strCache>
                <c:ptCount val="1"/>
                <c:pt idx="0">
                  <c:v>Measure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'Gamma 2.6 5400K-長'!$B$17:$B$272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'Gamma 2.6 5400K-長'!$F$17:$F$272</c:f>
              <c:numCache>
                <c:formatCode>General</c:formatCode>
                <c:ptCount val="256"/>
                <c:pt idx="0">
                  <c:v>0.24590000000000001</c:v>
                </c:pt>
                <c:pt idx="1">
                  <c:v>0.2445</c:v>
                </c:pt>
                <c:pt idx="2">
                  <c:v>0.2442</c:v>
                </c:pt>
                <c:pt idx="3">
                  <c:v>0.247</c:v>
                </c:pt>
                <c:pt idx="4">
                  <c:v>0.25669999999999998</c:v>
                </c:pt>
                <c:pt idx="5">
                  <c:v>0.2596</c:v>
                </c:pt>
                <c:pt idx="6">
                  <c:v>0.27329999999999999</c:v>
                </c:pt>
                <c:pt idx="7">
                  <c:v>0.27450000000000002</c:v>
                </c:pt>
                <c:pt idx="8">
                  <c:v>0.27400000000000002</c:v>
                </c:pt>
                <c:pt idx="9">
                  <c:v>0.29239999999999999</c:v>
                </c:pt>
                <c:pt idx="10">
                  <c:v>0.29289999999999999</c:v>
                </c:pt>
                <c:pt idx="11">
                  <c:v>0.30570000000000003</c:v>
                </c:pt>
                <c:pt idx="12">
                  <c:v>0.30599999999999999</c:v>
                </c:pt>
                <c:pt idx="13">
                  <c:v>0.3342</c:v>
                </c:pt>
                <c:pt idx="14">
                  <c:v>0.3448</c:v>
                </c:pt>
                <c:pt idx="15">
                  <c:v>0.37580000000000002</c:v>
                </c:pt>
                <c:pt idx="16">
                  <c:v>0.38600000000000001</c:v>
                </c:pt>
                <c:pt idx="17">
                  <c:v>0.40610000000000002</c:v>
                </c:pt>
                <c:pt idx="18">
                  <c:v>0.41749999999999998</c:v>
                </c:pt>
                <c:pt idx="19">
                  <c:v>0.45639999999999997</c:v>
                </c:pt>
                <c:pt idx="20">
                  <c:v>0.5071</c:v>
                </c:pt>
                <c:pt idx="21">
                  <c:v>0.52869999999999995</c:v>
                </c:pt>
                <c:pt idx="22">
                  <c:v>0.58560000000000001</c:v>
                </c:pt>
                <c:pt idx="23">
                  <c:v>0.5847</c:v>
                </c:pt>
                <c:pt idx="24">
                  <c:v>0.64470000000000005</c:v>
                </c:pt>
                <c:pt idx="25">
                  <c:v>0.72829999999999995</c:v>
                </c:pt>
                <c:pt idx="26">
                  <c:v>0.72760000000000002</c:v>
                </c:pt>
                <c:pt idx="27">
                  <c:v>0.80620000000000003</c:v>
                </c:pt>
                <c:pt idx="28">
                  <c:v>0.91669999999999996</c:v>
                </c:pt>
                <c:pt idx="29">
                  <c:v>0.94179999999999997</c:v>
                </c:pt>
                <c:pt idx="30">
                  <c:v>0.99980000000000002</c:v>
                </c:pt>
                <c:pt idx="31">
                  <c:v>1.0848</c:v>
                </c:pt>
                <c:pt idx="32">
                  <c:v>1.1099000000000001</c:v>
                </c:pt>
                <c:pt idx="33">
                  <c:v>1.2202999999999999</c:v>
                </c:pt>
                <c:pt idx="34">
                  <c:v>1.2975000000000001</c:v>
                </c:pt>
                <c:pt idx="35">
                  <c:v>1.3813</c:v>
                </c:pt>
                <c:pt idx="36">
                  <c:v>1.4641</c:v>
                </c:pt>
                <c:pt idx="37">
                  <c:v>1.4957</c:v>
                </c:pt>
                <c:pt idx="38">
                  <c:v>1.5810999999999999</c:v>
                </c:pt>
                <c:pt idx="39">
                  <c:v>1.6929000000000001</c:v>
                </c:pt>
                <c:pt idx="40">
                  <c:v>1.7907999999999999</c:v>
                </c:pt>
                <c:pt idx="41">
                  <c:v>1.8808</c:v>
                </c:pt>
                <c:pt idx="42">
                  <c:v>1.9912000000000001</c:v>
                </c:pt>
                <c:pt idx="43">
                  <c:v>2.1434000000000002</c:v>
                </c:pt>
                <c:pt idx="44">
                  <c:v>2.2924000000000002</c:v>
                </c:pt>
                <c:pt idx="45">
                  <c:v>2.4127999999999998</c:v>
                </c:pt>
                <c:pt idx="46">
                  <c:v>2.5865999999999998</c:v>
                </c:pt>
                <c:pt idx="47">
                  <c:v>2.7162000000000002</c:v>
                </c:pt>
                <c:pt idx="48">
                  <c:v>2.8488000000000002</c:v>
                </c:pt>
                <c:pt idx="49">
                  <c:v>2.9005000000000001</c:v>
                </c:pt>
                <c:pt idx="50">
                  <c:v>3.1080999999999999</c:v>
                </c:pt>
                <c:pt idx="51">
                  <c:v>3.2581000000000002</c:v>
                </c:pt>
                <c:pt idx="52">
                  <c:v>3.41</c:v>
                </c:pt>
                <c:pt idx="53">
                  <c:v>3.5695000000000001</c:v>
                </c:pt>
                <c:pt idx="54">
                  <c:v>3.7932999999999999</c:v>
                </c:pt>
                <c:pt idx="55">
                  <c:v>3.9605000000000001</c:v>
                </c:pt>
                <c:pt idx="56">
                  <c:v>4.1361999999999997</c:v>
                </c:pt>
                <c:pt idx="57">
                  <c:v>4.1962000000000002</c:v>
                </c:pt>
                <c:pt idx="58">
                  <c:v>4.4485999999999999</c:v>
                </c:pt>
                <c:pt idx="59">
                  <c:v>4.6340000000000003</c:v>
                </c:pt>
                <c:pt idx="60">
                  <c:v>4.8383000000000003</c:v>
                </c:pt>
                <c:pt idx="61">
                  <c:v>5.1176000000000004</c:v>
                </c:pt>
                <c:pt idx="62">
                  <c:v>5.3056999999999999</c:v>
                </c:pt>
                <c:pt idx="63">
                  <c:v>5.6184000000000003</c:v>
                </c:pt>
                <c:pt idx="64">
                  <c:v>5.8106</c:v>
                </c:pt>
                <c:pt idx="65">
                  <c:v>5.9204999999999997</c:v>
                </c:pt>
                <c:pt idx="66">
                  <c:v>6.1223000000000001</c:v>
                </c:pt>
                <c:pt idx="67">
                  <c:v>6.3552999999999997</c:v>
                </c:pt>
                <c:pt idx="68">
                  <c:v>6.6135999999999999</c:v>
                </c:pt>
                <c:pt idx="69">
                  <c:v>6.9413999999999998</c:v>
                </c:pt>
                <c:pt idx="70">
                  <c:v>7.1718999999999999</c:v>
                </c:pt>
                <c:pt idx="71">
                  <c:v>7.5541</c:v>
                </c:pt>
                <c:pt idx="72">
                  <c:v>7.8011999999999997</c:v>
                </c:pt>
                <c:pt idx="73">
                  <c:v>7.8879000000000001</c:v>
                </c:pt>
                <c:pt idx="74">
                  <c:v>8.1748999999999992</c:v>
                </c:pt>
                <c:pt idx="75">
                  <c:v>8.5265000000000004</c:v>
                </c:pt>
                <c:pt idx="76">
                  <c:v>8.8297000000000008</c:v>
                </c:pt>
                <c:pt idx="77">
                  <c:v>9.0960999999999999</c:v>
                </c:pt>
                <c:pt idx="78">
                  <c:v>9.5024999999999995</c:v>
                </c:pt>
                <c:pt idx="79">
                  <c:v>9.8452000000000002</c:v>
                </c:pt>
                <c:pt idx="80">
                  <c:v>10.333</c:v>
                </c:pt>
                <c:pt idx="81">
                  <c:v>10.298500000000001</c:v>
                </c:pt>
                <c:pt idx="82">
                  <c:v>10.765599999999999</c:v>
                </c:pt>
                <c:pt idx="83">
                  <c:v>11.095800000000001</c:v>
                </c:pt>
                <c:pt idx="84">
                  <c:v>11.4823</c:v>
                </c:pt>
                <c:pt idx="85">
                  <c:v>11.759399999999999</c:v>
                </c:pt>
                <c:pt idx="86">
                  <c:v>12.148199999999999</c:v>
                </c:pt>
                <c:pt idx="87">
                  <c:v>12.571400000000001</c:v>
                </c:pt>
                <c:pt idx="88">
                  <c:v>12.9536</c:v>
                </c:pt>
                <c:pt idx="89">
                  <c:v>13.058199999999999</c:v>
                </c:pt>
                <c:pt idx="90">
                  <c:v>13.5101</c:v>
                </c:pt>
                <c:pt idx="91">
                  <c:v>13.9551</c:v>
                </c:pt>
                <c:pt idx="92">
                  <c:v>14.3</c:v>
                </c:pt>
                <c:pt idx="93">
                  <c:v>14.9023</c:v>
                </c:pt>
                <c:pt idx="94">
                  <c:v>15.3096</c:v>
                </c:pt>
                <c:pt idx="95">
                  <c:v>15.824999999999999</c:v>
                </c:pt>
                <c:pt idx="96">
                  <c:v>15.8744</c:v>
                </c:pt>
                <c:pt idx="97">
                  <c:v>16.424900000000001</c:v>
                </c:pt>
                <c:pt idx="98">
                  <c:v>16.891999999999999</c:v>
                </c:pt>
                <c:pt idx="99">
                  <c:v>17.459599999999998</c:v>
                </c:pt>
                <c:pt idx="100">
                  <c:v>17.901700000000002</c:v>
                </c:pt>
                <c:pt idx="101">
                  <c:v>18.396599999999999</c:v>
                </c:pt>
                <c:pt idx="102">
                  <c:v>18.814299999999999</c:v>
                </c:pt>
                <c:pt idx="103">
                  <c:v>19.211099999999998</c:v>
                </c:pt>
                <c:pt idx="104">
                  <c:v>19.4148</c:v>
                </c:pt>
                <c:pt idx="105">
                  <c:v>20.005199999999999</c:v>
                </c:pt>
                <c:pt idx="106">
                  <c:v>20.423200000000001</c:v>
                </c:pt>
                <c:pt idx="107">
                  <c:v>20.9559</c:v>
                </c:pt>
                <c:pt idx="108">
                  <c:v>21.643000000000001</c:v>
                </c:pt>
                <c:pt idx="109">
                  <c:v>22.136500000000002</c:v>
                </c:pt>
                <c:pt idx="110">
                  <c:v>22.876100000000001</c:v>
                </c:pt>
                <c:pt idx="111">
                  <c:v>23.400500000000001</c:v>
                </c:pt>
                <c:pt idx="112">
                  <c:v>23.8263</c:v>
                </c:pt>
                <c:pt idx="113">
                  <c:v>24.019200000000001</c:v>
                </c:pt>
                <c:pt idx="114">
                  <c:v>24.742100000000001</c:v>
                </c:pt>
                <c:pt idx="115">
                  <c:v>25.288599999999999</c:v>
                </c:pt>
                <c:pt idx="116">
                  <c:v>25.756399999999999</c:v>
                </c:pt>
                <c:pt idx="117">
                  <c:v>26.537500000000001</c:v>
                </c:pt>
                <c:pt idx="118">
                  <c:v>27.129000000000001</c:v>
                </c:pt>
                <c:pt idx="119">
                  <c:v>27.710799999999999</c:v>
                </c:pt>
                <c:pt idx="120">
                  <c:v>28.454999999999998</c:v>
                </c:pt>
                <c:pt idx="121">
                  <c:v>28.9754</c:v>
                </c:pt>
                <c:pt idx="122">
                  <c:v>29.756399999999999</c:v>
                </c:pt>
                <c:pt idx="123">
                  <c:v>30.371600000000001</c:v>
                </c:pt>
                <c:pt idx="124">
                  <c:v>31.023399999999999</c:v>
                </c:pt>
                <c:pt idx="125">
                  <c:v>31.1907</c:v>
                </c:pt>
                <c:pt idx="126">
                  <c:v>32.0242</c:v>
                </c:pt>
                <c:pt idx="127">
                  <c:v>32.601300000000002</c:v>
                </c:pt>
                <c:pt idx="128">
                  <c:v>33.4191</c:v>
                </c:pt>
                <c:pt idx="129">
                  <c:v>34.016100000000002</c:v>
                </c:pt>
                <c:pt idx="130">
                  <c:v>34.636099999999999</c:v>
                </c:pt>
                <c:pt idx="131">
                  <c:v>35.585900000000002</c:v>
                </c:pt>
                <c:pt idx="132">
                  <c:v>36.268500000000003</c:v>
                </c:pt>
                <c:pt idx="133">
                  <c:v>37.213200000000001</c:v>
                </c:pt>
                <c:pt idx="134">
                  <c:v>37.892000000000003</c:v>
                </c:pt>
                <c:pt idx="135">
                  <c:v>38.569400000000002</c:v>
                </c:pt>
                <c:pt idx="136">
                  <c:v>39.411499999999997</c:v>
                </c:pt>
                <c:pt idx="137">
                  <c:v>39.963200000000001</c:v>
                </c:pt>
                <c:pt idx="138">
                  <c:v>40.972700000000003</c:v>
                </c:pt>
                <c:pt idx="139">
                  <c:v>41.743600000000001</c:v>
                </c:pt>
                <c:pt idx="140">
                  <c:v>41.962400000000002</c:v>
                </c:pt>
                <c:pt idx="141">
                  <c:v>42.667000000000002</c:v>
                </c:pt>
                <c:pt idx="142">
                  <c:v>43.682400000000001</c:v>
                </c:pt>
                <c:pt idx="143">
                  <c:v>44.408299999999997</c:v>
                </c:pt>
                <c:pt idx="144">
                  <c:v>45.104700000000001</c:v>
                </c:pt>
                <c:pt idx="145">
                  <c:v>46.135599999999997</c:v>
                </c:pt>
                <c:pt idx="146">
                  <c:v>46.830300000000001</c:v>
                </c:pt>
                <c:pt idx="147">
                  <c:v>47.541699999999999</c:v>
                </c:pt>
                <c:pt idx="148">
                  <c:v>48.523299999999999</c:v>
                </c:pt>
                <c:pt idx="149">
                  <c:v>49.381500000000003</c:v>
                </c:pt>
                <c:pt idx="150">
                  <c:v>50.428100000000001</c:v>
                </c:pt>
                <c:pt idx="151">
                  <c:v>51.425600000000003</c:v>
                </c:pt>
                <c:pt idx="152">
                  <c:v>52.241</c:v>
                </c:pt>
                <c:pt idx="153">
                  <c:v>53.342399999999998</c:v>
                </c:pt>
                <c:pt idx="154">
                  <c:v>54.061900000000001</c:v>
                </c:pt>
                <c:pt idx="155">
                  <c:v>54.814700000000002</c:v>
                </c:pt>
                <c:pt idx="156">
                  <c:v>55.882599999999996</c:v>
                </c:pt>
                <c:pt idx="157">
                  <c:v>56.6815</c:v>
                </c:pt>
                <c:pt idx="158">
                  <c:v>57.960099999999997</c:v>
                </c:pt>
                <c:pt idx="159">
                  <c:v>58.798900000000003</c:v>
                </c:pt>
                <c:pt idx="160">
                  <c:v>59.6721</c:v>
                </c:pt>
                <c:pt idx="161">
                  <c:v>60.774000000000001</c:v>
                </c:pt>
                <c:pt idx="162">
                  <c:v>61.779899999999998</c:v>
                </c:pt>
                <c:pt idx="163">
                  <c:v>62.958500000000001</c:v>
                </c:pt>
                <c:pt idx="164">
                  <c:v>63.808799999999998</c:v>
                </c:pt>
                <c:pt idx="165">
                  <c:v>64.989500000000007</c:v>
                </c:pt>
                <c:pt idx="166">
                  <c:v>65.835700000000003</c:v>
                </c:pt>
                <c:pt idx="167">
                  <c:v>66.811899999999994</c:v>
                </c:pt>
                <c:pt idx="168">
                  <c:v>68.102000000000004</c:v>
                </c:pt>
                <c:pt idx="169">
                  <c:v>68.348699999999994</c:v>
                </c:pt>
                <c:pt idx="170">
                  <c:v>69.353899999999996</c:v>
                </c:pt>
                <c:pt idx="171">
                  <c:v>70.450299999999999</c:v>
                </c:pt>
                <c:pt idx="172">
                  <c:v>71.753</c:v>
                </c:pt>
                <c:pt idx="173">
                  <c:v>72.765900000000002</c:v>
                </c:pt>
                <c:pt idx="174">
                  <c:v>73.971500000000006</c:v>
                </c:pt>
                <c:pt idx="175">
                  <c:v>74.792000000000002</c:v>
                </c:pt>
                <c:pt idx="176">
                  <c:v>75.851799999999997</c:v>
                </c:pt>
                <c:pt idx="177">
                  <c:v>77.156400000000005</c:v>
                </c:pt>
                <c:pt idx="178">
                  <c:v>78.390100000000004</c:v>
                </c:pt>
                <c:pt idx="179">
                  <c:v>79.533299999999997</c:v>
                </c:pt>
                <c:pt idx="180">
                  <c:v>80.984899999999996</c:v>
                </c:pt>
                <c:pt idx="181">
                  <c:v>82.0672</c:v>
                </c:pt>
                <c:pt idx="182">
                  <c:v>83.083100000000002</c:v>
                </c:pt>
                <c:pt idx="183">
                  <c:v>84.454899999999995</c:v>
                </c:pt>
                <c:pt idx="184">
                  <c:v>85.628299999999996</c:v>
                </c:pt>
                <c:pt idx="185">
                  <c:v>87.040700000000001</c:v>
                </c:pt>
                <c:pt idx="186">
                  <c:v>88.103399999999993</c:v>
                </c:pt>
                <c:pt idx="187">
                  <c:v>89.251900000000006</c:v>
                </c:pt>
                <c:pt idx="188">
                  <c:v>90.732399999999998</c:v>
                </c:pt>
                <c:pt idx="189">
                  <c:v>91.756500000000003</c:v>
                </c:pt>
                <c:pt idx="190">
                  <c:v>93.1738</c:v>
                </c:pt>
                <c:pt idx="191">
                  <c:v>94.293899999999994</c:v>
                </c:pt>
                <c:pt idx="192">
                  <c:v>95.820499999999996</c:v>
                </c:pt>
                <c:pt idx="193">
                  <c:v>97.270899999999997</c:v>
                </c:pt>
                <c:pt idx="194">
                  <c:v>98.442899999999995</c:v>
                </c:pt>
                <c:pt idx="195">
                  <c:v>99.921300000000002</c:v>
                </c:pt>
                <c:pt idx="196">
                  <c:v>101.0789</c:v>
                </c:pt>
                <c:pt idx="197">
                  <c:v>102.2787</c:v>
                </c:pt>
                <c:pt idx="198">
                  <c:v>103.7201</c:v>
                </c:pt>
                <c:pt idx="199">
                  <c:v>104.88679999999999</c:v>
                </c:pt>
                <c:pt idx="200">
                  <c:v>106.36190000000001</c:v>
                </c:pt>
                <c:pt idx="201">
                  <c:v>107.9021</c:v>
                </c:pt>
                <c:pt idx="202">
                  <c:v>109.08580000000001</c:v>
                </c:pt>
                <c:pt idx="203">
                  <c:v>110.4259</c:v>
                </c:pt>
                <c:pt idx="204">
                  <c:v>112.0536</c:v>
                </c:pt>
                <c:pt idx="205">
                  <c:v>113.2525</c:v>
                </c:pt>
                <c:pt idx="206">
                  <c:v>114.8152</c:v>
                </c:pt>
                <c:pt idx="207">
                  <c:v>116.43640000000001</c:v>
                </c:pt>
                <c:pt idx="208">
                  <c:v>117.55889999999999</c:v>
                </c:pt>
                <c:pt idx="209">
                  <c:v>119.2227</c:v>
                </c:pt>
                <c:pt idx="210">
                  <c:v>120.3927</c:v>
                </c:pt>
                <c:pt idx="211">
                  <c:v>121.8142</c:v>
                </c:pt>
                <c:pt idx="212">
                  <c:v>124.28230000000001</c:v>
                </c:pt>
                <c:pt idx="213">
                  <c:v>125.9032</c:v>
                </c:pt>
                <c:pt idx="214">
                  <c:v>127.5975</c:v>
                </c:pt>
                <c:pt idx="215">
                  <c:v>128.8451</c:v>
                </c:pt>
                <c:pt idx="216">
                  <c:v>130.4616</c:v>
                </c:pt>
                <c:pt idx="217">
                  <c:v>131.73390000000001</c:v>
                </c:pt>
                <c:pt idx="218">
                  <c:v>133.4588</c:v>
                </c:pt>
                <c:pt idx="219">
                  <c:v>135.1112</c:v>
                </c:pt>
                <c:pt idx="220">
                  <c:v>136.37459999999999</c:v>
                </c:pt>
                <c:pt idx="221">
                  <c:v>137.72069999999999</c:v>
                </c:pt>
                <c:pt idx="222">
                  <c:v>139.53200000000001</c:v>
                </c:pt>
                <c:pt idx="223">
                  <c:v>141.24279999999999</c:v>
                </c:pt>
                <c:pt idx="224">
                  <c:v>142.59389999999999</c:v>
                </c:pt>
                <c:pt idx="225">
                  <c:v>144.2201</c:v>
                </c:pt>
                <c:pt idx="226">
                  <c:v>145.96369999999999</c:v>
                </c:pt>
                <c:pt idx="227">
                  <c:v>147.2938</c:v>
                </c:pt>
                <c:pt idx="228">
                  <c:v>150.0857</c:v>
                </c:pt>
                <c:pt idx="229">
                  <c:v>151.86689999999999</c:v>
                </c:pt>
                <c:pt idx="230">
                  <c:v>153.70009999999999</c:v>
                </c:pt>
                <c:pt idx="231">
                  <c:v>155.0548</c:v>
                </c:pt>
                <c:pt idx="232">
                  <c:v>156.42240000000001</c:v>
                </c:pt>
                <c:pt idx="233">
                  <c:v>158.28989999999999</c:v>
                </c:pt>
                <c:pt idx="234">
                  <c:v>160.03720000000001</c:v>
                </c:pt>
                <c:pt idx="235">
                  <c:v>161.3289</c:v>
                </c:pt>
                <c:pt idx="236">
                  <c:v>163.24539999999999</c:v>
                </c:pt>
                <c:pt idx="237">
                  <c:v>165.17169999999999</c:v>
                </c:pt>
                <c:pt idx="238">
                  <c:v>166.57230000000001</c:v>
                </c:pt>
                <c:pt idx="239">
                  <c:v>169.3997</c:v>
                </c:pt>
                <c:pt idx="240">
                  <c:v>171.3186</c:v>
                </c:pt>
                <c:pt idx="241">
                  <c:v>173.21809999999999</c:v>
                </c:pt>
                <c:pt idx="242">
                  <c:v>175.0488</c:v>
                </c:pt>
                <c:pt idx="243">
                  <c:v>176.95529999999999</c:v>
                </c:pt>
                <c:pt idx="244">
                  <c:v>178.4736</c:v>
                </c:pt>
                <c:pt idx="245">
                  <c:v>180.39519999999999</c:v>
                </c:pt>
                <c:pt idx="246">
                  <c:v>181.73740000000001</c:v>
                </c:pt>
                <c:pt idx="247">
                  <c:v>183.25729999999999</c:v>
                </c:pt>
                <c:pt idx="248">
                  <c:v>185.9812</c:v>
                </c:pt>
                <c:pt idx="249">
                  <c:v>187.76509999999999</c:v>
                </c:pt>
                <c:pt idx="250">
                  <c:v>189.79089999999999</c:v>
                </c:pt>
                <c:pt idx="251">
                  <c:v>191.46789999999999</c:v>
                </c:pt>
                <c:pt idx="252">
                  <c:v>194.58879999999999</c:v>
                </c:pt>
                <c:pt idx="253">
                  <c:v>196.20070000000001</c:v>
                </c:pt>
                <c:pt idx="254">
                  <c:v>197.78049999999999</c:v>
                </c:pt>
                <c:pt idx="255">
                  <c:v>199.57400000000001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2-434C-94A5-218492A75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3681648"/>
        <c:axId val="1913654304"/>
      </c:lineChart>
      <c:catAx>
        <c:axId val="191368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654304"/>
        <c:crosses val="autoZero"/>
        <c:auto val="1"/>
        <c:lblAlgn val="ctr"/>
        <c:lblOffset val="100"/>
        <c:noMultiLvlLbl val="0"/>
      </c:catAx>
      <c:valAx>
        <c:axId val="191365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68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254000</xdr:colOff>
      <xdr:row>18</xdr:row>
      <xdr:rowOff>193407</xdr:rowOff>
    </xdr:from>
    <xdr:to>
      <xdr:col>23</xdr:col>
      <xdr:colOff>517509</xdr:colOff>
      <xdr:row>45</xdr:row>
      <xdr:rowOff>82584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CFED839-7F8E-CB82-C76A-CF63868F2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611188</xdr:colOff>
      <xdr:row>15</xdr:row>
      <xdr:rowOff>104774</xdr:rowOff>
    </xdr:from>
    <xdr:to>
      <xdr:col>23</xdr:col>
      <xdr:colOff>317500</xdr:colOff>
      <xdr:row>43</xdr:row>
      <xdr:rowOff>201611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14FC5CC-A634-81C8-9D30-92E0ACB0B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611188</xdr:colOff>
      <xdr:row>16</xdr:row>
      <xdr:rowOff>150091</xdr:rowOff>
    </xdr:from>
    <xdr:to>
      <xdr:col>23</xdr:col>
      <xdr:colOff>501397</xdr:colOff>
      <xdr:row>45</xdr:row>
      <xdr:rowOff>138111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D952D50-D5B3-ED1C-7582-4A8E5F6FE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15</xdr:row>
      <xdr:rowOff>48489</xdr:rowOff>
    </xdr:from>
    <xdr:to>
      <xdr:col>22</xdr:col>
      <xdr:colOff>277091</xdr:colOff>
      <xdr:row>43</xdr:row>
      <xdr:rowOff>173180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E8BE490-FF84-8FC5-8B6F-A6325F5A0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554182</xdr:colOff>
      <xdr:row>15</xdr:row>
      <xdr:rowOff>16162</xdr:rowOff>
    </xdr:from>
    <xdr:to>
      <xdr:col>24</xdr:col>
      <xdr:colOff>254000</xdr:colOff>
      <xdr:row>45</xdr:row>
      <xdr:rowOff>9235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2329FF0-5A8E-0537-5FEC-9FBECBD35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80819</xdr:colOff>
      <xdr:row>12</xdr:row>
      <xdr:rowOff>175490</xdr:rowOff>
    </xdr:from>
    <xdr:to>
      <xdr:col>24</xdr:col>
      <xdr:colOff>103909</xdr:colOff>
      <xdr:row>41</xdr:row>
      <xdr:rowOff>187036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3F08C61-EE50-7BBD-0A27-5D834E404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635001</xdr:colOff>
      <xdr:row>14</xdr:row>
      <xdr:rowOff>210127</xdr:rowOff>
    </xdr:from>
    <xdr:to>
      <xdr:col>23</xdr:col>
      <xdr:colOff>542637</xdr:colOff>
      <xdr:row>43</xdr:row>
      <xdr:rowOff>173181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096686D-B536-B116-8BF4-7603BEB97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662213</xdr:colOff>
      <xdr:row>14</xdr:row>
      <xdr:rowOff>88899</xdr:rowOff>
    </xdr:from>
    <xdr:to>
      <xdr:col>24</xdr:col>
      <xdr:colOff>18142</xdr:colOff>
      <xdr:row>43</xdr:row>
      <xdr:rowOff>152399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028FDF6-23E4-E304-A213-7655F4E18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54429</xdr:colOff>
      <xdr:row>15</xdr:row>
      <xdr:rowOff>61685</xdr:rowOff>
    </xdr:from>
    <xdr:to>
      <xdr:col>23</xdr:col>
      <xdr:colOff>598714</xdr:colOff>
      <xdr:row>44</xdr:row>
      <xdr:rowOff>65313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BCAA17B-6961-28DD-2342-F7657C56A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444499</xdr:colOff>
      <xdr:row>14</xdr:row>
      <xdr:rowOff>152399</xdr:rowOff>
    </xdr:from>
    <xdr:to>
      <xdr:col>24</xdr:col>
      <xdr:colOff>18142</xdr:colOff>
      <xdr:row>44</xdr:row>
      <xdr:rowOff>128814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B307A30-6B16-5435-DFA3-185475990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498928</xdr:colOff>
      <xdr:row>15</xdr:row>
      <xdr:rowOff>179614</xdr:rowOff>
    </xdr:from>
    <xdr:to>
      <xdr:col>24</xdr:col>
      <xdr:colOff>190499</xdr:colOff>
      <xdr:row>46</xdr:row>
      <xdr:rowOff>9071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41C4A8D-0122-4FD4-B704-34EE9D185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380999</xdr:colOff>
      <xdr:row>14</xdr:row>
      <xdr:rowOff>179613</xdr:rowOff>
    </xdr:from>
    <xdr:to>
      <xdr:col>24</xdr:col>
      <xdr:colOff>290284</xdr:colOff>
      <xdr:row>45</xdr:row>
      <xdr:rowOff>139699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5C30835-75A3-5490-F76B-99243A7C0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571499</xdr:colOff>
      <xdr:row>15</xdr:row>
      <xdr:rowOff>134256</xdr:rowOff>
    </xdr:from>
    <xdr:to>
      <xdr:col>24</xdr:col>
      <xdr:colOff>163284</xdr:colOff>
      <xdr:row>45</xdr:row>
      <xdr:rowOff>121556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5A26E25-3813-08E8-B5C5-1DC11EFCD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635000</xdr:colOff>
      <xdr:row>15</xdr:row>
      <xdr:rowOff>161471</xdr:rowOff>
    </xdr:from>
    <xdr:to>
      <xdr:col>23</xdr:col>
      <xdr:colOff>399143</xdr:colOff>
      <xdr:row>44</xdr:row>
      <xdr:rowOff>94342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610089F-E26B-3160-F2DF-5183932D8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4E1F-BCA7-4468-B62D-7D9F06D0EAB3}">
  <dimension ref="B2:AB272"/>
  <sheetViews>
    <sheetView topLeftCell="A11" zoomScale="70" zoomScaleNormal="70" workbookViewId="0">
      <selection activeCell="AE23" sqref="AE23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46286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0.2651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191.5865</v>
      </c>
      <c r="D12" s="4" t="s">
        <v>9</v>
      </c>
      <c r="E12" s="4"/>
      <c r="Y12" s="9" t="s">
        <v>23</v>
      </c>
    </row>
    <row r="13" spans="2:28" x14ac:dyDescent="0.4">
      <c r="B13" s="1" t="s">
        <v>11</v>
      </c>
      <c r="C13" s="8">
        <v>1.8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0.27160000000000001</v>
      </c>
      <c r="AA15" s="2">
        <v>0.28120000000000001</v>
      </c>
      <c r="AB15" s="2">
        <v>0.2651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0.27460000000000001</v>
      </c>
      <c r="AA16" s="2">
        <v>0.2843</v>
      </c>
      <c r="AB16" s="2">
        <v>0.28029999999999999</v>
      </c>
    </row>
    <row r="17" spans="2:28" ht="17.5" thickTop="1" x14ac:dyDescent="0.4">
      <c r="B17" s="11">
        <v>0</v>
      </c>
      <c r="C17" s="16">
        <f>D17-D17*(C$14/100)</f>
        <v>7.3616064792520722E-4</v>
      </c>
      <c r="D17" s="17">
        <f>D$272*((B17+F$17)/B$272)^C$13</f>
        <v>8.1795627547245247E-4</v>
      </c>
      <c r="E17" s="17">
        <f>D17+D17*(C$14/100)</f>
        <v>8.9975190301969771E-4</v>
      </c>
      <c r="F17" s="2">
        <v>0.2651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0.2712</v>
      </c>
      <c r="AA17" s="2">
        <v>0.28160000000000002</v>
      </c>
      <c r="AB17" s="2">
        <v>0.29089999999999999</v>
      </c>
    </row>
    <row r="18" spans="2:28" x14ac:dyDescent="0.4">
      <c r="B18" s="11">
        <v>1</v>
      </c>
      <c r="C18" s="16">
        <f t="shared" ref="C18:C81" si="1">D18-D18*(C$14/100)</f>
        <v>1.2264781867469538E-2</v>
      </c>
      <c r="D18" s="17">
        <f>D$272*((B18+F$17)/B$272)^C$13</f>
        <v>1.3627535408299486E-2</v>
      </c>
      <c r="E18" s="17">
        <f t="shared" ref="E18:E81" si="2">D18+D18*(C$14/100)</f>
        <v>1.4990288949129434E-2</v>
      </c>
      <c r="F18" s="2">
        <v>0.28029999999999999</v>
      </c>
      <c r="G18" s="2" t="str">
        <f t="shared" si="0"/>
        <v>Fail</v>
      </c>
      <c r="Y18" s="2">
        <v>3</v>
      </c>
      <c r="Z18" s="2">
        <v>0.2702</v>
      </c>
      <c r="AA18" s="2">
        <v>0.28120000000000001</v>
      </c>
      <c r="AB18" s="2">
        <v>0.30930000000000002</v>
      </c>
    </row>
    <row r="19" spans="2:28" x14ac:dyDescent="0.4">
      <c r="B19" s="11">
        <v>2</v>
      </c>
      <c r="C19" s="16">
        <f t="shared" si="1"/>
        <v>3.4993902090715755E-2</v>
      </c>
      <c r="D19" s="17">
        <f t="shared" ref="D19:D82" si="3">D$272*((B19+F$17)/B$272)^C$13</f>
        <v>3.8882113434128618E-2</v>
      </c>
      <c r="E19" s="17">
        <f t="shared" si="2"/>
        <v>4.2770324777541481E-2</v>
      </c>
      <c r="F19" s="2">
        <v>0.29089999999999999</v>
      </c>
      <c r="G19" s="2" t="str">
        <f t="shared" si="0"/>
        <v>Fail</v>
      </c>
      <c r="Y19" s="2">
        <v>4</v>
      </c>
      <c r="Z19" s="2">
        <v>0.2681</v>
      </c>
      <c r="AA19" s="2">
        <v>0.27939999999999998</v>
      </c>
      <c r="AB19" s="2">
        <v>0.32369999999999999</v>
      </c>
    </row>
    <row r="20" spans="2:28" x14ac:dyDescent="0.4">
      <c r="B20" s="11">
        <v>3</v>
      </c>
      <c r="C20" s="16">
        <f t="shared" si="1"/>
        <v>6.7584758255840038E-2</v>
      </c>
      <c r="D20" s="17">
        <f t="shared" si="3"/>
        <v>7.5094175839822266E-2</v>
      </c>
      <c r="E20" s="17">
        <f t="shared" si="2"/>
        <v>8.2603593423804494E-2</v>
      </c>
      <c r="F20" s="2">
        <v>0.30930000000000002</v>
      </c>
      <c r="G20" s="2" t="str">
        <f t="shared" si="0"/>
        <v>Fail</v>
      </c>
      <c r="Y20" s="2">
        <v>5</v>
      </c>
      <c r="Z20" s="2">
        <v>0.2651</v>
      </c>
      <c r="AA20" s="2">
        <v>0.27279999999999999</v>
      </c>
      <c r="AB20" s="2">
        <v>0.35830000000000001</v>
      </c>
    </row>
    <row r="21" spans="2:28" x14ac:dyDescent="0.4">
      <c r="B21" s="11">
        <v>4</v>
      </c>
      <c r="C21" s="16">
        <f t="shared" si="1"/>
        <v>0.10932202833479436</v>
      </c>
      <c r="D21" s="17">
        <f t="shared" si="3"/>
        <v>0.12146892037199374</v>
      </c>
      <c r="E21" s="17">
        <f t="shared" si="2"/>
        <v>0.13361581240919312</v>
      </c>
      <c r="F21" s="2">
        <v>0.32369999999999999</v>
      </c>
      <c r="G21" s="2" t="str">
        <f t="shared" si="0"/>
        <v>Fail</v>
      </c>
      <c r="Y21" s="2">
        <v>6</v>
      </c>
      <c r="Z21" s="2">
        <v>0.26500000000000001</v>
      </c>
      <c r="AA21" s="2">
        <v>0.27510000000000001</v>
      </c>
      <c r="AB21" s="2">
        <v>0.38640000000000002</v>
      </c>
    </row>
    <row r="22" spans="2:28" x14ac:dyDescent="0.4">
      <c r="B22" s="11">
        <v>5</v>
      </c>
      <c r="C22" s="16">
        <f t="shared" si="1"/>
        <v>0.15972283559383144</v>
      </c>
      <c r="D22" s="17">
        <f t="shared" si="3"/>
        <v>0.17746981732647937</v>
      </c>
      <c r="E22" s="17">
        <f t="shared" si="2"/>
        <v>0.19521679905912731</v>
      </c>
      <c r="F22" s="2">
        <v>0.35830000000000001</v>
      </c>
      <c r="G22" s="2" t="str">
        <f t="shared" si="0"/>
        <v>Fail</v>
      </c>
      <c r="Y22" s="2">
        <v>7</v>
      </c>
      <c r="Z22" s="2">
        <v>0.26529999999999998</v>
      </c>
      <c r="AA22" s="2">
        <v>0.28620000000000001</v>
      </c>
      <c r="AB22" s="2">
        <v>0.44540000000000002</v>
      </c>
    </row>
    <row r="23" spans="2:28" x14ac:dyDescent="0.4">
      <c r="B23" s="11">
        <v>6</v>
      </c>
      <c r="C23" s="16">
        <f t="shared" si="1"/>
        <v>0.21842658783797331</v>
      </c>
      <c r="D23" s="17">
        <f t="shared" si="3"/>
        <v>0.24269620870885925</v>
      </c>
      <c r="E23" s="17">
        <f t="shared" si="2"/>
        <v>0.26696582957974518</v>
      </c>
      <c r="F23" s="2">
        <v>0.38640000000000002</v>
      </c>
      <c r="G23" s="2" t="str">
        <f t="shared" si="0"/>
        <v>Fail</v>
      </c>
      <c r="Y23" s="2">
        <v>8</v>
      </c>
      <c r="Z23" s="2">
        <v>0.26250000000000001</v>
      </c>
      <c r="AA23" s="2">
        <v>0.2782</v>
      </c>
      <c r="AB23" s="2">
        <v>0.51039999999999996</v>
      </c>
    </row>
    <row r="24" spans="2:28" x14ac:dyDescent="0.4">
      <c r="B24" s="11">
        <v>7</v>
      </c>
      <c r="C24" s="16">
        <f t="shared" si="1"/>
        <v>0.28514775844328244</v>
      </c>
      <c r="D24" s="17">
        <f t="shared" si="3"/>
        <v>0.31683084271475825</v>
      </c>
      <c r="E24" s="17">
        <f t="shared" si="2"/>
        <v>0.34851392698623407</v>
      </c>
      <c r="F24" s="2">
        <v>0.44540000000000002</v>
      </c>
      <c r="G24" s="2" t="str">
        <f t="shared" si="0"/>
        <v>Fail</v>
      </c>
      <c r="Y24" s="2">
        <v>9</v>
      </c>
      <c r="Z24" s="2">
        <v>0.26579999999999998</v>
      </c>
      <c r="AA24" s="2">
        <v>0.27979999999999999</v>
      </c>
      <c r="AB24" s="2">
        <v>0.57709999999999995</v>
      </c>
    </row>
    <row r="25" spans="2:28" x14ac:dyDescent="0.4">
      <c r="B25" s="11">
        <v>8</v>
      </c>
      <c r="C25" s="16">
        <f t="shared" si="1"/>
        <v>0.35965134661627807</v>
      </c>
      <c r="D25" s="17">
        <f t="shared" si="3"/>
        <v>0.39961260735142007</v>
      </c>
      <c r="E25" s="17">
        <f t="shared" si="2"/>
        <v>0.43957386808656207</v>
      </c>
      <c r="F25" s="2">
        <v>0.51039999999999996</v>
      </c>
      <c r="G25" s="2" t="str">
        <f t="shared" si="0"/>
        <v>Fail</v>
      </c>
      <c r="Y25" s="2">
        <v>10</v>
      </c>
      <c r="Z25" s="2">
        <v>0.26640000000000003</v>
      </c>
      <c r="AA25" s="2">
        <v>0.2742</v>
      </c>
      <c r="AB25" s="2">
        <v>0.67149999999999999</v>
      </c>
    </row>
    <row r="26" spans="2:28" x14ac:dyDescent="0.4">
      <c r="B26" s="11">
        <v>9</v>
      </c>
      <c r="C26" s="16">
        <f t="shared" si="1"/>
        <v>0.44173853672764113</v>
      </c>
      <c r="D26" s="17">
        <f t="shared" si="3"/>
        <v>0.49082059636404568</v>
      </c>
      <c r="E26" s="17">
        <f t="shared" si="2"/>
        <v>0.53990265600045029</v>
      </c>
      <c r="F26" s="2">
        <v>0.57709999999999995</v>
      </c>
      <c r="G26" s="2" t="str">
        <f t="shared" si="0"/>
        <v>Fail</v>
      </c>
      <c r="Y26" s="2">
        <v>11</v>
      </c>
      <c r="Z26" s="2">
        <v>0.26910000000000001</v>
      </c>
      <c r="AA26" s="2">
        <v>0.28599999999999998</v>
      </c>
      <c r="AB26" s="2">
        <v>0.78539999999999999</v>
      </c>
    </row>
    <row r="27" spans="2:28" x14ac:dyDescent="0.4">
      <c r="B27" s="11">
        <v>10</v>
      </c>
      <c r="C27" s="16">
        <f t="shared" si="1"/>
        <v>0.53123761757863819</v>
      </c>
      <c r="D27" s="17">
        <f t="shared" si="3"/>
        <v>0.59026401953182017</v>
      </c>
      <c r="E27" s="17">
        <f t="shared" si="2"/>
        <v>0.64929042148500216</v>
      </c>
      <c r="F27" s="2">
        <v>0.67149999999999999</v>
      </c>
      <c r="G27" s="2" t="str">
        <f t="shared" si="0"/>
        <v>Fail</v>
      </c>
      <c r="Y27" s="2">
        <v>12</v>
      </c>
      <c r="Z27" s="2">
        <v>0.26800000000000002</v>
      </c>
      <c r="AA27" s="2">
        <v>0.2853</v>
      </c>
      <c r="AB27" s="2">
        <v>0.88580000000000003</v>
      </c>
    </row>
    <row r="28" spans="2:28" x14ac:dyDescent="0.4">
      <c r="B28" s="11">
        <v>11</v>
      </c>
      <c r="C28" s="16">
        <f t="shared" si="1"/>
        <v>0.62799788424071101</v>
      </c>
      <c r="D28" s="17">
        <f t="shared" si="3"/>
        <v>0.69777542693412331</v>
      </c>
      <c r="E28" s="17">
        <f t="shared" si="2"/>
        <v>0.76755296962753561</v>
      </c>
      <c r="F28" s="2">
        <v>0.78539999999999999</v>
      </c>
      <c r="G28" s="2" t="str">
        <f t="shared" si="0"/>
        <v>Fail</v>
      </c>
      <c r="Y28" s="2">
        <v>13</v>
      </c>
      <c r="Z28" s="2">
        <v>0.27239999999999998</v>
      </c>
      <c r="AA28" s="2">
        <v>0.29039999999999999</v>
      </c>
      <c r="AB28" s="2">
        <v>0.99809999999999999</v>
      </c>
    </row>
    <row r="29" spans="2:28" x14ac:dyDescent="0.4">
      <c r="B29" s="11">
        <v>12</v>
      </c>
      <c r="C29" s="16">
        <f t="shared" si="1"/>
        <v>0.73188535403870059</v>
      </c>
      <c r="D29" s="17">
        <f t="shared" si="3"/>
        <v>0.81320594893188958</v>
      </c>
      <c r="E29" s="17">
        <f t="shared" si="2"/>
        <v>0.89452654382507857</v>
      </c>
      <c r="F29" s="2">
        <v>0.88580000000000003</v>
      </c>
      <c r="G29" s="2" t="str">
        <f t="shared" si="0"/>
        <v>Pass</v>
      </c>
      <c r="Y29" s="2">
        <v>14</v>
      </c>
      <c r="Z29" s="2">
        <v>0.27089999999999997</v>
      </c>
      <c r="AA29" s="2">
        <v>0.29199999999999998</v>
      </c>
      <c r="AB29" s="2">
        <v>1.1532</v>
      </c>
    </row>
    <row r="30" spans="2:28" x14ac:dyDescent="0.4">
      <c r="B30" s="11">
        <v>13</v>
      </c>
      <c r="C30" s="16">
        <f t="shared" si="1"/>
        <v>0.84277964749175815</v>
      </c>
      <c r="D30" s="17">
        <f t="shared" si="3"/>
        <v>0.93642183054639794</v>
      </c>
      <c r="E30" s="17">
        <f t="shared" si="2"/>
        <v>1.0300640136010377</v>
      </c>
      <c r="F30" s="2">
        <v>0.99809999999999999</v>
      </c>
      <c r="G30" s="2" t="str">
        <f t="shared" si="0"/>
        <v>Pass</v>
      </c>
      <c r="Y30" s="2">
        <v>15</v>
      </c>
      <c r="Z30" s="2">
        <v>0.2697</v>
      </c>
      <c r="AA30" s="2">
        <v>0.29089999999999999</v>
      </c>
      <c r="AB30" s="2">
        <v>1.2396</v>
      </c>
    </row>
    <row r="31" spans="2:28" x14ac:dyDescent="0.4">
      <c r="B31" s="11">
        <v>14</v>
      </c>
      <c r="C31" s="16">
        <f t="shared" si="1"/>
        <v>0.96057165044451875</v>
      </c>
      <c r="D31" s="17">
        <f t="shared" si="3"/>
        <v>1.0673018338272431</v>
      </c>
      <c r="E31" s="17">
        <f t="shared" si="2"/>
        <v>1.1740320172099674</v>
      </c>
      <c r="F31" s="2">
        <v>1.1532</v>
      </c>
      <c r="G31" s="2" t="str">
        <f t="shared" si="0"/>
        <v>Pass</v>
      </c>
      <c r="Y31" s="2">
        <v>16</v>
      </c>
      <c r="Z31" s="2">
        <v>0.2782</v>
      </c>
      <c r="AA31" s="2">
        <v>0.29149999999999998</v>
      </c>
      <c r="AB31" s="2">
        <v>1.3694</v>
      </c>
    </row>
    <row r="32" spans="2:28" x14ac:dyDescent="0.4">
      <c r="B32" s="11">
        <v>15</v>
      </c>
      <c r="C32" s="16">
        <f t="shared" si="1"/>
        <v>1.0851617189392495</v>
      </c>
      <c r="D32" s="17">
        <f t="shared" si="3"/>
        <v>1.2057352432658328</v>
      </c>
      <c r="E32" s="17">
        <f t="shared" si="2"/>
        <v>1.3263087675924161</v>
      </c>
      <c r="F32" s="2">
        <v>1.2396</v>
      </c>
      <c r="G32" s="2" t="str">
        <f t="shared" si="0"/>
        <v>Pass</v>
      </c>
      <c r="Y32" s="2">
        <v>17</v>
      </c>
      <c r="Z32" s="2">
        <v>0.27750000000000002</v>
      </c>
      <c r="AA32" s="2">
        <v>0.29549999999999998</v>
      </c>
      <c r="AB32" s="2">
        <v>1.5490999999999999</v>
      </c>
    </row>
    <row r="33" spans="2:28" x14ac:dyDescent="0.4">
      <c r="B33" s="11">
        <v>16</v>
      </c>
      <c r="C33" s="16">
        <f t="shared" si="1"/>
        <v>1.2164582724773945</v>
      </c>
      <c r="D33" s="17">
        <f t="shared" si="3"/>
        <v>1.3516203027526605</v>
      </c>
      <c r="E33" s="17">
        <f t="shared" si="2"/>
        <v>1.4867823330279266</v>
      </c>
      <c r="F33" s="2">
        <v>1.3694</v>
      </c>
      <c r="G33" s="2" t="str">
        <f t="shared" si="0"/>
        <v>Pass</v>
      </c>
      <c r="Y33" s="2">
        <v>18</v>
      </c>
      <c r="Z33" s="2">
        <v>0.27800000000000002</v>
      </c>
      <c r="AA33" s="2">
        <v>0.29499999999999998</v>
      </c>
      <c r="AB33" s="2">
        <v>1.6314</v>
      </c>
    </row>
    <row r="34" spans="2:28" x14ac:dyDescent="0.4">
      <c r="B34" s="11">
        <v>17</v>
      </c>
      <c r="C34" s="16">
        <f t="shared" si="1"/>
        <v>1.3543766722679091</v>
      </c>
      <c r="D34" s="17">
        <f t="shared" si="3"/>
        <v>1.5048629691865658</v>
      </c>
      <c r="E34" s="17">
        <f t="shared" si="2"/>
        <v>1.6553492661052225</v>
      </c>
      <c r="F34" s="2">
        <v>1.5490999999999999</v>
      </c>
      <c r="G34" s="2" t="str">
        <f t="shared" si="0"/>
        <v>Pass</v>
      </c>
      <c r="Y34" s="2">
        <v>19</v>
      </c>
      <c r="Z34" s="2">
        <v>0.27160000000000001</v>
      </c>
      <c r="AA34" s="2">
        <v>0.29299999999999998</v>
      </c>
      <c r="AB34" s="2">
        <v>1.8015000000000001</v>
      </c>
    </row>
    <row r="35" spans="2:28" x14ac:dyDescent="0.4">
      <c r="B35" s="11">
        <v>18</v>
      </c>
      <c r="C35" s="16">
        <f t="shared" si="1"/>
        <v>1.4988383131384917</v>
      </c>
      <c r="D35" s="17">
        <f t="shared" si="3"/>
        <v>1.6653759034872129</v>
      </c>
      <c r="E35" s="17">
        <f t="shared" si="2"/>
        <v>1.831913493835934</v>
      </c>
      <c r="F35" s="2">
        <v>1.6314</v>
      </c>
      <c r="G35" s="2" t="str">
        <f t="shared" si="0"/>
        <v>Pass</v>
      </c>
      <c r="Y35" s="2">
        <v>20</v>
      </c>
      <c r="Z35" s="2">
        <v>0.27239999999999998</v>
      </c>
      <c r="AA35" s="2">
        <v>0.2903</v>
      </c>
      <c r="AB35" s="2">
        <v>1.9686999999999999</v>
      </c>
    </row>
    <row r="36" spans="2:28" x14ac:dyDescent="0.4">
      <c r="B36" s="11">
        <v>19</v>
      </c>
      <c r="C36" s="16">
        <f t="shared" si="1"/>
        <v>1.6497698786586301</v>
      </c>
      <c r="D36" s="17">
        <f t="shared" si="3"/>
        <v>1.8330776429540334</v>
      </c>
      <c r="E36" s="17">
        <f t="shared" si="2"/>
        <v>2.0163854072494369</v>
      </c>
      <c r="F36" s="2">
        <v>1.8015000000000001</v>
      </c>
      <c r="G36" s="2" t="str">
        <f t="shared" si="0"/>
        <v>Pass</v>
      </c>
      <c r="Y36" s="2">
        <v>21</v>
      </c>
      <c r="Z36" s="2">
        <v>0.27210000000000001</v>
      </c>
      <c r="AA36" s="2">
        <v>0.29149999999999998</v>
      </c>
      <c r="AB36" s="2">
        <v>2.0735999999999999</v>
      </c>
    </row>
    <row r="37" spans="2:28" x14ac:dyDescent="0.4">
      <c r="B37" s="11">
        <v>20</v>
      </c>
      <c r="C37" s="16">
        <f t="shared" si="1"/>
        <v>1.8071027229967127</v>
      </c>
      <c r="D37" s="17">
        <f t="shared" si="3"/>
        <v>2.0078919144407918</v>
      </c>
      <c r="E37" s="17">
        <f t="shared" si="2"/>
        <v>2.208681105884871</v>
      </c>
      <c r="F37" s="2">
        <v>1.9686999999999999</v>
      </c>
      <c r="G37" s="2" t="str">
        <f t="shared" si="0"/>
        <v>Pass</v>
      </c>
      <c r="Y37" s="2">
        <v>22</v>
      </c>
      <c r="Z37" s="2">
        <v>0.27050000000000002</v>
      </c>
      <c r="AA37" s="2">
        <v>0.28989999999999999</v>
      </c>
      <c r="AB37" s="2">
        <v>2.3027000000000002</v>
      </c>
    </row>
    <row r="38" spans="2:28" x14ac:dyDescent="0.4">
      <c r="B38" s="11">
        <v>21</v>
      </c>
      <c r="C38" s="16">
        <f t="shared" si="1"/>
        <v>1.9707723526229808</v>
      </c>
      <c r="D38" s="17">
        <f t="shared" si="3"/>
        <v>2.1897470584699787</v>
      </c>
      <c r="E38" s="17">
        <f t="shared" si="2"/>
        <v>2.4087217643169767</v>
      </c>
      <c r="F38" s="2">
        <v>2.0735999999999999</v>
      </c>
      <c r="G38" s="2" t="str">
        <f t="shared" si="0"/>
        <v>Pass</v>
      </c>
      <c r="Y38" s="2">
        <v>23</v>
      </c>
      <c r="Z38" s="2">
        <v>0.26869999999999999</v>
      </c>
      <c r="AA38" s="2">
        <v>0.29049999999999998</v>
      </c>
      <c r="AB38" s="2">
        <v>2.4689999999999999</v>
      </c>
    </row>
    <row r="39" spans="2:28" x14ac:dyDescent="0.4">
      <c r="B39" s="11">
        <v>22</v>
      </c>
      <c r="C39" s="16">
        <f t="shared" si="1"/>
        <v>2.1407179876970752</v>
      </c>
      <c r="D39" s="17">
        <f t="shared" si="3"/>
        <v>2.3785755418856391</v>
      </c>
      <c r="E39" s="17">
        <f t="shared" si="2"/>
        <v>2.616433096074203</v>
      </c>
      <c r="F39" s="2">
        <v>2.3027000000000002</v>
      </c>
      <c r="G39" s="2" t="str">
        <f t="shared" si="0"/>
        <v>Pass</v>
      </c>
      <c r="Y39" s="2">
        <v>24</v>
      </c>
      <c r="Z39" s="2">
        <v>0.2702</v>
      </c>
      <c r="AA39" s="2">
        <v>0.29349999999999998</v>
      </c>
      <c r="AB39" s="2">
        <v>2.7233000000000001</v>
      </c>
    </row>
    <row r="40" spans="2:28" x14ac:dyDescent="0.4">
      <c r="B40" s="11">
        <v>23</v>
      </c>
      <c r="C40" s="16">
        <f t="shared" si="1"/>
        <v>2.3168821877903811</v>
      </c>
      <c r="D40" s="17">
        <f t="shared" si="3"/>
        <v>2.5743135419893122</v>
      </c>
      <c r="E40" s="17">
        <f t="shared" si="2"/>
        <v>2.8317448961882432</v>
      </c>
      <c r="F40" s="2">
        <v>2.4689999999999999</v>
      </c>
      <c r="G40" s="2" t="str">
        <f t="shared" si="0"/>
        <v>Pass</v>
      </c>
      <c r="Y40" s="2">
        <v>25</v>
      </c>
      <c r="Z40" s="2">
        <v>0.27489999999999998</v>
      </c>
      <c r="AA40" s="2">
        <v>0.2974</v>
      </c>
      <c r="AB40" s="2">
        <v>2.8978999999999999</v>
      </c>
    </row>
    <row r="41" spans="2:28" x14ac:dyDescent="0.4">
      <c r="B41" s="11">
        <v>24</v>
      </c>
      <c r="C41" s="16">
        <f t="shared" si="1"/>
        <v>2.4992105300952718</v>
      </c>
      <c r="D41" s="17">
        <f t="shared" si="3"/>
        <v>2.7769005889947467</v>
      </c>
      <c r="E41" s="17">
        <f t="shared" si="2"/>
        <v>3.0545906478942215</v>
      </c>
      <c r="F41" s="2">
        <v>2.7233000000000001</v>
      </c>
      <c r="G41" s="2" t="str">
        <f t="shared" si="0"/>
        <v>Pass</v>
      </c>
      <c r="Y41" s="2">
        <v>26</v>
      </c>
      <c r="Z41" s="2">
        <v>0.27450000000000002</v>
      </c>
      <c r="AA41" s="2">
        <v>0.29580000000000001</v>
      </c>
      <c r="AB41" s="2">
        <v>3.0985999999999998</v>
      </c>
    </row>
    <row r="42" spans="2:28" x14ac:dyDescent="0.4">
      <c r="B42" s="11">
        <v>25</v>
      </c>
      <c r="C42" s="16">
        <f t="shared" si="1"/>
        <v>2.6876513308623999</v>
      </c>
      <c r="D42" s="17">
        <f t="shared" si="3"/>
        <v>2.9862792565137779</v>
      </c>
      <c r="E42" s="17">
        <f t="shared" si="2"/>
        <v>3.2849071821651559</v>
      </c>
      <c r="F42" s="2">
        <v>2.8978999999999999</v>
      </c>
      <c r="G42" s="2" t="str">
        <f t="shared" si="0"/>
        <v>Pass</v>
      </c>
      <c r="Y42" s="2">
        <v>27</v>
      </c>
      <c r="Z42" s="2">
        <v>0.27710000000000001</v>
      </c>
      <c r="AA42" s="2">
        <v>0.30170000000000002</v>
      </c>
      <c r="AB42" s="2">
        <v>3.4176000000000002</v>
      </c>
    </row>
    <row r="43" spans="2:28" x14ac:dyDescent="0.4">
      <c r="B43" s="11">
        <v>26</v>
      </c>
      <c r="C43" s="16">
        <f t="shared" si="1"/>
        <v>2.8821554027485075</v>
      </c>
      <c r="D43" s="17">
        <f t="shared" si="3"/>
        <v>3.2023948919427863</v>
      </c>
      <c r="E43" s="17">
        <f t="shared" si="2"/>
        <v>3.5226343811370651</v>
      </c>
      <c r="F43" s="2">
        <v>3.0985999999999998</v>
      </c>
      <c r="G43" s="2" t="str">
        <f t="shared" si="0"/>
        <v>Pass</v>
      </c>
      <c r="Y43" s="2">
        <v>28</v>
      </c>
      <c r="Z43" s="2">
        <v>0.27179999999999999</v>
      </c>
      <c r="AA43" s="2">
        <v>0.2964</v>
      </c>
      <c r="AB43" s="2">
        <v>3.5872000000000002</v>
      </c>
    </row>
    <row r="44" spans="2:28" x14ac:dyDescent="0.4">
      <c r="B44" s="11">
        <v>27</v>
      </c>
      <c r="C44" s="16">
        <f t="shared" si="1"/>
        <v>3.0826758422319918</v>
      </c>
      <c r="D44" s="17">
        <f t="shared" si="3"/>
        <v>3.4251953802577684</v>
      </c>
      <c r="E44" s="17">
        <f t="shared" si="2"/>
        <v>3.767714918283545</v>
      </c>
      <c r="F44" s="2">
        <v>3.4176000000000002</v>
      </c>
      <c r="G44" s="2" t="str">
        <f t="shared" si="0"/>
        <v>Pass</v>
      </c>
      <c r="Y44" s="2">
        <v>29</v>
      </c>
      <c r="Z44" s="2">
        <v>0.27829999999999999</v>
      </c>
      <c r="AA44" s="2">
        <v>0.29859999999999998</v>
      </c>
      <c r="AB44" s="2">
        <v>3.7854000000000001</v>
      </c>
    </row>
    <row r="45" spans="2:28" x14ac:dyDescent="0.4">
      <c r="B45" s="11">
        <v>28</v>
      </c>
      <c r="C45" s="16">
        <f t="shared" si="1"/>
        <v>3.2891678423869375</v>
      </c>
      <c r="D45" s="17">
        <f t="shared" si="3"/>
        <v>3.6546309359854861</v>
      </c>
      <c r="E45" s="17">
        <f t="shared" si="2"/>
        <v>4.0200940295840351</v>
      </c>
      <c r="F45" s="2">
        <v>3.5872000000000002</v>
      </c>
      <c r="G45" s="2" t="str">
        <f t="shared" si="0"/>
        <v>Pass</v>
      </c>
      <c r="Y45" s="2">
        <v>30</v>
      </c>
      <c r="Z45" s="2">
        <v>0.27810000000000001</v>
      </c>
      <c r="AA45" s="2">
        <v>0.3034</v>
      </c>
      <c r="AB45" s="2">
        <v>4.1262999999999996</v>
      </c>
    </row>
    <row r="46" spans="2:28" x14ac:dyDescent="0.4">
      <c r="B46" s="11">
        <v>29</v>
      </c>
      <c r="C46" s="16">
        <f t="shared" si="1"/>
        <v>3.5015885271868852</v>
      </c>
      <c r="D46" s="17">
        <f t="shared" si="3"/>
        <v>3.8906539190965392</v>
      </c>
      <c r="E46" s="17">
        <f t="shared" si="2"/>
        <v>4.2797193110061933</v>
      </c>
      <c r="F46" s="2">
        <v>3.7854000000000001</v>
      </c>
      <c r="G46" s="2" t="str">
        <f t="shared" si="0"/>
        <v>Pass</v>
      </c>
      <c r="Y46" s="2">
        <v>31</v>
      </c>
      <c r="Z46" s="2">
        <v>0.2752</v>
      </c>
      <c r="AA46" s="2">
        <v>0.2959</v>
      </c>
      <c r="AB46" s="2">
        <v>4.3863000000000003</v>
      </c>
    </row>
    <row r="47" spans="2:28" x14ac:dyDescent="0.4">
      <c r="B47" s="11">
        <v>30</v>
      </c>
      <c r="C47" s="16">
        <f t="shared" si="1"/>
        <v>3.7198968042007401</v>
      </c>
      <c r="D47" s="17">
        <f t="shared" si="3"/>
        <v>4.1332186713341557</v>
      </c>
      <c r="E47" s="17">
        <f t="shared" si="2"/>
        <v>4.5465405384675712</v>
      </c>
      <c r="F47" s="2">
        <v>4.1262999999999996</v>
      </c>
      <c r="G47" s="2" t="str">
        <f t="shared" si="0"/>
        <v>Pass</v>
      </c>
      <c r="Y47" s="2">
        <v>32</v>
      </c>
      <c r="Z47" s="2">
        <v>0.27579999999999999</v>
      </c>
      <c r="AA47" s="2">
        <v>0.29699999999999999</v>
      </c>
      <c r="AB47" s="2">
        <v>4.5845000000000002</v>
      </c>
    </row>
    <row r="48" spans="2:28" x14ac:dyDescent="0.4">
      <c r="B48" s="11">
        <v>31</v>
      </c>
      <c r="C48" s="16">
        <f t="shared" si="1"/>
        <v>3.9440532330904774</v>
      </c>
      <c r="D48" s="17">
        <f t="shared" si="3"/>
        <v>4.3822813701005305</v>
      </c>
      <c r="E48" s="17">
        <f t="shared" si="2"/>
        <v>4.8205095071105832</v>
      </c>
      <c r="F48" s="2">
        <v>4.3863000000000003</v>
      </c>
      <c r="G48" s="2" t="str">
        <f t="shared" si="0"/>
        <v>Pass</v>
      </c>
      <c r="Y48" s="2">
        <v>33</v>
      </c>
      <c r="Z48" s="2">
        <v>0.27379999999999999</v>
      </c>
      <c r="AA48" s="2">
        <v>0.2923</v>
      </c>
      <c r="AB48" s="2">
        <v>4.8437000000000001</v>
      </c>
    </row>
    <row r="49" spans="2:28" x14ac:dyDescent="0.4">
      <c r="B49" s="11">
        <v>32</v>
      </c>
      <c r="C49" s="16">
        <f t="shared" si="1"/>
        <v>4.1740199077574687</v>
      </c>
      <c r="D49" s="17">
        <f t="shared" si="3"/>
        <v>4.6377998975082981</v>
      </c>
      <c r="E49" s="17">
        <f t="shared" si="2"/>
        <v>5.1015798872591276</v>
      </c>
      <c r="F49" s="2">
        <v>4.5845000000000002</v>
      </c>
      <c r="G49" s="2" t="str">
        <f t="shared" si="0"/>
        <v>Pass</v>
      </c>
      <c r="Y49" s="2">
        <v>34</v>
      </c>
      <c r="Z49" s="2">
        <v>0.27660000000000001</v>
      </c>
      <c r="AA49" s="2">
        <v>0.29859999999999998</v>
      </c>
      <c r="AB49" s="2">
        <v>5.3232999999999997</v>
      </c>
    </row>
    <row r="50" spans="2:28" x14ac:dyDescent="0.4">
      <c r="B50" s="11">
        <v>33</v>
      </c>
      <c r="C50" s="16">
        <f t="shared" si="1"/>
        <v>4.4097603503361089</v>
      </c>
      <c r="D50" s="17">
        <f t="shared" si="3"/>
        <v>4.899733722595677</v>
      </c>
      <c r="E50" s="17">
        <f t="shared" si="2"/>
        <v>5.389707094855245</v>
      </c>
      <c r="F50" s="2">
        <v>4.8437000000000001</v>
      </c>
      <c r="G50" s="2" t="str">
        <f t="shared" si="0"/>
        <v>Pass</v>
      </c>
      <c r="Y50" s="2">
        <v>35</v>
      </c>
      <c r="Z50" s="2">
        <v>0.27750000000000002</v>
      </c>
      <c r="AA50" s="2">
        <v>0.2994</v>
      </c>
      <c r="AB50" s="2">
        <v>5.5296000000000003</v>
      </c>
    </row>
    <row r="51" spans="2:28" x14ac:dyDescent="0.4">
      <c r="B51" s="11">
        <v>34</v>
      </c>
      <c r="C51" s="16">
        <f t="shared" si="1"/>
        <v>4.6512394155189565</v>
      </c>
      <c r="D51" s="17">
        <f t="shared" si="3"/>
        <v>5.1680437950210631</v>
      </c>
      <c r="E51" s="17">
        <f t="shared" si="2"/>
        <v>5.6848481745231698</v>
      </c>
      <c r="F51" s="2">
        <v>5.3232999999999997</v>
      </c>
      <c r="G51" s="2" t="str">
        <f t="shared" si="0"/>
        <v>Pass</v>
      </c>
      <c r="Y51" s="2">
        <v>36</v>
      </c>
      <c r="Z51" s="2">
        <v>0.27610000000000001</v>
      </c>
      <c r="AA51" s="2">
        <v>0.29420000000000002</v>
      </c>
      <c r="AB51" s="2">
        <v>5.8148999999999997</v>
      </c>
    </row>
    <row r="52" spans="2:28" x14ac:dyDescent="0.4">
      <c r="B52" s="11">
        <v>35</v>
      </c>
      <c r="C52" s="16">
        <f t="shared" si="1"/>
        <v>4.8984232039305091</v>
      </c>
      <c r="D52" s="17">
        <f t="shared" si="3"/>
        <v>5.4426924488116768</v>
      </c>
      <c r="E52" s="17">
        <f t="shared" si="2"/>
        <v>5.9869616936928445</v>
      </c>
      <c r="F52" s="2">
        <v>5.5296000000000003</v>
      </c>
      <c r="G52" s="2" t="str">
        <f t="shared" si="0"/>
        <v>Pass</v>
      </c>
      <c r="Y52" s="2">
        <v>37</v>
      </c>
      <c r="Z52" s="2">
        <v>0.27710000000000001</v>
      </c>
      <c r="AA52" s="2">
        <v>0.29449999999999998</v>
      </c>
      <c r="AB52" s="2">
        <v>6.0423</v>
      </c>
    </row>
    <row r="53" spans="2:28" x14ac:dyDescent="0.4">
      <c r="B53" s="11">
        <v>36</v>
      </c>
      <c r="C53" s="16">
        <f t="shared" si="1"/>
        <v>5.1512789834585311</v>
      </c>
      <c r="D53" s="17">
        <f t="shared" si="3"/>
        <v>5.7236433149539234</v>
      </c>
      <c r="E53" s="17">
        <f t="shared" si="2"/>
        <v>6.2960076464493158</v>
      </c>
      <c r="F53" s="2">
        <v>5.8148999999999997</v>
      </c>
      <c r="G53" s="2" t="str">
        <f t="shared" si="0"/>
        <v>Pass</v>
      </c>
      <c r="Y53" s="2">
        <v>38</v>
      </c>
      <c r="Z53" s="2">
        <v>0.2792</v>
      </c>
      <c r="AA53" s="2">
        <v>0.3009</v>
      </c>
      <c r="AB53" s="2">
        <v>6.5206999999999997</v>
      </c>
    </row>
    <row r="54" spans="2:28" x14ac:dyDescent="0.4">
      <c r="B54" s="11">
        <v>37</v>
      </c>
      <c r="C54" s="16">
        <f t="shared" si="1"/>
        <v>5.4097751176100246</v>
      </c>
      <c r="D54" s="17">
        <f t="shared" si="3"/>
        <v>6.0108612417889162</v>
      </c>
      <c r="E54" s="17">
        <f t="shared" si="2"/>
        <v>6.6119473659678079</v>
      </c>
      <c r="F54" s="2">
        <v>6.0423</v>
      </c>
      <c r="G54" s="2" t="str">
        <f t="shared" si="0"/>
        <v>Pass</v>
      </c>
      <c r="Y54" s="2">
        <v>39</v>
      </c>
      <c r="Z54" s="2">
        <v>0.27679999999999999</v>
      </c>
      <c r="AA54" s="2">
        <v>0.2969</v>
      </c>
      <c r="AB54" s="2">
        <v>6.8442999999999996</v>
      </c>
    </row>
    <row r="55" spans="2:28" x14ac:dyDescent="0.4">
      <c r="B55" s="11">
        <v>38</v>
      </c>
      <c r="C55" s="16">
        <f t="shared" si="1"/>
        <v>5.6738810000908453</v>
      </c>
      <c r="D55" s="17">
        <f t="shared" si="3"/>
        <v>6.3043122223231611</v>
      </c>
      <c r="E55" s="17">
        <f t="shared" si="2"/>
        <v>6.934743444555477</v>
      </c>
      <c r="F55" s="2">
        <v>6.5206999999999997</v>
      </c>
      <c r="G55" s="2" t="str">
        <f t="shared" si="0"/>
        <v>Pass</v>
      </c>
      <c r="Y55" s="2">
        <v>40</v>
      </c>
      <c r="Z55" s="2">
        <v>0.2772</v>
      </c>
      <c r="AA55" s="2">
        <v>0.29730000000000001</v>
      </c>
      <c r="AB55" s="2">
        <v>7.1181999999999999</v>
      </c>
    </row>
    <row r="56" spans="2:28" x14ac:dyDescent="0.4">
      <c r="B56" s="11">
        <v>39</v>
      </c>
      <c r="C56" s="16">
        <f t="shared" si="1"/>
        <v>5.9435669949179575</v>
      </c>
      <c r="D56" s="17">
        <f t="shared" si="3"/>
        <v>6.6039633276866194</v>
      </c>
      <c r="E56" s="17">
        <f t="shared" si="2"/>
        <v>7.2643596604552814</v>
      </c>
      <c r="F56" s="2">
        <v>6.8442999999999996</v>
      </c>
      <c r="G56" s="2" t="str">
        <f t="shared" si="0"/>
        <v>Pass</v>
      </c>
      <c r="Y56" s="2">
        <v>41</v>
      </c>
      <c r="Z56" s="2">
        <v>0.27760000000000001</v>
      </c>
      <c r="AA56" s="2">
        <v>0.29799999999999999</v>
      </c>
      <c r="AB56" s="2">
        <v>7.444</v>
      </c>
    </row>
    <row r="57" spans="2:28" x14ac:dyDescent="0.4">
      <c r="B57" s="11">
        <v>40</v>
      </c>
      <c r="C57" s="16">
        <f t="shared" si="1"/>
        <v>6.218804381465973</v>
      </c>
      <c r="D57" s="17">
        <f t="shared" si="3"/>
        <v>6.9097826460733032</v>
      </c>
      <c r="E57" s="17">
        <f t="shared" si="2"/>
        <v>7.6007609106806333</v>
      </c>
      <c r="F57" s="2">
        <v>7.1181999999999999</v>
      </c>
      <c r="G57" s="2" t="str">
        <f t="shared" si="0"/>
        <v>Pass</v>
      </c>
      <c r="Y57" s="2">
        <v>42</v>
      </c>
      <c r="Z57" s="2">
        <v>0.27789999999999998</v>
      </c>
      <c r="AA57" s="2">
        <v>0.29799999999999999</v>
      </c>
      <c r="AB57" s="2">
        <v>7.6924999999999999</v>
      </c>
    </row>
    <row r="58" spans="2:28" x14ac:dyDescent="0.4">
      <c r="B58" s="11">
        <v>41</v>
      </c>
      <c r="C58" s="16">
        <f t="shared" si="1"/>
        <v>6.4995653039276675</v>
      </c>
      <c r="D58" s="17">
        <f t="shared" si="3"/>
        <v>7.2217392265862967</v>
      </c>
      <c r="E58" s="17">
        <f t="shared" si="2"/>
        <v>7.943913149244926</v>
      </c>
      <c r="F58" s="2">
        <v>7.444</v>
      </c>
      <c r="G58" s="2" t="str">
        <f t="shared" si="0"/>
        <v>Pass</v>
      </c>
      <c r="Y58" s="2">
        <v>43</v>
      </c>
      <c r="Z58" s="2">
        <v>0.27939999999999998</v>
      </c>
      <c r="AA58" s="2">
        <v>0.29570000000000002</v>
      </c>
      <c r="AB58" s="2">
        <v>8.0739000000000001</v>
      </c>
    </row>
    <row r="59" spans="2:28" x14ac:dyDescent="0.4">
      <c r="B59" s="11">
        <v>42</v>
      </c>
      <c r="C59" s="16">
        <f t="shared" si="1"/>
        <v>6.7858227247345084</v>
      </c>
      <c r="D59" s="17">
        <f t="shared" si="3"/>
        <v>7.5398030274827876</v>
      </c>
      <c r="E59" s="17">
        <f t="shared" si="2"/>
        <v>8.2937833302310668</v>
      </c>
      <c r="F59" s="2">
        <v>7.6924999999999999</v>
      </c>
      <c r="G59" s="2" t="str">
        <f t="shared" si="0"/>
        <v>Pass</v>
      </c>
      <c r="Y59" s="2">
        <v>44</v>
      </c>
      <c r="Z59" s="2">
        <v>0.27989999999999998</v>
      </c>
      <c r="AA59" s="2">
        <v>0.29720000000000002</v>
      </c>
      <c r="AB59" s="2">
        <v>8.4415999999999993</v>
      </c>
    </row>
    <row r="60" spans="2:28" x14ac:dyDescent="0.4">
      <c r="B60" s="11">
        <v>43</v>
      </c>
      <c r="C60" s="16">
        <f t="shared" si="1"/>
        <v>7.0775503815395817</v>
      </c>
      <c r="D60" s="17">
        <f t="shared" si="3"/>
        <v>7.8639448683773132</v>
      </c>
      <c r="E60" s="17">
        <f t="shared" si="2"/>
        <v>8.6503393552150438</v>
      </c>
      <c r="F60" s="2">
        <v>8.0739000000000001</v>
      </c>
      <c r="G60" s="2" t="str">
        <f t="shared" si="0"/>
        <v>Pass</v>
      </c>
      <c r="Y60" s="2">
        <v>45</v>
      </c>
      <c r="Z60" s="2">
        <v>0.28010000000000002</v>
      </c>
      <c r="AA60" s="2">
        <v>0.29549999999999998</v>
      </c>
      <c r="AB60" s="2">
        <v>8.7318999999999996</v>
      </c>
    </row>
    <row r="61" spans="2:28" x14ac:dyDescent="0.4">
      <c r="B61" s="11">
        <v>44</v>
      </c>
      <c r="C61" s="16">
        <f t="shared" si="1"/>
        <v>7.3747227474136663</v>
      </c>
      <c r="D61" s="17">
        <f t="shared" si="3"/>
        <v>8.1941363860151846</v>
      </c>
      <c r="E61" s="17">
        <f t="shared" si="2"/>
        <v>9.0135500246167037</v>
      </c>
      <c r="F61" s="2">
        <v>8.4415999999999993</v>
      </c>
      <c r="G61" s="2" t="str">
        <f t="shared" si="0"/>
        <v>Pass</v>
      </c>
      <c r="Y61" s="2">
        <v>46</v>
      </c>
      <c r="Z61" s="2">
        <v>0.27729999999999999</v>
      </c>
      <c r="AA61" s="2">
        <v>0.29459999999999997</v>
      </c>
      <c r="AB61" s="2">
        <v>9.0624000000000002</v>
      </c>
    </row>
    <row r="62" spans="2:28" x14ac:dyDescent="0.4">
      <c r="B62" s="11">
        <v>45</v>
      </c>
      <c r="C62" s="16">
        <f t="shared" si="1"/>
        <v>7.6773149939465384</v>
      </c>
      <c r="D62" s="17">
        <f t="shared" si="3"/>
        <v>8.5303499932739317</v>
      </c>
      <c r="E62" s="17">
        <f t="shared" si="2"/>
        <v>9.3833849926013251</v>
      </c>
      <c r="F62" s="2">
        <v>8.7318999999999996</v>
      </c>
      <c r="G62" s="2" t="str">
        <f t="shared" si="0"/>
        <v>Pass</v>
      </c>
      <c r="Y62" s="2">
        <v>47</v>
      </c>
      <c r="Z62" s="2">
        <v>0.27760000000000001</v>
      </c>
      <c r="AA62" s="2">
        <v>0.29530000000000001</v>
      </c>
      <c r="AB62" s="2">
        <v>9.3187999999999995</v>
      </c>
    </row>
    <row r="63" spans="2:28" x14ac:dyDescent="0.4">
      <c r="B63" s="11">
        <v>46</v>
      </c>
      <c r="C63" s="16">
        <f t="shared" si="1"/>
        <v>7.9853029569814771</v>
      </c>
      <c r="D63" s="17">
        <f t="shared" si="3"/>
        <v>8.8725588410905303</v>
      </c>
      <c r="E63" s="17">
        <f t="shared" si="2"/>
        <v>9.7598147251995826</v>
      </c>
      <c r="F63" s="2">
        <v>9.0624000000000002</v>
      </c>
      <c r="G63" s="2" t="str">
        <f t="shared" si="0"/>
        <v>Pass</v>
      </c>
      <c r="Y63" s="2">
        <v>48</v>
      </c>
      <c r="Z63" s="2">
        <v>0.27850000000000003</v>
      </c>
      <c r="AA63" s="2">
        <v>0.2959</v>
      </c>
      <c r="AB63" s="2">
        <v>9.7796000000000003</v>
      </c>
    </row>
    <row r="64" spans="2:28" x14ac:dyDescent="0.4">
      <c r="B64" s="11">
        <v>47</v>
      </c>
      <c r="C64" s="16">
        <f t="shared" si="1"/>
        <v>8.2986631047415447</v>
      </c>
      <c r="D64" s="17">
        <f t="shared" si="3"/>
        <v>9.22073678304616</v>
      </c>
      <c r="E64" s="17">
        <f t="shared" si="2"/>
        <v>10.142810461350775</v>
      </c>
      <c r="F64" s="2">
        <v>9.3187999999999995</v>
      </c>
      <c r="G64" s="2" t="str">
        <f t="shared" si="0"/>
        <v>Pass</v>
      </c>
      <c r="Y64" s="2">
        <v>49</v>
      </c>
      <c r="Z64" s="2">
        <v>0.27750000000000002</v>
      </c>
      <c r="AA64" s="2">
        <v>0.2959</v>
      </c>
      <c r="AB64" s="2">
        <v>10.0573</v>
      </c>
    </row>
    <row r="65" spans="2:28" x14ac:dyDescent="0.4">
      <c r="B65" s="11">
        <v>48</v>
      </c>
      <c r="C65" s="16">
        <f t="shared" si="1"/>
        <v>8.6173725081333057</v>
      </c>
      <c r="D65" s="17">
        <f t="shared" si="3"/>
        <v>9.5748583423703391</v>
      </c>
      <c r="E65" s="17">
        <f t="shared" si="2"/>
        <v>10.532344176607372</v>
      </c>
      <c r="F65" s="2">
        <v>9.7796000000000003</v>
      </c>
      <c r="G65" s="2" t="str">
        <f t="shared" si="0"/>
        <v>Pass</v>
      </c>
      <c r="Y65" s="2">
        <v>50</v>
      </c>
      <c r="Z65" s="2">
        <v>0.2782</v>
      </c>
      <c r="AA65" s="2">
        <v>0.29570000000000002</v>
      </c>
      <c r="AB65" s="2">
        <v>10.468299999999999</v>
      </c>
    </row>
    <row r="66" spans="2:28" x14ac:dyDescent="0.4">
      <c r="B66" s="11">
        <v>49</v>
      </c>
      <c r="C66" s="16">
        <f t="shared" si="1"/>
        <v>8.9414088130366949</v>
      </c>
      <c r="D66" s="17">
        <f t="shared" si="3"/>
        <v>9.9348986811518838</v>
      </c>
      <c r="E66" s="17">
        <f t="shared" si="2"/>
        <v>10.928388549267073</v>
      </c>
      <c r="F66" s="2">
        <v>10.0573</v>
      </c>
      <c r="G66" s="2" t="str">
        <f t="shared" si="0"/>
        <v>Pass</v>
      </c>
      <c r="Y66" s="2">
        <v>51</v>
      </c>
      <c r="Z66" s="2">
        <v>0.27829999999999999</v>
      </c>
      <c r="AA66" s="2">
        <v>0.29630000000000001</v>
      </c>
      <c r="AB66" s="2">
        <v>10.740600000000001</v>
      </c>
    </row>
    <row r="67" spans="2:28" x14ac:dyDescent="0.4">
      <c r="B67" s="11">
        <v>50</v>
      </c>
      <c r="C67" s="16">
        <f t="shared" si="1"/>
        <v>9.2707502144103877</v>
      </c>
      <c r="D67" s="17">
        <f t="shared" si="3"/>
        <v>10.300833571567097</v>
      </c>
      <c r="E67" s="17">
        <f t="shared" si="2"/>
        <v>11.330916928723806</v>
      </c>
      <c r="F67" s="2">
        <v>10.468299999999999</v>
      </c>
      <c r="G67" s="2" t="str">
        <f t="shared" si="0"/>
        <v>Pass</v>
      </c>
      <c r="Y67" s="2">
        <v>52</v>
      </c>
      <c r="Z67" s="2">
        <v>0.2792</v>
      </c>
      <c r="AA67" s="2">
        <v>0.29659999999999997</v>
      </c>
      <c r="AB67" s="2">
        <v>11.198</v>
      </c>
    </row>
    <row r="68" spans="2:28" x14ac:dyDescent="0.4">
      <c r="B68" s="11">
        <v>51</v>
      </c>
      <c r="C68" s="16">
        <f t="shared" si="1"/>
        <v>9.6053754320594749</v>
      </c>
      <c r="D68" s="17">
        <f t="shared" si="3"/>
        <v>10.672639368954972</v>
      </c>
      <c r="E68" s="17">
        <f t="shared" si="2"/>
        <v>11.739903305850468</v>
      </c>
      <c r="F68" s="2">
        <v>10.740600000000001</v>
      </c>
      <c r="G68" s="2" t="str">
        <f t="shared" si="0"/>
        <v>Pass</v>
      </c>
      <c r="Y68" s="2">
        <v>53</v>
      </c>
      <c r="Z68" s="2">
        <v>0.27950000000000003</v>
      </c>
      <c r="AA68" s="2">
        <v>0.29649999999999999</v>
      </c>
      <c r="AB68" s="2">
        <v>11.543699999999999</v>
      </c>
    </row>
    <row r="69" spans="2:28" x14ac:dyDescent="0.4">
      <c r="B69" s="11">
        <v>52</v>
      </c>
      <c r="C69" s="16">
        <f t="shared" si="1"/>
        <v>9.9452636879283354</v>
      </c>
      <c r="D69" s="17">
        <f t="shared" si="3"/>
        <v>11.05029298658704</v>
      </c>
      <c r="E69" s="17">
        <f t="shared" si="2"/>
        <v>12.155322285245745</v>
      </c>
      <c r="F69" s="2">
        <v>11.198</v>
      </c>
      <c r="G69" s="2" t="str">
        <f t="shared" si="0"/>
        <v>Pass</v>
      </c>
      <c r="Y69" s="2">
        <v>54</v>
      </c>
      <c r="Z69" s="2">
        <v>0.27889999999999998</v>
      </c>
      <c r="AA69" s="2">
        <v>0.29270000000000002</v>
      </c>
      <c r="AB69" s="2">
        <v>11.6517</v>
      </c>
    </row>
    <row r="70" spans="2:28" x14ac:dyDescent="0.4">
      <c r="B70" s="11">
        <v>53</v>
      </c>
      <c r="C70" s="16">
        <f t="shared" si="1"/>
        <v>10.290394684794924</v>
      </c>
      <c r="D70" s="17">
        <f t="shared" si="3"/>
        <v>11.43377187199436</v>
      </c>
      <c r="E70" s="17">
        <f t="shared" si="2"/>
        <v>12.577149059193795</v>
      </c>
      <c r="F70" s="2">
        <v>11.543699999999999</v>
      </c>
      <c r="G70" s="2" t="str">
        <f t="shared" si="0"/>
        <v>Pass</v>
      </c>
      <c r="Y70" s="2">
        <v>55</v>
      </c>
      <c r="Z70" s="2">
        <v>0.27900000000000003</v>
      </c>
      <c r="AA70" s="2">
        <v>0.29310000000000003</v>
      </c>
      <c r="AB70" s="2">
        <v>12.0944</v>
      </c>
    </row>
    <row r="71" spans="2:28" x14ac:dyDescent="0.4">
      <c r="B71" s="11">
        <v>54</v>
      </c>
      <c r="C71" s="16">
        <f t="shared" si="1"/>
        <v>10.640748586255295</v>
      </c>
      <c r="D71" s="17">
        <f t="shared" si="3"/>
        <v>11.823053984728107</v>
      </c>
      <c r="E71" s="17">
        <f t="shared" si="2"/>
        <v>13.005359383200918</v>
      </c>
      <c r="F71" s="2">
        <v>11.6517</v>
      </c>
      <c r="G71" s="2" t="str">
        <f t="shared" si="0"/>
        <v>Pass</v>
      </c>
      <c r="Y71" s="2">
        <v>56</v>
      </c>
      <c r="Z71" s="2">
        <v>0.2777</v>
      </c>
      <c r="AA71" s="2">
        <v>0.29389999999999999</v>
      </c>
      <c r="AB71" s="2">
        <v>12.3226</v>
      </c>
    </row>
    <row r="72" spans="2:28" x14ac:dyDescent="0.4">
      <c r="B72" s="11">
        <v>55</v>
      </c>
      <c r="C72" s="16">
        <f t="shared" si="1"/>
        <v>10.996305997897537</v>
      </c>
      <c r="D72" s="17">
        <f t="shared" si="3"/>
        <v>12.218117775441709</v>
      </c>
      <c r="E72" s="17">
        <f t="shared" si="2"/>
        <v>13.43992955298588</v>
      </c>
      <c r="F72" s="2">
        <v>12.0944</v>
      </c>
      <c r="G72" s="2" t="str">
        <f t="shared" si="0"/>
        <v>Pass</v>
      </c>
      <c r="Y72" s="2">
        <v>57</v>
      </c>
      <c r="Z72" s="2">
        <v>0.27829999999999999</v>
      </c>
      <c r="AA72" s="2">
        <v>0.29449999999999998</v>
      </c>
      <c r="AB72" s="2">
        <v>12.8239</v>
      </c>
    </row>
    <row r="73" spans="2:28" x14ac:dyDescent="0.4">
      <c r="B73" s="11">
        <v>56</v>
      </c>
      <c r="C73" s="16">
        <f t="shared" si="1"/>
        <v>11.357047949574152</v>
      </c>
      <c r="D73" s="17">
        <f t="shared" si="3"/>
        <v>12.618942166193502</v>
      </c>
      <c r="E73" s="17">
        <f t="shared" si="2"/>
        <v>13.880836382812852</v>
      </c>
      <c r="F73" s="2">
        <v>12.3226</v>
      </c>
      <c r="G73" s="2" t="str">
        <f t="shared" si="0"/>
        <v>Pass</v>
      </c>
      <c r="Y73" s="2">
        <v>58</v>
      </c>
      <c r="Z73" s="2">
        <v>0.2787</v>
      </c>
      <c r="AA73" s="2">
        <v>0.29520000000000002</v>
      </c>
      <c r="AB73" s="2">
        <v>13.2151</v>
      </c>
    </row>
    <row r="74" spans="2:28" x14ac:dyDescent="0.4">
      <c r="B74" s="11">
        <v>57</v>
      </c>
      <c r="C74" s="16">
        <f t="shared" si="1"/>
        <v>11.72295587869017</v>
      </c>
      <c r="D74" s="17">
        <f t="shared" si="3"/>
        <v>13.025506531877967</v>
      </c>
      <c r="E74" s="17">
        <f t="shared" si="2"/>
        <v>14.328057185065765</v>
      </c>
      <c r="F74" s="2">
        <v>12.8239</v>
      </c>
      <c r="G74" s="2" t="str">
        <f t="shared" si="0"/>
        <v>Pass</v>
      </c>
      <c r="Y74" s="2">
        <v>59</v>
      </c>
      <c r="Z74" s="2">
        <v>0.27950000000000003</v>
      </c>
      <c r="AA74" s="2">
        <v>0.29570000000000002</v>
      </c>
      <c r="AB74" s="2">
        <v>13.692299999999999</v>
      </c>
    </row>
    <row r="75" spans="2:28" x14ac:dyDescent="0.4">
      <c r="B75" s="11">
        <v>58</v>
      </c>
      <c r="C75" s="16">
        <f t="shared" si="1"/>
        <v>12.094011614432048</v>
      </c>
      <c r="D75" s="17">
        <f t="shared" si="3"/>
        <v>13.437790682702277</v>
      </c>
      <c r="E75" s="17">
        <f t="shared" si="2"/>
        <v>14.781569750972505</v>
      </c>
      <c r="F75" s="2">
        <v>13.2151</v>
      </c>
      <c r="G75" s="2" t="str">
        <f t="shared" si="0"/>
        <v>Pass</v>
      </c>
      <c r="Y75" s="2">
        <v>60</v>
      </c>
      <c r="Z75" s="2">
        <v>0.28029999999999999</v>
      </c>
      <c r="AA75" s="2">
        <v>0.29670000000000002</v>
      </c>
      <c r="AB75" s="2">
        <v>14.092000000000001</v>
      </c>
    </row>
    <row r="76" spans="2:28" x14ac:dyDescent="0.4">
      <c r="B76" s="11">
        <v>59</v>
      </c>
      <c r="C76" s="16">
        <f t="shared" si="1"/>
        <v>12.470197362868944</v>
      </c>
      <c r="D76" s="17">
        <f t="shared" si="3"/>
        <v>13.85577484763216</v>
      </c>
      <c r="E76" s="17">
        <f t="shared" si="2"/>
        <v>15.241352332395376</v>
      </c>
      <c r="F76" s="2">
        <v>13.692299999999999</v>
      </c>
      <c r="G76" s="2" t="str">
        <f t="shared" si="0"/>
        <v>Pass</v>
      </c>
      <c r="Y76" s="2">
        <v>61</v>
      </c>
      <c r="Z76" s="2">
        <v>0.28089999999999998</v>
      </c>
      <c r="AA76" s="2">
        <v>0.29699999999999999</v>
      </c>
      <c r="AB76" s="2">
        <v>14.518700000000001</v>
      </c>
    </row>
    <row r="77" spans="2:28" x14ac:dyDescent="0.4">
      <c r="B77" s="11">
        <v>60</v>
      </c>
      <c r="C77" s="16">
        <f t="shared" si="1"/>
        <v>12.85149569286418</v>
      </c>
      <c r="D77" s="17">
        <f t="shared" si="3"/>
        <v>14.279439658737978</v>
      </c>
      <c r="E77" s="17">
        <f t="shared" si="2"/>
        <v>15.707383624611776</v>
      </c>
      <c r="F77" s="2">
        <v>14.092000000000001</v>
      </c>
      <c r="G77" s="2" t="str">
        <f t="shared" si="0"/>
        <v>Pass</v>
      </c>
      <c r="Y77" s="2">
        <v>62</v>
      </c>
      <c r="Z77" s="2">
        <v>0.28120000000000001</v>
      </c>
      <c r="AA77" s="2">
        <v>0.29730000000000001</v>
      </c>
      <c r="AB77" s="2">
        <v>15.0579</v>
      </c>
    </row>
    <row r="78" spans="2:28" x14ac:dyDescent="0.4">
      <c r="B78" s="11">
        <v>61</v>
      </c>
      <c r="C78" s="16">
        <f t="shared" si="1"/>
        <v>13.237889522739952</v>
      </c>
      <c r="D78" s="17">
        <f t="shared" si="3"/>
        <v>14.708766136377724</v>
      </c>
      <c r="E78" s="17">
        <f t="shared" si="2"/>
        <v>16.179642750015496</v>
      </c>
      <c r="F78" s="2">
        <v>14.518700000000001</v>
      </c>
      <c r="G78" s="2" t="str">
        <f t="shared" si="0"/>
        <v>Pass</v>
      </c>
      <c r="Y78" s="2">
        <v>63</v>
      </c>
      <c r="Z78" s="2">
        <v>0.27960000000000002</v>
      </c>
      <c r="AA78" s="2">
        <v>0.29670000000000002</v>
      </c>
      <c r="AB78" s="2">
        <v>15.451499999999999</v>
      </c>
    </row>
    <row r="79" spans="2:28" x14ac:dyDescent="0.4">
      <c r="B79" s="11">
        <v>62</v>
      </c>
      <c r="C79" s="16">
        <f t="shared" si="1"/>
        <v>13.629362107643418</v>
      </c>
      <c r="D79" s="17">
        <f t="shared" si="3"/>
        <v>15.143735675159354</v>
      </c>
      <c r="E79" s="17">
        <f t="shared" si="2"/>
        <v>16.658109242675287</v>
      </c>
      <c r="F79" s="2">
        <v>15.0579</v>
      </c>
      <c r="G79" s="2" t="str">
        <f t="shared" si="0"/>
        <v>Pass</v>
      </c>
      <c r="Y79" s="2">
        <v>64</v>
      </c>
      <c r="Z79" s="2">
        <v>0.2797</v>
      </c>
      <c r="AA79" s="2">
        <v>0.2974</v>
      </c>
      <c r="AB79" s="2">
        <v>15.8558</v>
      </c>
    </row>
    <row r="80" spans="2:28" x14ac:dyDescent="0.4">
      <c r="B80" s="11">
        <v>63</v>
      </c>
      <c r="C80" s="16">
        <f t="shared" si="1"/>
        <v>14.02589702756633</v>
      </c>
      <c r="D80" s="17">
        <f t="shared" si="3"/>
        <v>15.584330030629257</v>
      </c>
      <c r="E80" s="17">
        <f t="shared" si="2"/>
        <v>17.142763033692184</v>
      </c>
      <c r="F80" s="2">
        <v>15.451499999999999</v>
      </c>
      <c r="G80" s="2" t="str">
        <f t="shared" si="0"/>
        <v>Pass</v>
      </c>
      <c r="Y80" s="2">
        <v>65</v>
      </c>
      <c r="Z80" s="2">
        <v>0.28000000000000003</v>
      </c>
      <c r="AA80" s="2">
        <v>0.29780000000000001</v>
      </c>
      <c r="AB80" s="2">
        <v>16.299499999999998</v>
      </c>
    </row>
    <row r="81" spans="2:28" x14ac:dyDescent="0.4">
      <c r="B81" s="11">
        <v>64</v>
      </c>
      <c r="C81" s="16">
        <f t="shared" si="1"/>
        <v>14.427478175974805</v>
      </c>
      <c r="D81" s="17">
        <f t="shared" si="3"/>
        <v>16.030531306638672</v>
      </c>
      <c r="E81" s="17">
        <f t="shared" si="2"/>
        <v>17.633584437302538</v>
      </c>
      <c r="F81" s="2">
        <v>15.8558</v>
      </c>
      <c r="G81" s="2" t="str">
        <f t="shared" ref="G81:G144" si="4">IF(F81&lt;=C81,"Fail",IF(AND(C81&lt;F81,F81&lt;E81),"Pass",IF(E81&lt;=F81,"Fail")))</f>
        <v>Pass</v>
      </c>
      <c r="Y81" s="2">
        <v>66</v>
      </c>
      <c r="Z81" s="2">
        <v>0.27979999999999999</v>
      </c>
      <c r="AA81" s="2">
        <v>0.29809999999999998</v>
      </c>
      <c r="AB81" s="2">
        <v>16.831</v>
      </c>
    </row>
    <row r="82" spans="2:28" x14ac:dyDescent="0.4">
      <c r="B82" s="11">
        <v>65</v>
      </c>
      <c r="C82" s="16">
        <f t="shared" ref="C82:C145" si="5">D82-D82*(C$14/100)</f>
        <v>14.8340897490088</v>
      </c>
      <c r="D82" s="17">
        <f t="shared" si="3"/>
        <v>16.482321943343113</v>
      </c>
      <c r="E82" s="17">
        <f t="shared" ref="E82:E145" si="6">D82+D82*(C$14/100)</f>
        <v>18.130554137677425</v>
      </c>
      <c r="F82" s="2">
        <v>16.299499999999998</v>
      </c>
      <c r="G82" s="2" t="str">
        <f t="shared" si="4"/>
        <v>Pass</v>
      </c>
      <c r="Y82" s="2">
        <v>67</v>
      </c>
      <c r="Z82" s="2">
        <v>0.2802</v>
      </c>
      <c r="AA82" s="2">
        <v>0.2984</v>
      </c>
      <c r="AB82" s="2">
        <v>17.256799999999998</v>
      </c>
    </row>
    <row r="83" spans="2:28" x14ac:dyDescent="0.4">
      <c r="B83" s="11">
        <v>66</v>
      </c>
      <c r="C83" s="16">
        <f t="shared" si="5"/>
        <v>15.245716235214655</v>
      </c>
      <c r="D83" s="17">
        <f t="shared" ref="D83:D146" si="7">D$272*((B83+F$17)/B$272)^C$13</f>
        <v>16.939684705794061</v>
      </c>
      <c r="E83" s="17">
        <f t="shared" si="6"/>
        <v>18.633653176373468</v>
      </c>
      <c r="F83" s="2">
        <v>16.831</v>
      </c>
      <c r="G83" s="2" t="str">
        <f t="shared" si="4"/>
        <v>Pass</v>
      </c>
      <c r="Y83" s="2">
        <v>68</v>
      </c>
      <c r="Z83" s="2">
        <v>0.28070000000000001</v>
      </c>
      <c r="AA83" s="2">
        <v>0.2959</v>
      </c>
      <c r="AB83" s="2">
        <v>17.397500000000001</v>
      </c>
    </row>
    <row r="84" spans="2:28" x14ac:dyDescent="0.4">
      <c r="B84" s="11">
        <v>67</v>
      </c>
      <c r="C84" s="16">
        <f t="shared" si="5"/>
        <v>15.662342405776544</v>
      </c>
      <c r="D84" s="17">
        <f t="shared" si="7"/>
        <v>17.402602673085049</v>
      </c>
      <c r="E84" s="17">
        <f t="shared" si="6"/>
        <v>19.142862940393552</v>
      </c>
      <c r="F84" s="2">
        <v>17.256799999999998</v>
      </c>
      <c r="G84" s="2" t="str">
        <f t="shared" si="4"/>
        <v>Pass</v>
      </c>
      <c r="Y84" s="2">
        <v>69</v>
      </c>
      <c r="Z84" s="2">
        <v>0.27910000000000001</v>
      </c>
      <c r="AA84" s="2">
        <v>0.2949</v>
      </c>
      <c r="AB84" s="2">
        <v>17.8035</v>
      </c>
    </row>
    <row r="85" spans="2:28" x14ac:dyDescent="0.4">
      <c r="B85" s="11">
        <v>68</v>
      </c>
      <c r="C85" s="16">
        <f t="shared" si="5"/>
        <v>16.083953305215459</v>
      </c>
      <c r="D85" s="17">
        <f t="shared" si="7"/>
        <v>17.871059228017177</v>
      </c>
      <c r="E85" s="17">
        <f t="shared" si="6"/>
        <v>19.658165150818895</v>
      </c>
      <c r="F85" s="2">
        <v>17.397500000000001</v>
      </c>
      <c r="G85" s="2" t="str">
        <f t="shared" si="4"/>
        <v>Pass</v>
      </c>
      <c r="Y85" s="2">
        <v>70</v>
      </c>
      <c r="Z85" s="2">
        <v>0.27910000000000001</v>
      </c>
      <c r="AA85" s="2">
        <v>0.29549999999999998</v>
      </c>
      <c r="AB85" s="2">
        <v>18.2409</v>
      </c>
    </row>
    <row r="86" spans="2:28" x14ac:dyDescent="0.4">
      <c r="B86" s="11">
        <v>69</v>
      </c>
      <c r="C86" s="16">
        <f t="shared" si="5"/>
        <v>16.510534242527001</v>
      </c>
      <c r="D86" s="17">
        <f t="shared" si="7"/>
        <v>18.345038047252224</v>
      </c>
      <c r="E86" s="17">
        <f t="shared" si="6"/>
        <v>20.179541851977447</v>
      </c>
      <c r="F86" s="2">
        <v>17.8035</v>
      </c>
      <c r="G86" s="2" t="str">
        <f t="shared" si="4"/>
        <v>Pass</v>
      </c>
      <c r="Y86" s="2">
        <v>71</v>
      </c>
      <c r="Z86" s="2">
        <v>0.27979999999999999</v>
      </c>
      <c r="AA86" s="2">
        <v>0.29609999999999997</v>
      </c>
      <c r="AB86" s="2">
        <v>18.867799999999999</v>
      </c>
    </row>
    <row r="87" spans="2:28" x14ac:dyDescent="0.4">
      <c r="B87" s="11">
        <v>70</v>
      </c>
      <c r="C87" s="16">
        <f t="shared" si="5"/>
        <v>16.942070782730944</v>
      </c>
      <c r="D87" s="17">
        <f t="shared" si="7"/>
        <v>18.824523091923272</v>
      </c>
      <c r="E87" s="17">
        <f t="shared" si="6"/>
        <v>20.706975401115599</v>
      </c>
      <c r="F87" s="2">
        <v>18.2409</v>
      </c>
      <c r="G87" s="2" t="str">
        <f t="shared" si="4"/>
        <v>Pass</v>
      </c>
      <c r="Y87" s="2">
        <v>72</v>
      </c>
      <c r="Z87" s="2">
        <v>0.2802</v>
      </c>
      <c r="AA87" s="2">
        <v>0.2964</v>
      </c>
      <c r="AB87" s="2">
        <v>19.341799999999999</v>
      </c>
    </row>
    <row r="88" spans="2:28" x14ac:dyDescent="0.4">
      <c r="B88" s="11">
        <v>71</v>
      </c>
      <c r="C88" s="16">
        <f t="shared" si="5"/>
        <v>17.378548738807986</v>
      </c>
      <c r="D88" s="17">
        <f t="shared" si="7"/>
        <v>19.309498598675539</v>
      </c>
      <c r="E88" s="17">
        <f t="shared" si="6"/>
        <v>21.240448458543092</v>
      </c>
      <c r="F88" s="2">
        <v>18.867799999999999</v>
      </c>
      <c r="G88" s="2" t="str">
        <f t="shared" si="4"/>
        <v>Pass</v>
      </c>
      <c r="Y88" s="2">
        <v>73</v>
      </c>
      <c r="Z88" s="2">
        <v>0.28060000000000002</v>
      </c>
      <c r="AA88" s="2">
        <v>0.29659999999999997</v>
      </c>
      <c r="AB88" s="2">
        <v>19.960100000000001</v>
      </c>
    </row>
    <row r="89" spans="2:28" x14ac:dyDescent="0.4">
      <c r="B89" s="11">
        <v>72</v>
      </c>
      <c r="C89" s="16">
        <f t="shared" si="5"/>
        <v>17.819954164000642</v>
      </c>
      <c r="D89" s="17">
        <f t="shared" si="7"/>
        <v>19.799949071111826</v>
      </c>
      <c r="E89" s="17">
        <f t="shared" si="6"/>
        <v>21.77994397822301</v>
      </c>
      <c r="F89" s="2">
        <v>19.341799999999999</v>
      </c>
      <c r="G89" s="2" t="str">
        <f t="shared" si="4"/>
        <v>Pass</v>
      </c>
      <c r="Y89" s="2">
        <v>74</v>
      </c>
      <c r="Z89" s="2">
        <v>0.27950000000000003</v>
      </c>
      <c r="AA89" s="2">
        <v>0.2974</v>
      </c>
      <c r="AB89" s="2">
        <v>20.216999999999999</v>
      </c>
    </row>
    <row r="90" spans="2:28" x14ac:dyDescent="0.4">
      <c r="B90" s="11">
        <v>73</v>
      </c>
      <c r="C90" s="16">
        <f t="shared" si="5"/>
        <v>18.266273344457083</v>
      </c>
      <c r="D90" s="17">
        <f t="shared" si="7"/>
        <v>20.29585927161898</v>
      </c>
      <c r="E90" s="17">
        <f t="shared" si="6"/>
        <v>22.325445198780876</v>
      </c>
      <c r="F90" s="2">
        <v>19.960100000000001</v>
      </c>
      <c r="G90" s="2" t="str">
        <f t="shared" si="4"/>
        <v>Pass</v>
      </c>
      <c r="Y90" s="2">
        <v>75</v>
      </c>
      <c r="Z90" s="2">
        <v>0.28010000000000002</v>
      </c>
      <c r="AA90" s="2">
        <v>0.29770000000000002</v>
      </c>
      <c r="AB90" s="2">
        <v>20.823499999999999</v>
      </c>
    </row>
    <row r="91" spans="2:28" x14ac:dyDescent="0.4">
      <c r="B91" s="11">
        <v>74</v>
      </c>
      <c r="C91" s="16">
        <f t="shared" si="5"/>
        <v>18.717492792198005</v>
      </c>
      <c r="D91" s="17">
        <f t="shared" si="7"/>
        <v>20.797214213553339</v>
      </c>
      <c r="E91" s="17">
        <f t="shared" si="6"/>
        <v>22.876935634908673</v>
      </c>
      <c r="F91" s="2">
        <v>20.216999999999999</v>
      </c>
      <c r="G91" s="2" t="str">
        <f t="shared" si="4"/>
        <v>Pass</v>
      </c>
      <c r="Y91" s="2">
        <v>76</v>
      </c>
      <c r="Z91" s="2">
        <v>0.2802</v>
      </c>
      <c r="AA91" s="2">
        <v>0.29809999999999998</v>
      </c>
      <c r="AB91" s="2">
        <v>21.308199999999999</v>
      </c>
    </row>
    <row r="92" spans="2:28" x14ac:dyDescent="0.4">
      <c r="B92" s="11">
        <v>75</v>
      </c>
      <c r="C92" s="16">
        <f t="shared" si="5"/>
        <v>19.173599238388416</v>
      </c>
      <c r="D92" s="17">
        <f t="shared" si="7"/>
        <v>21.303999153764906</v>
      </c>
      <c r="E92" s="17">
        <f t="shared" si="6"/>
        <v>23.434399069141396</v>
      </c>
      <c r="F92" s="2">
        <v>20.823499999999999</v>
      </c>
      <c r="G92" s="2" t="str">
        <f t="shared" si="4"/>
        <v>Pass</v>
      </c>
      <c r="Y92" s="2">
        <v>77</v>
      </c>
      <c r="Z92" s="2">
        <v>0.27989999999999998</v>
      </c>
      <c r="AA92" s="2">
        <v>0.2974</v>
      </c>
      <c r="AB92" s="2">
        <v>22.0472</v>
      </c>
    </row>
    <row r="93" spans="2:28" x14ac:dyDescent="0.4">
      <c r="B93" s="11">
        <v>76</v>
      </c>
      <c r="C93" s="16">
        <f t="shared" si="5"/>
        <v>19.634579626896773</v>
      </c>
      <c r="D93" s="17">
        <f t="shared" si="7"/>
        <v>21.816199585440859</v>
      </c>
      <c r="E93" s="17">
        <f t="shared" si="6"/>
        <v>23.997819543984946</v>
      </c>
      <c r="F93" s="2">
        <v>21.308199999999999</v>
      </c>
      <c r="G93" s="2" t="str">
        <f t="shared" si="4"/>
        <v>Pass</v>
      </c>
      <c r="Y93" s="2">
        <v>78</v>
      </c>
      <c r="Z93" s="2">
        <v>0.28029999999999999</v>
      </c>
      <c r="AA93" s="2">
        <v>0.29780000000000001</v>
      </c>
      <c r="AB93" s="2">
        <v>22.562999999999999</v>
      </c>
    </row>
    <row r="94" spans="2:28" x14ac:dyDescent="0.4">
      <c r="B94" s="11">
        <v>77</v>
      </c>
      <c r="C94" s="16">
        <f t="shared" si="5"/>
        <v>20.100421108126206</v>
      </c>
      <c r="D94" s="17">
        <f t="shared" si="7"/>
        <v>22.333801231251339</v>
      </c>
      <c r="E94" s="17">
        <f t="shared" si="6"/>
        <v>24.567181354376473</v>
      </c>
      <c r="F94" s="2">
        <v>22.0472</v>
      </c>
      <c r="G94" s="2" t="str">
        <f t="shared" si="4"/>
        <v>Pass</v>
      </c>
      <c r="Y94" s="2">
        <v>79</v>
      </c>
      <c r="Z94" s="2">
        <v>0.28079999999999999</v>
      </c>
      <c r="AA94" s="2">
        <v>0.29809999999999998</v>
      </c>
      <c r="AB94" s="2">
        <v>23.221299999999999</v>
      </c>
    </row>
    <row r="95" spans="2:28" x14ac:dyDescent="0.4">
      <c r="B95" s="11">
        <v>78</v>
      </c>
      <c r="C95" s="16">
        <f t="shared" si="5"/>
        <v>20.571111033102248</v>
      </c>
      <c r="D95" s="17">
        <f t="shared" si="7"/>
        <v>22.856790036780275</v>
      </c>
      <c r="E95" s="17">
        <f t="shared" si="6"/>
        <v>25.142469040458302</v>
      </c>
      <c r="F95" s="2">
        <v>22.562999999999999</v>
      </c>
      <c r="G95" s="2" t="str">
        <f t="shared" si="4"/>
        <v>Pass</v>
      </c>
      <c r="Y95" s="2">
        <v>80</v>
      </c>
      <c r="Z95" s="2">
        <v>0.28060000000000002</v>
      </c>
      <c r="AA95" s="2">
        <v>0.29870000000000002</v>
      </c>
      <c r="AB95" s="2">
        <v>23.5641</v>
      </c>
    </row>
    <row r="96" spans="2:28" x14ac:dyDescent="0.4">
      <c r="B96" s="11">
        <v>79</v>
      </c>
      <c r="C96" s="16">
        <f t="shared" si="5"/>
        <v>21.046636947803886</v>
      </c>
      <c r="D96" s="17">
        <f t="shared" si="7"/>
        <v>23.38515216422654</v>
      </c>
      <c r="E96" s="17">
        <f t="shared" si="6"/>
        <v>25.723667380649193</v>
      </c>
      <c r="F96" s="2">
        <v>23.221299999999999</v>
      </c>
      <c r="G96" s="2" t="str">
        <f t="shared" si="4"/>
        <v>Pass</v>
      </c>
      <c r="Y96" s="2">
        <v>81</v>
      </c>
      <c r="Z96" s="2">
        <v>0.28089999999999998</v>
      </c>
      <c r="AA96" s="2">
        <v>0.29899999999999999</v>
      </c>
      <c r="AB96" s="2">
        <v>24.191500000000001</v>
      </c>
    </row>
    <row r="97" spans="2:28" x14ac:dyDescent="0.4">
      <c r="B97" s="11">
        <v>80</v>
      </c>
      <c r="C97" s="16">
        <f t="shared" si="5"/>
        <v>21.526986587724409</v>
      </c>
      <c r="D97" s="17">
        <f t="shared" si="7"/>
        <v>23.918873986360452</v>
      </c>
      <c r="E97" s="17">
        <f t="shared" si="6"/>
        <v>26.310761384996496</v>
      </c>
      <c r="F97" s="2">
        <v>23.5641</v>
      </c>
      <c r="G97" s="2" t="str">
        <f t="shared" si="4"/>
        <v>Pass</v>
      </c>
      <c r="Y97" s="2">
        <v>82</v>
      </c>
      <c r="Z97" s="2">
        <v>0.28110000000000002</v>
      </c>
      <c r="AA97" s="2">
        <v>0.29959999999999998</v>
      </c>
      <c r="AB97" s="2">
        <v>24.758600000000001</v>
      </c>
    </row>
    <row r="98" spans="2:28" x14ac:dyDescent="0.4">
      <c r="B98" s="11">
        <v>81</v>
      </c>
      <c r="C98" s="16">
        <f t="shared" si="5"/>
        <v>22.012147872650395</v>
      </c>
      <c r="D98" s="17">
        <f t="shared" si="7"/>
        <v>24.45794208072266</v>
      </c>
      <c r="E98" s="17">
        <f t="shared" si="6"/>
        <v>26.903736288794924</v>
      </c>
      <c r="F98" s="2">
        <v>24.191500000000001</v>
      </c>
      <c r="G98" s="2" t="str">
        <f t="shared" si="4"/>
        <v>Pass</v>
      </c>
      <c r="Y98" s="2">
        <v>83</v>
      </c>
      <c r="Z98" s="2">
        <v>0.28029999999999999</v>
      </c>
      <c r="AA98" s="2">
        <v>0.29609999999999997</v>
      </c>
      <c r="AB98" s="2">
        <v>24.959700000000002</v>
      </c>
    </row>
    <row r="99" spans="2:28" x14ac:dyDescent="0.4">
      <c r="B99" s="11">
        <v>82</v>
      </c>
      <c r="C99" s="16">
        <f t="shared" si="5"/>
        <v>22.502108901647308</v>
      </c>
      <c r="D99" s="17">
        <f t="shared" si="7"/>
        <v>25.002343224052563</v>
      </c>
      <c r="E99" s="17">
        <f t="shared" si="6"/>
        <v>27.502577546457818</v>
      </c>
      <c r="F99" s="2">
        <v>24.758600000000001</v>
      </c>
      <c r="G99" s="2" t="str">
        <f t="shared" si="4"/>
        <v>Pass</v>
      </c>
      <c r="Y99" s="2">
        <v>84</v>
      </c>
      <c r="Z99" s="2">
        <v>0.28070000000000001</v>
      </c>
      <c r="AA99" s="2">
        <v>0.29620000000000002</v>
      </c>
      <c r="AB99" s="2">
        <v>25.681000000000001</v>
      </c>
    </row>
    <row r="100" spans="2:28" x14ac:dyDescent="0.4">
      <c r="B100" s="11">
        <v>83</v>
      </c>
      <c r="C100" s="16">
        <f t="shared" si="5"/>
        <v>22.996857948241058</v>
      </c>
      <c r="D100" s="17">
        <f t="shared" si="7"/>
        <v>25.552064386934507</v>
      </c>
      <c r="E100" s="17">
        <f t="shared" si="6"/>
        <v>28.107270825627957</v>
      </c>
      <c r="F100" s="2">
        <v>24.959700000000002</v>
      </c>
      <c r="G100" s="2" t="str">
        <f t="shared" si="4"/>
        <v>Pass</v>
      </c>
      <c r="Y100" s="2">
        <v>85</v>
      </c>
      <c r="Z100" s="2">
        <v>0.28079999999999999</v>
      </c>
      <c r="AA100" s="2">
        <v>0.29680000000000001</v>
      </c>
      <c r="AB100" s="2">
        <v>26.241700000000002</v>
      </c>
    </row>
    <row r="101" spans="2:28" x14ac:dyDescent="0.4">
      <c r="B101" s="11">
        <v>84</v>
      </c>
      <c r="C101" s="16">
        <f t="shared" si="5"/>
        <v>23.496383455785757</v>
      </c>
      <c r="D101" s="17">
        <f t="shared" si="7"/>
        <v>26.107092728650841</v>
      </c>
      <c r="E101" s="17">
        <f t="shared" si="6"/>
        <v>28.717802001515924</v>
      </c>
      <c r="F101" s="2">
        <v>25.681000000000001</v>
      </c>
      <c r="G101" s="2" t="str">
        <f t="shared" si="4"/>
        <v>Pass</v>
      </c>
      <c r="Y101" s="2">
        <v>86</v>
      </c>
      <c r="Z101" s="2">
        <v>0.2802</v>
      </c>
      <c r="AA101" s="2">
        <v>0.29709999999999998</v>
      </c>
      <c r="AB101" s="2">
        <v>26.744399999999999</v>
      </c>
    </row>
    <row r="102" spans="2:28" x14ac:dyDescent="0.4">
      <c r="B102" s="11">
        <v>85</v>
      </c>
      <c r="C102" s="16">
        <f t="shared" si="5"/>
        <v>24.000674033008139</v>
      </c>
      <c r="D102" s="17">
        <f t="shared" si="7"/>
        <v>26.667415592231265</v>
      </c>
      <c r="E102" s="17">
        <f t="shared" si="6"/>
        <v>29.334157151454392</v>
      </c>
      <c r="F102" s="2">
        <v>26.241700000000002</v>
      </c>
      <c r="G102" s="2" t="str">
        <f t="shared" si="4"/>
        <v>Pass</v>
      </c>
      <c r="Y102" s="2">
        <v>87</v>
      </c>
      <c r="Z102" s="2">
        <v>0.2802</v>
      </c>
      <c r="AA102" s="2">
        <v>0.29699999999999999</v>
      </c>
      <c r="AB102" s="2">
        <v>27.216899999999999</v>
      </c>
    </row>
    <row r="103" spans="2:28" x14ac:dyDescent="0.4">
      <c r="B103" s="11">
        <v>86</v>
      </c>
      <c r="C103" s="16">
        <f t="shared" si="5"/>
        <v>24.509718449720136</v>
      </c>
      <c r="D103" s="17">
        <f t="shared" si="7"/>
        <v>27.23302049968904</v>
      </c>
      <c r="E103" s="17">
        <f t="shared" si="6"/>
        <v>29.956322549657944</v>
      </c>
      <c r="F103" s="2">
        <v>26.744399999999999</v>
      </c>
      <c r="G103" s="2" t="str">
        <f t="shared" si="4"/>
        <v>Pass</v>
      </c>
      <c r="Y103" s="2">
        <v>88</v>
      </c>
      <c r="Z103" s="2">
        <v>0.28050000000000003</v>
      </c>
      <c r="AA103" s="2">
        <v>0.29759999999999998</v>
      </c>
      <c r="AB103" s="2">
        <v>27.982700000000001</v>
      </c>
    </row>
    <row r="104" spans="2:28" x14ac:dyDescent="0.4">
      <c r="B104" s="11">
        <v>87</v>
      </c>
      <c r="C104" s="16">
        <f t="shared" si="5"/>
        <v>25.023505632691165</v>
      </c>
      <c r="D104" s="17">
        <f t="shared" si="7"/>
        <v>27.803895147434627</v>
      </c>
      <c r="E104" s="17">
        <f t="shared" si="6"/>
        <v>30.584284662178089</v>
      </c>
      <c r="F104" s="2">
        <v>27.216899999999999</v>
      </c>
      <c r="G104" s="2" t="str">
        <f t="shared" si="4"/>
        <v>Pass</v>
      </c>
      <c r="Y104" s="2">
        <v>89</v>
      </c>
      <c r="Z104" s="2">
        <v>0.28079999999999999</v>
      </c>
      <c r="AA104" s="2">
        <v>0.2979</v>
      </c>
      <c r="AB104" s="2">
        <v>28.535299999999999</v>
      </c>
    </row>
    <row r="105" spans="2:28" x14ac:dyDescent="0.4">
      <c r="B105" s="11">
        <v>88</v>
      </c>
      <c r="C105" s="16">
        <f t="shared" si="5"/>
        <v>25.542024661672539</v>
      </c>
      <c r="D105" s="17">
        <f t="shared" si="7"/>
        <v>28.380027401858378</v>
      </c>
      <c r="E105" s="17">
        <f t="shared" si="6"/>
        <v>31.218030142044217</v>
      </c>
      <c r="F105" s="2">
        <v>27.982700000000001</v>
      </c>
      <c r="G105" s="2" t="str">
        <f t="shared" si="4"/>
        <v>Pass</v>
      </c>
      <c r="Y105" s="2">
        <v>90</v>
      </c>
      <c r="Z105" s="2">
        <v>0.28110000000000002</v>
      </c>
      <c r="AA105" s="2">
        <v>0.29799999999999999</v>
      </c>
      <c r="AB105" s="2">
        <v>29.127600000000001</v>
      </c>
    </row>
    <row r="106" spans="2:28" x14ac:dyDescent="0.4">
      <c r="B106" s="11">
        <v>89</v>
      </c>
      <c r="C106" s="16">
        <f t="shared" si="5"/>
        <v>26.065264765566653</v>
      </c>
      <c r="D106" s="17">
        <f t="shared" si="7"/>
        <v>28.961405295074059</v>
      </c>
      <c r="E106" s="17">
        <f t="shared" si="6"/>
        <v>31.857545824581464</v>
      </c>
      <c r="F106" s="2">
        <v>28.535299999999999</v>
      </c>
      <c r="G106" s="2" t="str">
        <f t="shared" si="4"/>
        <v>Pass</v>
      </c>
      <c r="Y106" s="2">
        <v>91</v>
      </c>
      <c r="Z106" s="2">
        <v>0.28170000000000001</v>
      </c>
      <c r="AA106" s="2">
        <v>0.2984</v>
      </c>
      <c r="AB106" s="2">
        <v>29.8993</v>
      </c>
    </row>
    <row r="107" spans="2:28" x14ac:dyDescent="0.4">
      <c r="B107" s="11">
        <v>90</v>
      </c>
      <c r="C107" s="16">
        <f t="shared" si="5"/>
        <v>26.593215318734188</v>
      </c>
      <c r="D107" s="17">
        <f t="shared" si="7"/>
        <v>29.548017020815767</v>
      </c>
      <c r="E107" s="17">
        <f t="shared" si="6"/>
        <v>32.502818722897345</v>
      </c>
      <c r="F107" s="2">
        <v>29.127600000000001</v>
      </c>
      <c r="G107" s="2" t="str">
        <f t="shared" si="4"/>
        <v>Pass</v>
      </c>
      <c r="Y107" s="2">
        <v>92</v>
      </c>
      <c r="Z107" s="2">
        <v>0.28039999999999998</v>
      </c>
      <c r="AA107" s="2">
        <v>0.29759999999999998</v>
      </c>
      <c r="AB107" s="2">
        <v>30.4771</v>
      </c>
    </row>
    <row r="108" spans="2:28" x14ac:dyDescent="0.4">
      <c r="B108" s="11">
        <v>91</v>
      </c>
      <c r="C108" s="16">
        <f t="shared" si="5"/>
        <v>27.125865837432755</v>
      </c>
      <c r="D108" s="17">
        <f t="shared" si="7"/>
        <v>30.13985093048084</v>
      </c>
      <c r="E108" s="17">
        <f t="shared" si="6"/>
        <v>33.153836023528925</v>
      </c>
      <c r="F108" s="2">
        <v>29.8993</v>
      </c>
      <c r="G108" s="2" t="str">
        <f t="shared" si="4"/>
        <v>Pass</v>
      </c>
      <c r="Y108" s="2">
        <v>93</v>
      </c>
      <c r="Z108" s="2">
        <v>0.28039999999999998</v>
      </c>
      <c r="AA108" s="2">
        <v>0.29609999999999997</v>
      </c>
      <c r="AB108" s="2">
        <v>30.492699999999999</v>
      </c>
    </row>
    <row r="109" spans="2:28" x14ac:dyDescent="0.4">
      <c r="B109" s="11">
        <v>92</v>
      </c>
      <c r="C109" s="16">
        <f t="shared" si="5"/>
        <v>27.663205976381025</v>
      </c>
      <c r="D109" s="17">
        <f t="shared" si="7"/>
        <v>30.73689552931225</v>
      </c>
      <c r="E109" s="17">
        <f t="shared" si="6"/>
        <v>33.810585082243477</v>
      </c>
      <c r="F109" s="2">
        <v>30.4771</v>
      </c>
      <c r="G109" s="2" t="str">
        <f t="shared" si="4"/>
        <v>Pass</v>
      </c>
      <c r="Y109" s="2">
        <v>94</v>
      </c>
      <c r="Z109" s="2">
        <v>0.28070000000000001</v>
      </c>
      <c r="AA109" s="2">
        <v>0.29659999999999997</v>
      </c>
      <c r="AB109" s="2">
        <v>31.292899999999999</v>
      </c>
    </row>
    <row r="110" spans="2:28" x14ac:dyDescent="0.4">
      <c r="B110" s="11">
        <v>93</v>
      </c>
      <c r="C110" s="16">
        <f t="shared" si="5"/>
        <v>28.205225525442561</v>
      </c>
      <c r="D110" s="17">
        <f t="shared" si="7"/>
        <v>31.339139472713956</v>
      </c>
      <c r="E110" s="17">
        <f t="shared" si="6"/>
        <v>34.473053419985355</v>
      </c>
      <c r="F110" s="2">
        <v>30.492699999999999</v>
      </c>
      <c r="G110" s="2" t="str">
        <f t="shared" si="4"/>
        <v>Pass</v>
      </c>
      <c r="Y110" s="2">
        <v>95</v>
      </c>
      <c r="Z110" s="2">
        <v>0.28089999999999998</v>
      </c>
      <c r="AA110" s="2">
        <v>0.2969</v>
      </c>
      <c r="AB110" s="2">
        <v>31.925899999999999</v>
      </c>
    </row>
    <row r="111" spans="2:28" x14ac:dyDescent="0.4">
      <c r="B111" s="11">
        <v>94</v>
      </c>
      <c r="C111" s="16">
        <f t="shared" si="5"/>
        <v>28.751914406423886</v>
      </c>
      <c r="D111" s="17">
        <f t="shared" si="7"/>
        <v>31.946571562693205</v>
      </c>
      <c r="E111" s="17">
        <f t="shared" si="6"/>
        <v>35.141228718962523</v>
      </c>
      <c r="F111" s="2">
        <v>31.292899999999999</v>
      </c>
      <c r="G111" s="2" t="str">
        <f t="shared" si="4"/>
        <v>Pass</v>
      </c>
      <c r="Y111" s="2">
        <v>96</v>
      </c>
      <c r="Z111" s="2">
        <v>0.28120000000000001</v>
      </c>
      <c r="AA111" s="2">
        <v>0.2969</v>
      </c>
      <c r="AB111" s="2">
        <v>32.721299999999999</v>
      </c>
    </row>
    <row r="112" spans="2:28" x14ac:dyDescent="0.4">
      <c r="B112" s="11">
        <v>95</v>
      </c>
      <c r="C112" s="16">
        <f t="shared" si="5"/>
        <v>29.303262669981795</v>
      </c>
      <c r="D112" s="17">
        <f t="shared" si="7"/>
        <v>32.559180744424218</v>
      </c>
      <c r="E112" s="17">
        <f t="shared" si="6"/>
        <v>35.815098818866637</v>
      </c>
      <c r="F112" s="2">
        <v>31.925899999999999</v>
      </c>
      <c r="G112" s="2" t="str">
        <f t="shared" si="4"/>
        <v>Pass</v>
      </c>
      <c r="Y112" s="2">
        <v>97</v>
      </c>
      <c r="Z112" s="2">
        <v>0.28149999999999997</v>
      </c>
      <c r="AA112" s="2">
        <v>0.29720000000000002</v>
      </c>
      <c r="AB112" s="2">
        <v>33.357999999999997</v>
      </c>
    </row>
    <row r="113" spans="2:28" x14ac:dyDescent="0.4">
      <c r="B113" s="11">
        <v>96</v>
      </c>
      <c r="C113" s="16">
        <f t="shared" si="5"/>
        <v>29.85926049263492</v>
      </c>
      <c r="D113" s="17">
        <f t="shared" si="7"/>
        <v>33.17695610292769</v>
      </c>
      <c r="E113" s="17">
        <f t="shared" si="6"/>
        <v>36.494651713220456</v>
      </c>
      <c r="F113" s="2">
        <v>32.721299999999999</v>
      </c>
      <c r="G113" s="2" t="str">
        <f t="shared" si="4"/>
        <v>Pass</v>
      </c>
      <c r="Y113" s="2">
        <v>98</v>
      </c>
      <c r="Z113" s="2">
        <v>0.28120000000000001</v>
      </c>
      <c r="AA113" s="2">
        <v>0.2979</v>
      </c>
      <c r="AB113" s="2">
        <v>34.032400000000003</v>
      </c>
    </row>
    <row r="114" spans="2:28" x14ac:dyDescent="0.4">
      <c r="B114" s="11">
        <v>97</v>
      </c>
      <c r="C114" s="16">
        <f t="shared" si="5"/>
        <v>30.419898173875115</v>
      </c>
      <c r="D114" s="17">
        <f t="shared" si="7"/>
        <v>33.799886859861239</v>
      </c>
      <c r="E114" s="17">
        <f t="shared" si="6"/>
        <v>37.179875545847366</v>
      </c>
      <c r="F114" s="2">
        <v>33.357999999999997</v>
      </c>
      <c r="G114" s="2" t="str">
        <f t="shared" si="4"/>
        <v>Pass</v>
      </c>
      <c r="Y114" s="2">
        <v>99</v>
      </c>
      <c r="Z114" s="2">
        <v>0.28100000000000003</v>
      </c>
      <c r="AA114" s="2">
        <v>0.29830000000000001</v>
      </c>
      <c r="AB114" s="2">
        <v>34.553800000000003</v>
      </c>
    </row>
    <row r="115" spans="2:28" x14ac:dyDescent="0.4">
      <c r="B115" s="11">
        <v>98</v>
      </c>
      <c r="C115" s="16">
        <f t="shared" si="5"/>
        <v>30.985166133374275</v>
      </c>
      <c r="D115" s="17">
        <f t="shared" si="7"/>
        <v>34.427962370415862</v>
      </c>
      <c r="E115" s="17">
        <f t="shared" si="6"/>
        <v>37.870758607457446</v>
      </c>
      <c r="F115" s="2">
        <v>34.032400000000003</v>
      </c>
      <c r="G115" s="2" t="str">
        <f t="shared" si="4"/>
        <v>Pass</v>
      </c>
      <c r="Y115" s="2">
        <v>100</v>
      </c>
      <c r="Z115" s="2">
        <v>0.28149999999999997</v>
      </c>
      <c r="AA115" s="2">
        <v>0.29920000000000002</v>
      </c>
      <c r="AB115" s="2">
        <v>35.428800000000003</v>
      </c>
    </row>
    <row r="116" spans="2:28" x14ac:dyDescent="0.4">
      <c r="B116" s="11">
        <v>99</v>
      </c>
      <c r="C116" s="16">
        <f t="shared" si="5"/>
        <v>31.555054908282489</v>
      </c>
      <c r="D116" s="17">
        <f t="shared" si="7"/>
        <v>35.061172120313877</v>
      </c>
      <c r="E116" s="17">
        <f t="shared" si="6"/>
        <v>38.567289332345268</v>
      </c>
      <c r="F116" s="2">
        <v>34.553800000000003</v>
      </c>
      <c r="G116" s="2" t="str">
        <f t="shared" si="4"/>
        <v>Pass</v>
      </c>
      <c r="Y116" s="2">
        <v>101</v>
      </c>
      <c r="Z116" s="2">
        <v>0.28149999999999997</v>
      </c>
      <c r="AA116" s="2">
        <v>0.29930000000000001</v>
      </c>
      <c r="AB116" s="2">
        <v>36.1248</v>
      </c>
    </row>
    <row r="117" spans="2:28" x14ac:dyDescent="0.4">
      <c r="B117" s="11">
        <v>100</v>
      </c>
      <c r="C117" s="16">
        <f t="shared" si="5"/>
        <v>32.129555150613584</v>
      </c>
      <c r="D117" s="17">
        <f t="shared" si="7"/>
        <v>35.699505722903979</v>
      </c>
      <c r="E117" s="17">
        <f t="shared" si="6"/>
        <v>39.269456295194374</v>
      </c>
      <c r="F117" s="2">
        <v>35.428800000000003</v>
      </c>
      <c r="G117" s="2" t="str">
        <f t="shared" si="4"/>
        <v>Pass</v>
      </c>
      <c r="Y117" s="2">
        <v>102</v>
      </c>
      <c r="Z117" s="2">
        <v>0.28160000000000002</v>
      </c>
      <c r="AA117" s="2">
        <v>0.2979</v>
      </c>
      <c r="AB117" s="2">
        <v>36.335900000000002</v>
      </c>
    </row>
    <row r="118" spans="2:28" x14ac:dyDescent="0.4">
      <c r="B118" s="11">
        <v>101</v>
      </c>
      <c r="C118" s="16">
        <f t="shared" si="5"/>
        <v>32.708657624714611</v>
      </c>
      <c r="D118" s="17">
        <f t="shared" si="7"/>
        <v>36.342952916349567</v>
      </c>
      <c r="E118" s="17">
        <f t="shared" si="6"/>
        <v>39.977248207984523</v>
      </c>
      <c r="F118" s="2">
        <v>36.1248</v>
      </c>
      <c r="G118" s="2" t="str">
        <f t="shared" si="4"/>
        <v>Pass</v>
      </c>
      <c r="Y118" s="2">
        <v>103</v>
      </c>
      <c r="Z118" s="2">
        <v>0.28179999999999999</v>
      </c>
      <c r="AA118" s="2">
        <v>0.29820000000000002</v>
      </c>
      <c r="AB118" s="2">
        <v>36.967500000000001</v>
      </c>
    </row>
    <row r="119" spans="2:28" x14ac:dyDescent="0.4">
      <c r="B119" s="11">
        <v>102</v>
      </c>
      <c r="C119" s="16">
        <f t="shared" si="5"/>
        <v>33.292353204815484</v>
      </c>
      <c r="D119" s="17">
        <f t="shared" si="7"/>
        <v>36.991503560906096</v>
      </c>
      <c r="E119" s="17">
        <f t="shared" si="6"/>
        <v>40.690653916996709</v>
      </c>
      <c r="F119" s="2">
        <v>36.335900000000002</v>
      </c>
      <c r="G119" s="2" t="str">
        <f t="shared" si="4"/>
        <v>Pass</v>
      </c>
      <c r="Y119" s="2">
        <v>104</v>
      </c>
      <c r="Z119" s="2">
        <v>0.28149999999999997</v>
      </c>
      <c r="AA119" s="2">
        <v>0.29849999999999999</v>
      </c>
      <c r="AB119" s="2">
        <v>37.686199999999999</v>
      </c>
    </row>
    <row r="120" spans="2:28" x14ac:dyDescent="0.4">
      <c r="B120" s="11">
        <v>103</v>
      </c>
      <c r="C120" s="16">
        <f t="shared" si="5"/>
        <v>33.880632872655639</v>
      </c>
      <c r="D120" s="17">
        <f t="shared" si="7"/>
        <v>37.645147636284044</v>
      </c>
      <c r="E120" s="17">
        <f t="shared" si="6"/>
        <v>41.409662399912449</v>
      </c>
      <c r="F120" s="2">
        <v>36.967500000000001</v>
      </c>
      <c r="G120" s="2" t="str">
        <f t="shared" si="4"/>
        <v>Pass</v>
      </c>
      <c r="Y120" s="2">
        <v>105</v>
      </c>
      <c r="Z120" s="2">
        <v>0.28179999999999999</v>
      </c>
      <c r="AA120" s="2">
        <v>0.29880000000000001</v>
      </c>
      <c r="AB120" s="2">
        <v>38.585900000000002</v>
      </c>
    </row>
    <row r="121" spans="2:28" x14ac:dyDescent="0.4">
      <c r="B121" s="11">
        <v>104</v>
      </c>
      <c r="C121" s="16">
        <f t="shared" si="5"/>
        <v>34.473487715184532</v>
      </c>
      <c r="D121" s="17">
        <f t="shared" si="7"/>
        <v>38.303875239093927</v>
      </c>
      <c r="E121" s="17">
        <f t="shared" si="6"/>
        <v>42.134262763003321</v>
      </c>
      <c r="F121" s="2">
        <v>37.686199999999999</v>
      </c>
      <c r="G121" s="2" t="str">
        <f t="shared" si="4"/>
        <v>Pass</v>
      </c>
      <c r="Y121" s="2">
        <v>106</v>
      </c>
      <c r="Z121" s="2">
        <v>0.28199999999999997</v>
      </c>
      <c r="AA121" s="2">
        <v>0.29920000000000002</v>
      </c>
      <c r="AB121" s="2">
        <v>39.227899999999998</v>
      </c>
    </row>
    <row r="122" spans="2:28" x14ac:dyDescent="0.4">
      <c r="B122" s="11">
        <v>105</v>
      </c>
      <c r="C122" s="16">
        <f t="shared" si="5"/>
        <v>35.070908922333047</v>
      </c>
      <c r="D122" s="17">
        <f t="shared" si="7"/>
        <v>38.967676580370053</v>
      </c>
      <c r="E122" s="17">
        <f t="shared" si="6"/>
        <v>42.86444423840706</v>
      </c>
      <c r="F122" s="2">
        <v>38.585900000000002</v>
      </c>
      <c r="G122" s="2" t="str">
        <f t="shared" si="4"/>
        <v>Pass</v>
      </c>
      <c r="Y122" s="2">
        <v>107</v>
      </c>
      <c r="Z122" s="2">
        <v>0.2823</v>
      </c>
      <c r="AA122" s="2">
        <v>0.29930000000000001</v>
      </c>
      <c r="AB122" s="2">
        <v>39.872599999999998</v>
      </c>
    </row>
    <row r="123" spans="2:28" x14ac:dyDescent="0.4">
      <c r="B123" s="11">
        <v>106</v>
      </c>
      <c r="C123" s="16">
        <f t="shared" si="5"/>
        <v>35.67288778485279</v>
      </c>
      <c r="D123" s="17">
        <f t="shared" si="7"/>
        <v>39.636541983169771</v>
      </c>
      <c r="E123" s="17">
        <f t="shared" si="6"/>
        <v>43.600196181486751</v>
      </c>
      <c r="F123" s="2">
        <v>39.227899999999998</v>
      </c>
      <c r="G123" s="2" t="str">
        <f t="shared" si="4"/>
        <v>Pass</v>
      </c>
      <c r="Y123" s="2">
        <v>108</v>
      </c>
      <c r="Z123" s="2">
        <v>0.28260000000000002</v>
      </c>
      <c r="AA123" s="2">
        <v>0.29980000000000001</v>
      </c>
      <c r="AB123" s="2">
        <v>40.751300000000001</v>
      </c>
    </row>
    <row r="124" spans="2:28" x14ac:dyDescent="0.4">
      <c r="B124" s="11">
        <v>107</v>
      </c>
      <c r="C124" s="16">
        <f t="shared" si="5"/>
        <v>36.279415692220866</v>
      </c>
      <c r="D124" s="17">
        <f t="shared" si="7"/>
        <v>40.310461880245406</v>
      </c>
      <c r="E124" s="17">
        <f t="shared" si="6"/>
        <v>44.341508068269945</v>
      </c>
      <c r="F124" s="2">
        <v>39.872599999999998</v>
      </c>
      <c r="G124" s="2" t="str">
        <f t="shared" si="4"/>
        <v>Pass</v>
      </c>
      <c r="Y124" s="2">
        <v>109</v>
      </c>
      <c r="Z124" s="2">
        <v>0.2833</v>
      </c>
      <c r="AA124" s="2">
        <v>0.30080000000000001</v>
      </c>
      <c r="AB124" s="2">
        <v>41.369300000000003</v>
      </c>
    </row>
    <row r="125" spans="2:28" x14ac:dyDescent="0.4">
      <c r="B125" s="11">
        <v>108</v>
      </c>
      <c r="C125" s="16">
        <f t="shared" si="5"/>
        <v>36.890484130607192</v>
      </c>
      <c r="D125" s="17">
        <f t="shared" si="7"/>
        <v>40.989426811785769</v>
      </c>
      <c r="E125" s="17">
        <f t="shared" si="6"/>
        <v>45.088369492964347</v>
      </c>
      <c r="F125" s="2">
        <v>40.751300000000001</v>
      </c>
      <c r="G125" s="2" t="str">
        <f t="shared" si="4"/>
        <v>Pass</v>
      </c>
      <c r="Y125" s="2">
        <v>110</v>
      </c>
      <c r="Z125" s="2">
        <v>0.28349999999999997</v>
      </c>
      <c r="AA125" s="2">
        <v>0.3009</v>
      </c>
      <c r="AB125" s="2">
        <v>42.3476</v>
      </c>
    </row>
    <row r="126" spans="2:28" x14ac:dyDescent="0.4">
      <c r="B126" s="11">
        <v>109</v>
      </c>
      <c r="C126" s="16">
        <f t="shared" si="5"/>
        <v>37.506084680902397</v>
      </c>
      <c r="D126" s="17">
        <f t="shared" si="7"/>
        <v>41.673427423224886</v>
      </c>
      <c r="E126" s="17">
        <f t="shared" si="6"/>
        <v>45.840770165547376</v>
      </c>
      <c r="F126" s="2">
        <v>41.369300000000003</v>
      </c>
      <c r="G126" s="2" t="str">
        <f t="shared" si="4"/>
        <v>Pass</v>
      </c>
      <c r="Y126" s="2">
        <v>111</v>
      </c>
      <c r="Z126" s="2">
        <v>0.2828</v>
      </c>
      <c r="AA126" s="2">
        <v>0.2984</v>
      </c>
      <c r="AB126" s="2">
        <v>42.586399999999998</v>
      </c>
    </row>
    <row r="127" spans="2:28" x14ac:dyDescent="0.4">
      <c r="B127" s="11">
        <v>110</v>
      </c>
      <c r="C127" s="16">
        <f t="shared" si="5"/>
        <v>38.126209016803358</v>
      </c>
      <c r="D127" s="17">
        <f t="shared" si="7"/>
        <v>42.362454463114844</v>
      </c>
      <c r="E127" s="17">
        <f t="shared" si="6"/>
        <v>46.59869990942633</v>
      </c>
      <c r="F127" s="2">
        <v>42.3476</v>
      </c>
      <c r="G127" s="2" t="str">
        <f t="shared" si="4"/>
        <v>Pass</v>
      </c>
      <c r="Y127" s="2">
        <v>112</v>
      </c>
      <c r="Z127" s="2">
        <v>0.28249999999999997</v>
      </c>
      <c r="AA127" s="2">
        <v>0.29870000000000002</v>
      </c>
      <c r="AB127" s="2">
        <v>43.028100000000002</v>
      </c>
    </row>
    <row r="128" spans="2:28" x14ac:dyDescent="0.4">
      <c r="B128" s="11">
        <v>111</v>
      </c>
      <c r="C128" s="16">
        <f t="shared" si="5"/>
        <v>38.750848902954843</v>
      </c>
      <c r="D128" s="17">
        <f t="shared" si="7"/>
        <v>43.056498781060938</v>
      </c>
      <c r="E128" s="17">
        <f t="shared" si="6"/>
        <v>47.362148659167033</v>
      </c>
      <c r="F128" s="2">
        <v>42.586399999999998</v>
      </c>
      <c r="G128" s="2" t="str">
        <f t="shared" si="4"/>
        <v>Pass</v>
      </c>
      <c r="Y128" s="2">
        <v>113</v>
      </c>
      <c r="Z128" s="2">
        <v>0.28270000000000001</v>
      </c>
      <c r="AA128" s="2">
        <v>0.29870000000000002</v>
      </c>
      <c r="AB128" s="2">
        <v>43.996600000000001</v>
      </c>
    </row>
    <row r="129" spans="2:28" x14ac:dyDescent="0.4">
      <c r="B129" s="11">
        <v>112</v>
      </c>
      <c r="C129" s="16">
        <f t="shared" si="5"/>
        <v>39.379996193144521</v>
      </c>
      <c r="D129" s="17">
        <f t="shared" si="7"/>
        <v>43.755551325716134</v>
      </c>
      <c r="E129" s="17">
        <f t="shared" si="6"/>
        <v>48.131106458287746</v>
      </c>
      <c r="F129" s="2">
        <v>43.028100000000002</v>
      </c>
      <c r="G129" s="2" t="str">
        <f t="shared" si="4"/>
        <v>Pass</v>
      </c>
      <c r="Y129" s="2">
        <v>114</v>
      </c>
      <c r="Z129" s="2">
        <v>0.28299999999999997</v>
      </c>
      <c r="AA129" s="2">
        <v>0.29880000000000001</v>
      </c>
      <c r="AB129" s="2">
        <v>44.709299999999999</v>
      </c>
    </row>
    <row r="130" spans="2:28" x14ac:dyDescent="0.4">
      <c r="B130" s="11">
        <v>113</v>
      </c>
      <c r="C130" s="16">
        <f t="shared" si="5"/>
        <v>40.01364282854977</v>
      </c>
      <c r="D130" s="17">
        <f t="shared" si="7"/>
        <v>44.459603142833075</v>
      </c>
      <c r="E130" s="17">
        <f t="shared" si="6"/>
        <v>48.905563457116379</v>
      </c>
      <c r="F130" s="2">
        <v>43.996600000000001</v>
      </c>
      <c r="G130" s="2" t="str">
        <f t="shared" si="4"/>
        <v>Pass</v>
      </c>
      <c r="Y130" s="2">
        <v>115</v>
      </c>
      <c r="Z130" s="2">
        <v>0.28310000000000002</v>
      </c>
      <c r="AA130" s="2">
        <v>0.2989</v>
      </c>
      <c r="AB130" s="2">
        <v>45.704000000000001</v>
      </c>
    </row>
    <row r="131" spans="2:28" x14ac:dyDescent="0.4">
      <c r="B131" s="11">
        <v>114</v>
      </c>
      <c r="C131" s="16">
        <f t="shared" si="5"/>
        <v>40.651780836034156</v>
      </c>
      <c r="D131" s="17">
        <f t="shared" si="7"/>
        <v>45.168645373371284</v>
      </c>
      <c r="E131" s="17">
        <f t="shared" si="6"/>
        <v>49.685509910708411</v>
      </c>
      <c r="F131" s="2">
        <v>44.709299999999999</v>
      </c>
      <c r="G131" s="2" t="str">
        <f t="shared" si="4"/>
        <v>Pass</v>
      </c>
      <c r="Y131" s="2">
        <v>116</v>
      </c>
      <c r="Z131" s="2">
        <v>0.28299999999999997</v>
      </c>
      <c r="AA131" s="2">
        <v>0.2984</v>
      </c>
      <c r="AB131" s="2">
        <v>46.4863</v>
      </c>
    </row>
    <row r="132" spans="2:28" x14ac:dyDescent="0.4">
      <c r="B132" s="11">
        <v>115</v>
      </c>
      <c r="C132" s="16">
        <f t="shared" si="5"/>
        <v>41.294402326491785</v>
      </c>
      <c r="D132" s="17">
        <f t="shared" si="7"/>
        <v>45.882669251657539</v>
      </c>
      <c r="E132" s="17">
        <f t="shared" si="6"/>
        <v>50.470936176823294</v>
      </c>
      <c r="F132" s="2">
        <v>45.704000000000001</v>
      </c>
      <c r="G132" s="2" t="str">
        <f t="shared" si="4"/>
        <v>Pass</v>
      </c>
      <c r="Y132" s="2">
        <v>117</v>
      </c>
      <c r="Z132" s="2">
        <v>0.28320000000000001</v>
      </c>
      <c r="AA132" s="2">
        <v>0.29859999999999998</v>
      </c>
      <c r="AB132" s="2">
        <v>47.496899999999997</v>
      </c>
    </row>
    <row r="133" spans="2:28" x14ac:dyDescent="0.4">
      <c r="B133" s="11">
        <v>116</v>
      </c>
      <c r="C133" s="16">
        <f t="shared" si="5"/>
        <v>41.941499493237743</v>
      </c>
      <c r="D133" s="17">
        <f t="shared" si="7"/>
        <v>46.601666103597488</v>
      </c>
      <c r="E133" s="17">
        <f t="shared" si="6"/>
        <v>51.261832713957233</v>
      </c>
      <c r="F133" s="2">
        <v>46.4863</v>
      </c>
      <c r="G133" s="2" t="str">
        <f t="shared" si="4"/>
        <v>Pass</v>
      </c>
      <c r="Y133" s="2">
        <v>118</v>
      </c>
      <c r="Z133" s="2">
        <v>0.2833</v>
      </c>
      <c r="AA133" s="2">
        <v>0.29849999999999999</v>
      </c>
      <c r="AB133" s="2">
        <v>48.289200000000001</v>
      </c>
    </row>
    <row r="134" spans="2:28" x14ac:dyDescent="0.4">
      <c r="B134" s="11">
        <v>117</v>
      </c>
      <c r="C134" s="16">
        <f t="shared" si="5"/>
        <v>42.593064610443058</v>
      </c>
      <c r="D134" s="17">
        <f t="shared" si="7"/>
        <v>47.325627344936734</v>
      </c>
      <c r="E134" s="17">
        <f t="shared" si="6"/>
        <v>52.05819007943041</v>
      </c>
      <c r="F134" s="2">
        <v>47.496899999999997</v>
      </c>
      <c r="G134" s="2" t="str">
        <f t="shared" si="4"/>
        <v>Pass</v>
      </c>
      <c r="Y134" s="2">
        <v>119</v>
      </c>
      <c r="Z134" s="2">
        <v>0.28349999999999997</v>
      </c>
      <c r="AA134" s="2">
        <v>0.29870000000000002</v>
      </c>
      <c r="AB134" s="2">
        <v>49.0608</v>
      </c>
    </row>
    <row r="135" spans="2:28" x14ac:dyDescent="0.4">
      <c r="B135" s="11">
        <v>118</v>
      </c>
      <c r="C135" s="16">
        <f t="shared" si="5"/>
        <v>43.249090031612546</v>
      </c>
      <c r="D135" s="17">
        <f t="shared" si="7"/>
        <v>48.054544479569493</v>
      </c>
      <c r="E135" s="17">
        <f t="shared" si="6"/>
        <v>52.859998927526441</v>
      </c>
      <c r="F135" s="2">
        <v>48.289200000000001</v>
      </c>
      <c r="G135" s="2" t="str">
        <f t="shared" si="4"/>
        <v>Pass</v>
      </c>
      <c r="Y135" s="2">
        <v>120</v>
      </c>
      <c r="Z135" s="2">
        <v>0.28349999999999997</v>
      </c>
      <c r="AA135" s="2">
        <v>0.29870000000000002</v>
      </c>
      <c r="AB135" s="2">
        <v>50.0426</v>
      </c>
    </row>
    <row r="136" spans="2:28" x14ac:dyDescent="0.4">
      <c r="B136" s="11">
        <v>119</v>
      </c>
      <c r="C136" s="16">
        <f t="shared" si="5"/>
        <v>43.909568188103819</v>
      </c>
      <c r="D136" s="17">
        <f t="shared" si="7"/>
        <v>48.78840909789313</v>
      </c>
      <c r="E136" s="17">
        <f t="shared" si="6"/>
        <v>53.667250007682441</v>
      </c>
      <c r="F136" s="2">
        <v>49.0608</v>
      </c>
      <c r="G136" s="2" t="str">
        <f t="shared" si="4"/>
        <v>Pass</v>
      </c>
      <c r="Y136" s="2">
        <v>121</v>
      </c>
      <c r="Z136" s="2">
        <v>0.28339999999999999</v>
      </c>
      <c r="AA136" s="2">
        <v>0.2974</v>
      </c>
      <c r="AB136" s="2">
        <v>50.2958</v>
      </c>
    </row>
    <row r="137" spans="2:28" x14ac:dyDescent="0.4">
      <c r="B137" s="11">
        <v>120</v>
      </c>
      <c r="C137" s="16">
        <f t="shared" si="5"/>
        <v>44.57449158768636</v>
      </c>
      <c r="D137" s="17">
        <f t="shared" si="7"/>
        <v>49.52721287520707</v>
      </c>
      <c r="E137" s="17">
        <f t="shared" si="6"/>
        <v>54.47993416272778</v>
      </c>
      <c r="F137" s="2">
        <v>50.0426</v>
      </c>
      <c r="G137" s="2" t="str">
        <f t="shared" si="4"/>
        <v>Pass</v>
      </c>
      <c r="Y137" s="2">
        <v>122</v>
      </c>
      <c r="Z137" s="2">
        <v>0.28349999999999997</v>
      </c>
      <c r="AA137" s="2">
        <v>0.29749999999999999</v>
      </c>
      <c r="AB137" s="2">
        <v>51.004399999999997</v>
      </c>
    </row>
    <row r="138" spans="2:28" x14ac:dyDescent="0.4">
      <c r="B138" s="11">
        <v>121</v>
      </c>
      <c r="C138" s="16">
        <f t="shared" si="5"/>
        <v>45.243852813139021</v>
      </c>
      <c r="D138" s="17">
        <f t="shared" si="7"/>
        <v>50.270947570154469</v>
      </c>
      <c r="E138" s="17">
        <f t="shared" si="6"/>
        <v>55.298042327169917</v>
      </c>
      <c r="F138" s="2">
        <v>50.2958</v>
      </c>
      <c r="G138" s="2" t="str">
        <f t="shared" si="4"/>
        <v>Pass</v>
      </c>
      <c r="Y138" s="2">
        <v>123</v>
      </c>
      <c r="Z138" s="2">
        <v>0.28370000000000001</v>
      </c>
      <c r="AA138" s="2">
        <v>0.29759999999999998</v>
      </c>
      <c r="AB138" s="2">
        <v>52.020400000000002</v>
      </c>
    </row>
    <row r="139" spans="2:28" x14ac:dyDescent="0.4">
      <c r="B139" s="11">
        <v>122</v>
      </c>
      <c r="C139" s="16">
        <f t="shared" si="5"/>
        <v>45.917644520884501</v>
      </c>
      <c r="D139" s="17">
        <f t="shared" si="7"/>
        <v>51.019605023205003</v>
      </c>
      <c r="E139" s="17">
        <f t="shared" si="6"/>
        <v>56.121565525525504</v>
      </c>
      <c r="F139" s="2">
        <v>51.004399999999997</v>
      </c>
      <c r="G139" s="2" t="str">
        <f t="shared" si="4"/>
        <v>Pass</v>
      </c>
      <c r="Y139" s="2">
        <v>124</v>
      </c>
      <c r="Z139" s="2">
        <v>0.28239999999999998</v>
      </c>
      <c r="AA139" s="2">
        <v>0.29680000000000001</v>
      </c>
      <c r="AB139" s="2">
        <v>52.529200000000003</v>
      </c>
    </row>
    <row r="140" spans="2:28" x14ac:dyDescent="0.4">
      <c r="B140" s="11">
        <v>123</v>
      </c>
      <c r="C140" s="16">
        <f t="shared" si="5"/>
        <v>46.595859439659918</v>
      </c>
      <c r="D140" s="17">
        <f t="shared" si="7"/>
        <v>51.773177155177684</v>
      </c>
      <c r="E140" s="17">
        <f t="shared" si="6"/>
        <v>56.950494870695451</v>
      </c>
      <c r="F140" s="2">
        <v>52.020400000000002</v>
      </c>
      <c r="G140" s="2" t="str">
        <f t="shared" si="4"/>
        <v>Pass</v>
      </c>
      <c r="Y140" s="2">
        <v>125</v>
      </c>
      <c r="Z140" s="2">
        <v>0.28270000000000001</v>
      </c>
      <c r="AA140" s="2">
        <v>0.29730000000000001</v>
      </c>
      <c r="AB140" s="2">
        <v>53.597000000000001</v>
      </c>
    </row>
    <row r="141" spans="2:28" x14ac:dyDescent="0.4">
      <c r="B141" s="11">
        <v>124</v>
      </c>
      <c r="C141" s="16">
        <f t="shared" si="5"/>
        <v>47.278490369221835</v>
      </c>
      <c r="D141" s="17">
        <f t="shared" si="7"/>
        <v>52.531655965802038</v>
      </c>
      <c r="E141" s="17">
        <f t="shared" si="6"/>
        <v>57.784821562382241</v>
      </c>
      <c r="F141" s="2">
        <v>52.529200000000003</v>
      </c>
      <c r="G141" s="2" t="str">
        <f t="shared" si="4"/>
        <v>Pass</v>
      </c>
      <c r="Y141" s="2">
        <v>126</v>
      </c>
      <c r="Z141" s="2">
        <v>0.28439999999999999</v>
      </c>
      <c r="AA141" s="2">
        <v>0.2994</v>
      </c>
      <c r="AB141" s="2">
        <v>54.377499999999998</v>
      </c>
    </row>
    <row r="142" spans="2:28" x14ac:dyDescent="0.4">
      <c r="B142" s="11">
        <v>125</v>
      </c>
      <c r="C142" s="16">
        <f t="shared" si="5"/>
        <v>47.965530179084837</v>
      </c>
      <c r="D142" s="17">
        <f t="shared" si="7"/>
        <v>53.295033532316488</v>
      </c>
      <c r="E142" s="17">
        <f t="shared" si="6"/>
        <v>58.624536885548139</v>
      </c>
      <c r="F142" s="2">
        <v>53.597000000000001</v>
      </c>
      <c r="G142" s="2" t="str">
        <f t="shared" si="4"/>
        <v>Pass</v>
      </c>
      <c r="Y142" s="2">
        <v>127</v>
      </c>
      <c r="Z142" s="2">
        <v>0.28449999999999998</v>
      </c>
      <c r="AA142" s="2">
        <v>0.29959999999999998</v>
      </c>
      <c r="AB142" s="2">
        <v>55.213799999999999</v>
      </c>
    </row>
    <row r="143" spans="2:28" x14ac:dyDescent="0.4">
      <c r="B143" s="11">
        <v>126</v>
      </c>
      <c r="C143" s="16">
        <f t="shared" si="5"/>
        <v>48.656971807292422</v>
      </c>
      <c r="D143" s="17">
        <f t="shared" si="7"/>
        <v>54.063302008102688</v>
      </c>
      <c r="E143" s="17">
        <f t="shared" si="6"/>
        <v>59.469632208912955</v>
      </c>
      <c r="F143" s="2">
        <v>54.377499999999998</v>
      </c>
      <c r="G143" s="2" t="str">
        <f t="shared" si="4"/>
        <v>Pass</v>
      </c>
      <c r="Y143" s="2">
        <v>128</v>
      </c>
      <c r="Z143" s="2">
        <v>0.28470000000000001</v>
      </c>
      <c r="AA143" s="2">
        <v>0.29959999999999998</v>
      </c>
      <c r="AB143" s="2">
        <v>56.296399999999998</v>
      </c>
    </row>
    <row r="144" spans="2:28" x14ac:dyDescent="0.4">
      <c r="B144" s="11">
        <v>127</v>
      </c>
      <c r="C144" s="16">
        <f t="shared" si="5"/>
        <v>49.352808259219003</v>
      </c>
      <c r="D144" s="17">
        <f t="shared" si="7"/>
        <v>54.836453621354444</v>
      </c>
      <c r="E144" s="17">
        <f t="shared" si="6"/>
        <v>60.320098983489885</v>
      </c>
      <c r="F144" s="2">
        <v>55.213799999999999</v>
      </c>
      <c r="G144" s="2" t="str">
        <f t="shared" si="4"/>
        <v>Pass</v>
      </c>
      <c r="Y144" s="2">
        <v>129</v>
      </c>
      <c r="Z144" s="2">
        <v>0.28460000000000002</v>
      </c>
      <c r="AA144" s="2">
        <v>0.29849999999999999</v>
      </c>
      <c r="AB144" s="2">
        <v>56.651000000000003</v>
      </c>
    </row>
    <row r="145" spans="2:28" x14ac:dyDescent="0.4">
      <c r="B145" s="11">
        <v>128</v>
      </c>
      <c r="C145" s="16">
        <f t="shared" si="5"/>
        <v>50.053032606402397</v>
      </c>
      <c r="D145" s="17">
        <f t="shared" si="7"/>
        <v>55.614480673780442</v>
      </c>
      <c r="E145" s="17">
        <f t="shared" si="6"/>
        <v>61.175928741158486</v>
      </c>
      <c r="F145" s="2">
        <v>56.296399999999998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0.28460000000000002</v>
      </c>
      <c r="AA145" s="2">
        <v>0.29859999999999998</v>
      </c>
      <c r="AB145" s="2">
        <v>57.523000000000003</v>
      </c>
    </row>
    <row r="146" spans="2:28" x14ac:dyDescent="0.4">
      <c r="B146" s="11">
        <v>129</v>
      </c>
      <c r="C146" s="16">
        <f t="shared" ref="C146:C209" si="9">D146-D146*(C$14/100)</f>
        <v>50.75763798540541</v>
      </c>
      <c r="D146" s="17">
        <f t="shared" si="7"/>
        <v>56.397375539339343</v>
      </c>
      <c r="E146" s="17">
        <f t="shared" ref="E146:E209" si="10">D146+D146*(C$14/100)</f>
        <v>62.037113093273277</v>
      </c>
      <c r="F146" s="2">
        <v>56.651000000000003</v>
      </c>
      <c r="G146" s="2" t="str">
        <f t="shared" si="8"/>
        <v>Pass</v>
      </c>
      <c r="Y146" s="2">
        <v>131</v>
      </c>
      <c r="Z146" s="2">
        <v>0.2848</v>
      </c>
      <c r="AA146" s="2">
        <v>0.29880000000000001</v>
      </c>
      <c r="AB146" s="2">
        <v>58.7117</v>
      </c>
    </row>
    <row r="147" spans="2:28" x14ac:dyDescent="0.4">
      <c r="B147" s="11">
        <v>130</v>
      </c>
      <c r="C147" s="16">
        <f t="shared" si="9"/>
        <v>51.466617596705426</v>
      </c>
      <c r="D147" s="17">
        <f t="shared" ref="D147:D210" si="11">D$272*((B147+F$17)/B$272)^C$13</f>
        <v>57.185130663006028</v>
      </c>
      <c r="E147" s="17">
        <f t="shared" si="10"/>
        <v>62.90364372930663</v>
      </c>
      <c r="F147" s="2">
        <v>57.523000000000003</v>
      </c>
      <c r="G147" s="2" t="str">
        <f t="shared" si="8"/>
        <v>Pass</v>
      </c>
      <c r="Y147" s="2">
        <v>132</v>
      </c>
      <c r="Z147" s="2">
        <v>0.28489999999999999</v>
      </c>
      <c r="AA147" s="2">
        <v>0.2989</v>
      </c>
      <c r="AB147" s="2">
        <v>59.584299999999999</v>
      </c>
    </row>
    <row r="148" spans="2:28" x14ac:dyDescent="0.4">
      <c r="B148" s="11">
        <v>131</v>
      </c>
      <c r="C148" s="16">
        <f t="shared" si="9"/>
        <v>52.179964703611923</v>
      </c>
      <c r="D148" s="17">
        <f t="shared" si="11"/>
        <v>57.977738559568806</v>
      </c>
      <c r="E148" s="17">
        <f t="shared" si="10"/>
        <v>63.775512415525689</v>
      </c>
      <c r="F148" s="2">
        <v>58.7117</v>
      </c>
      <c r="G148" s="2" t="str">
        <f t="shared" si="8"/>
        <v>Pass</v>
      </c>
      <c r="Y148" s="2">
        <v>133</v>
      </c>
      <c r="Z148" s="2">
        <v>0.28370000000000001</v>
      </c>
      <c r="AA148" s="2">
        <v>0.2984</v>
      </c>
      <c r="AB148" s="2">
        <v>60.480600000000003</v>
      </c>
    </row>
    <row r="149" spans="2:28" x14ac:dyDescent="0.4">
      <c r="B149" s="11">
        <v>132</v>
      </c>
      <c r="C149" s="16">
        <f t="shared" si="9"/>
        <v>52.897672631209893</v>
      </c>
      <c r="D149" s="17">
        <f t="shared" si="11"/>
        <v>58.775191812455439</v>
      </c>
      <c r="E149" s="17">
        <f t="shared" si="10"/>
        <v>64.652710993700978</v>
      </c>
      <c r="F149" s="2">
        <v>59.584299999999999</v>
      </c>
      <c r="G149" s="2" t="str">
        <f t="shared" si="8"/>
        <v>Pass</v>
      </c>
      <c r="Y149" s="2">
        <v>134</v>
      </c>
      <c r="Z149" s="2">
        <v>0.28389999999999999</v>
      </c>
      <c r="AA149" s="2">
        <v>0.29859999999999998</v>
      </c>
      <c r="AB149" s="2">
        <v>61.313899999999997</v>
      </c>
    </row>
    <row r="150" spans="2:28" x14ac:dyDescent="0.4">
      <c r="B150" s="11">
        <v>133</v>
      </c>
      <c r="C150" s="16">
        <f t="shared" si="9"/>
        <v>53.619734765329348</v>
      </c>
      <c r="D150" s="17">
        <f t="shared" si="11"/>
        <v>59.577483072588166</v>
      </c>
      <c r="E150" s="17">
        <f t="shared" si="10"/>
        <v>65.535231379846977</v>
      </c>
      <c r="F150" s="2">
        <v>60.480600000000003</v>
      </c>
      <c r="G150" s="2" t="str">
        <f t="shared" si="8"/>
        <v>Pass</v>
      </c>
      <c r="Y150" s="2">
        <v>135</v>
      </c>
      <c r="Z150" s="2">
        <v>0.28399999999999997</v>
      </c>
      <c r="AA150" s="2">
        <v>0.29720000000000002</v>
      </c>
      <c r="AB150" s="2">
        <v>61.564700000000002</v>
      </c>
    </row>
    <row r="151" spans="2:28" x14ac:dyDescent="0.4">
      <c r="B151" s="11">
        <v>134</v>
      </c>
      <c r="C151" s="16">
        <f t="shared" si="9"/>
        <v>54.346144551539254</v>
      </c>
      <c r="D151" s="17">
        <f t="shared" si="11"/>
        <v>60.384605057265837</v>
      </c>
      <c r="E151" s="17">
        <f t="shared" si="10"/>
        <v>66.42306556299242</v>
      </c>
      <c r="F151" s="2">
        <v>61.313899999999997</v>
      </c>
      <c r="G151" s="2" t="str">
        <f t="shared" si="8"/>
        <v>Pass</v>
      </c>
      <c r="Y151" s="2">
        <v>136</v>
      </c>
      <c r="Z151" s="2">
        <v>0.28520000000000001</v>
      </c>
      <c r="AA151" s="2">
        <v>0.29949999999999999</v>
      </c>
      <c r="AB151" s="2">
        <v>62.3994</v>
      </c>
    </row>
    <row r="152" spans="2:28" x14ac:dyDescent="0.4">
      <c r="B152" s="11">
        <v>135</v>
      </c>
      <c r="C152" s="16">
        <f t="shared" si="9"/>
        <v>55.07689549416591</v>
      </c>
      <c r="D152" s="17">
        <f t="shared" si="11"/>
        <v>61.196550549073237</v>
      </c>
      <c r="E152" s="17">
        <f t="shared" si="10"/>
        <v>67.316205603980563</v>
      </c>
      <c r="F152" s="2">
        <v>61.564700000000002</v>
      </c>
      <c r="G152" s="2" t="str">
        <f t="shared" si="8"/>
        <v>Pass</v>
      </c>
      <c r="Y152" s="2">
        <v>137</v>
      </c>
      <c r="Z152" s="2">
        <v>0.28539999999999999</v>
      </c>
      <c r="AA152" s="2">
        <v>0.29970000000000002</v>
      </c>
      <c r="AB152" s="2">
        <v>63.536200000000001</v>
      </c>
    </row>
    <row r="153" spans="2:28" x14ac:dyDescent="0.4">
      <c r="B153" s="11">
        <v>136</v>
      </c>
      <c r="C153" s="16">
        <f t="shared" si="9"/>
        <v>55.811981155334266</v>
      </c>
      <c r="D153" s="17">
        <f t="shared" si="11"/>
        <v>62.013312394815848</v>
      </c>
      <c r="E153" s="17">
        <f t="shared" si="10"/>
        <v>68.214643634297431</v>
      </c>
      <c r="F153" s="2">
        <v>62.3994</v>
      </c>
      <c r="G153" s="2" t="str">
        <f t="shared" si="8"/>
        <v>Pass</v>
      </c>
      <c r="Y153" s="2">
        <v>138</v>
      </c>
      <c r="Z153" s="2">
        <v>0.28420000000000001</v>
      </c>
      <c r="AA153" s="2">
        <v>0.29920000000000002</v>
      </c>
      <c r="AB153" s="2">
        <v>64.5017</v>
      </c>
    </row>
    <row r="154" spans="2:28" x14ac:dyDescent="0.4">
      <c r="B154" s="11">
        <v>137</v>
      </c>
      <c r="C154" s="16">
        <f t="shared" si="9"/>
        <v>56.551395154032079</v>
      </c>
      <c r="D154" s="17">
        <f t="shared" si="11"/>
        <v>62.834883504480089</v>
      </c>
      <c r="E154" s="17">
        <f t="shared" si="10"/>
        <v>69.1183718549281</v>
      </c>
      <c r="F154" s="2">
        <v>63.536200000000001</v>
      </c>
      <c r="G154" s="2" t="str">
        <f t="shared" si="8"/>
        <v>Pass</v>
      </c>
      <c r="Y154" s="2">
        <v>139</v>
      </c>
      <c r="Z154" s="2">
        <v>0.2843</v>
      </c>
      <c r="AA154" s="2">
        <v>0.2994</v>
      </c>
      <c r="AB154" s="2">
        <v>65.468500000000006</v>
      </c>
    </row>
    <row r="155" spans="2:28" x14ac:dyDescent="0.4">
      <c r="B155" s="11">
        <v>138</v>
      </c>
      <c r="C155" s="16">
        <f t="shared" si="9"/>
        <v>57.295131165195784</v>
      </c>
      <c r="D155" s="17">
        <f t="shared" si="11"/>
        <v>63.661256850217534</v>
      </c>
      <c r="E155" s="17">
        <f t="shared" si="10"/>
        <v>70.027382535239283</v>
      </c>
      <c r="F155" s="2">
        <v>64.5017</v>
      </c>
      <c r="G155" s="2" t="str">
        <f t="shared" si="8"/>
        <v>Pass</v>
      </c>
      <c r="Y155" s="2">
        <v>140</v>
      </c>
      <c r="Z155" s="2">
        <v>0.28449999999999998</v>
      </c>
      <c r="AA155" s="2">
        <v>0.29959999999999998</v>
      </c>
      <c r="AB155" s="2">
        <v>66.377300000000005</v>
      </c>
    </row>
    <row r="156" spans="2:28" x14ac:dyDescent="0.4">
      <c r="B156" s="11">
        <v>139</v>
      </c>
      <c r="C156" s="16">
        <f t="shared" si="9"/>
        <v>58.043182918817671</v>
      </c>
      <c r="D156" s="17">
        <f t="shared" si="11"/>
        <v>64.492425465352966</v>
      </c>
      <c r="E156" s="17">
        <f t="shared" si="10"/>
        <v>70.941668011888268</v>
      </c>
      <c r="F156" s="2">
        <v>65.468500000000006</v>
      </c>
      <c r="G156" s="2" t="str">
        <f t="shared" si="8"/>
        <v>Pass</v>
      </c>
      <c r="Y156" s="2">
        <v>141</v>
      </c>
      <c r="Z156" s="2">
        <v>0.2848</v>
      </c>
      <c r="AA156" s="2">
        <v>0.29809999999999998</v>
      </c>
      <c r="AB156" s="2">
        <v>66.662599999999998</v>
      </c>
    </row>
    <row r="157" spans="2:28" x14ac:dyDescent="0.4">
      <c r="B157" s="11">
        <v>140</v>
      </c>
      <c r="C157" s="16">
        <f t="shared" si="9"/>
        <v>58.795544199073674</v>
      </c>
      <c r="D157" s="17">
        <f t="shared" si="11"/>
        <v>65.328382443415194</v>
      </c>
      <c r="E157" s="17">
        <f t="shared" si="10"/>
        <v>71.861220687756713</v>
      </c>
      <c r="F157" s="2">
        <v>66.377300000000005</v>
      </c>
      <c r="G157" s="2" t="str">
        <f t="shared" si="8"/>
        <v>Pass</v>
      </c>
      <c r="Y157" s="2">
        <v>142</v>
      </c>
      <c r="Z157" s="2">
        <v>0.28360000000000002</v>
      </c>
      <c r="AA157" s="2">
        <v>0.29730000000000001</v>
      </c>
      <c r="AB157" s="2">
        <v>67.7453</v>
      </c>
    </row>
    <row r="158" spans="2:28" x14ac:dyDescent="0.4">
      <c r="B158" s="11">
        <v>141</v>
      </c>
      <c r="C158" s="16">
        <f t="shared" si="9"/>
        <v>59.552208843470979</v>
      </c>
      <c r="D158" s="17">
        <f t="shared" si="11"/>
        <v>66.169120937189973</v>
      </c>
      <c r="E158" s="17">
        <f t="shared" si="10"/>
        <v>72.786033030908968</v>
      </c>
      <c r="F158" s="2">
        <v>66.662599999999998</v>
      </c>
      <c r="G158" s="2" t="str">
        <f t="shared" si="8"/>
        <v>Pass</v>
      </c>
      <c r="Y158" s="2">
        <v>143</v>
      </c>
      <c r="Z158" s="2">
        <v>0.28349999999999997</v>
      </c>
      <c r="AA158" s="2">
        <v>0.29720000000000002</v>
      </c>
      <c r="AB158" s="2">
        <v>69.002799999999993</v>
      </c>
    </row>
    <row r="159" spans="2:28" x14ac:dyDescent="0.4">
      <c r="B159" s="11">
        <v>142</v>
      </c>
      <c r="C159" s="16">
        <f t="shared" si="9"/>
        <v>60.313170742015103</v>
      </c>
      <c r="D159" s="17">
        <f t="shared" si="11"/>
        <v>67.014634157794561</v>
      </c>
      <c r="E159" s="17">
        <f t="shared" si="10"/>
        <v>73.716097573574018</v>
      </c>
      <c r="F159" s="2">
        <v>67.7453</v>
      </c>
      <c r="G159" s="2" t="str">
        <f t="shared" si="8"/>
        <v>Pass</v>
      </c>
      <c r="Y159" s="2">
        <v>144</v>
      </c>
      <c r="Z159" s="2">
        <v>0.28449999999999998</v>
      </c>
      <c r="AA159" s="2">
        <v>0.29920000000000002</v>
      </c>
      <c r="AB159" s="2">
        <v>69.924800000000005</v>
      </c>
    </row>
    <row r="160" spans="2:28" x14ac:dyDescent="0.4">
      <c r="B160" s="11">
        <v>143</v>
      </c>
      <c r="C160" s="16">
        <f t="shared" si="9"/>
        <v>61.078423836395793</v>
      </c>
      <c r="D160" s="17">
        <f t="shared" si="11"/>
        <v>67.864915373773101</v>
      </c>
      <c r="E160" s="17">
        <f t="shared" si="10"/>
        <v>74.651406911150417</v>
      </c>
      <c r="F160" s="2">
        <v>69.002799999999993</v>
      </c>
      <c r="G160" s="2" t="str">
        <f t="shared" si="8"/>
        <v>Pass</v>
      </c>
      <c r="Y160" s="2">
        <v>145</v>
      </c>
      <c r="Z160" s="2">
        <v>0.28470000000000001</v>
      </c>
      <c r="AA160" s="2">
        <v>0.2994</v>
      </c>
      <c r="AB160" s="2">
        <v>70.868099999999998</v>
      </c>
    </row>
    <row r="161" spans="2:28" x14ac:dyDescent="0.4">
      <c r="B161" s="11">
        <v>144</v>
      </c>
      <c r="C161" s="16">
        <f t="shared" si="9"/>
        <v>61.847962119190981</v>
      </c>
      <c r="D161" s="17">
        <f t="shared" si="11"/>
        <v>68.719957910212202</v>
      </c>
      <c r="E161" s="17">
        <f t="shared" si="10"/>
        <v>75.591953701233422</v>
      </c>
      <c r="F161" s="2">
        <v>69.924800000000005</v>
      </c>
      <c r="G161" s="2" t="str">
        <f t="shared" si="8"/>
        <v>Pass</v>
      </c>
      <c r="Y161" s="2">
        <v>146</v>
      </c>
      <c r="Z161" s="2">
        <v>0.28370000000000001</v>
      </c>
      <c r="AA161" s="2">
        <v>0.29749999999999999</v>
      </c>
      <c r="AB161" s="2">
        <v>70.853700000000003</v>
      </c>
    </row>
    <row r="162" spans="2:28" x14ac:dyDescent="0.4">
      <c r="B162" s="11">
        <v>145</v>
      </c>
      <c r="C162" s="16">
        <f t="shared" si="9"/>
        <v>62.621779633088678</v>
      </c>
      <c r="D162" s="17">
        <f t="shared" si="11"/>
        <v>69.579755147876313</v>
      </c>
      <c r="E162" s="17">
        <f t="shared" si="10"/>
        <v>76.537730662663947</v>
      </c>
      <c r="F162" s="2">
        <v>70.868099999999998</v>
      </c>
      <c r="G162" s="2" t="str">
        <f t="shared" si="8"/>
        <v>Pass</v>
      </c>
      <c r="Y162" s="2">
        <v>147</v>
      </c>
      <c r="Z162" s="2">
        <v>0.28389999999999999</v>
      </c>
      <c r="AA162" s="2">
        <v>0.29749999999999999</v>
      </c>
      <c r="AB162" s="2">
        <v>72.062200000000004</v>
      </c>
    </row>
    <row r="163" spans="2:28" x14ac:dyDescent="0.4">
      <c r="B163" s="11">
        <v>146</v>
      </c>
      <c r="C163" s="16">
        <f t="shared" si="9"/>
        <v>63.399870470125911</v>
      </c>
      <c r="D163" s="17">
        <f t="shared" si="11"/>
        <v>70.444300522362127</v>
      </c>
      <c r="E163" s="17">
        <f t="shared" si="10"/>
        <v>77.488730574598335</v>
      </c>
      <c r="F163" s="2">
        <v>70.853700000000003</v>
      </c>
      <c r="G163" s="2" t="str">
        <f t="shared" si="8"/>
        <v>Pass</v>
      </c>
      <c r="Y163" s="2">
        <v>148</v>
      </c>
      <c r="Z163" s="2">
        <v>0.28399999999999997</v>
      </c>
      <c r="AA163" s="2">
        <v>0.29770000000000002</v>
      </c>
      <c r="AB163" s="2">
        <v>72.964600000000004</v>
      </c>
    </row>
    <row r="164" spans="2:28" x14ac:dyDescent="0.4">
      <c r="B164" s="11">
        <v>147</v>
      </c>
      <c r="C164" s="16">
        <f t="shared" si="9"/>
        <v>64.182228770944377</v>
      </c>
      <c r="D164" s="17">
        <f t="shared" si="11"/>
        <v>71.313587523271536</v>
      </c>
      <c r="E164" s="17">
        <f t="shared" si="10"/>
        <v>78.444946275598696</v>
      </c>
      <c r="F164" s="2">
        <v>72.062200000000004</v>
      </c>
      <c r="G164" s="2" t="str">
        <f t="shared" si="8"/>
        <v>Pass</v>
      </c>
      <c r="Y164" s="2">
        <v>149</v>
      </c>
      <c r="Z164" s="2">
        <v>0.28360000000000002</v>
      </c>
      <c r="AA164" s="2">
        <v>0.29820000000000002</v>
      </c>
      <c r="AB164" s="2">
        <v>74.040099999999995</v>
      </c>
    </row>
    <row r="165" spans="2:28" x14ac:dyDescent="0.4">
      <c r="B165" s="11">
        <v>148</v>
      </c>
      <c r="C165" s="16">
        <f t="shared" si="9"/>
        <v>64.968848724062383</v>
      </c>
      <c r="D165" s="17">
        <f t="shared" si="11"/>
        <v>72.187609693402649</v>
      </c>
      <c r="E165" s="17">
        <f t="shared" si="10"/>
        <v>79.406370662742916</v>
      </c>
      <c r="F165" s="2">
        <v>72.964600000000004</v>
      </c>
      <c r="G165" s="2" t="str">
        <f t="shared" si="8"/>
        <v>Pass</v>
      </c>
      <c r="Y165" s="2">
        <v>150</v>
      </c>
      <c r="Z165" s="2">
        <v>0.2838</v>
      </c>
      <c r="AA165" s="2">
        <v>0.29699999999999999</v>
      </c>
      <c r="AB165" s="2">
        <v>74.346199999999996</v>
      </c>
    </row>
    <row r="166" spans="2:28" x14ac:dyDescent="0.4">
      <c r="B166" s="11">
        <v>149</v>
      </c>
      <c r="C166" s="16">
        <f t="shared" si="9"/>
        <v>65.759724565162401</v>
      </c>
      <c r="D166" s="17">
        <f t="shared" si="11"/>
        <v>73.066360627958218</v>
      </c>
      <c r="E166" s="17">
        <f t="shared" si="10"/>
        <v>80.372996690754036</v>
      </c>
      <c r="F166" s="2">
        <v>74.040099999999995</v>
      </c>
      <c r="G166" s="2" t="str">
        <f t="shared" si="8"/>
        <v>Pass</v>
      </c>
      <c r="Y166" s="2">
        <v>151</v>
      </c>
      <c r="Z166" s="2">
        <v>0.2843</v>
      </c>
      <c r="AA166" s="2">
        <v>0.29820000000000002</v>
      </c>
      <c r="AB166" s="2">
        <v>75.392099999999999</v>
      </c>
    </row>
    <row r="167" spans="2:28" x14ac:dyDescent="0.4">
      <c r="B167" s="11">
        <v>150</v>
      </c>
      <c r="C167" s="16">
        <f t="shared" si="9"/>
        <v>66.554850576394131</v>
      </c>
      <c r="D167" s="17">
        <f t="shared" si="11"/>
        <v>73.949833973771248</v>
      </c>
      <c r="E167" s="17">
        <f t="shared" si="10"/>
        <v>81.344817371148366</v>
      </c>
      <c r="F167" s="2">
        <v>74.346199999999996</v>
      </c>
      <c r="G167" s="2" t="str">
        <f t="shared" si="8"/>
        <v>Pass</v>
      </c>
      <c r="Y167" s="2">
        <v>152</v>
      </c>
      <c r="Z167" s="2">
        <v>0.2838</v>
      </c>
      <c r="AA167" s="2">
        <v>0.29859999999999998</v>
      </c>
      <c r="AB167" s="2">
        <v>76.423900000000003</v>
      </c>
    </row>
    <row r="168" spans="2:28" x14ac:dyDescent="0.4">
      <c r="B168" s="11">
        <v>151</v>
      </c>
      <c r="C168" s="16">
        <f t="shared" si="9"/>
        <v>67.354221085692288</v>
      </c>
      <c r="D168" s="17">
        <f t="shared" si="11"/>
        <v>74.83802342854699</v>
      </c>
      <c r="E168" s="17">
        <f t="shared" si="10"/>
        <v>82.321825771401691</v>
      </c>
      <c r="F168" s="2">
        <v>75.392099999999999</v>
      </c>
      <c r="G168" s="2" t="str">
        <f t="shared" si="8"/>
        <v>Pass</v>
      </c>
      <c r="Y168" s="2">
        <v>153</v>
      </c>
      <c r="Z168" s="2">
        <v>0.28389999999999999</v>
      </c>
      <c r="AA168" s="2">
        <v>0.29880000000000001</v>
      </c>
      <c r="AB168" s="2">
        <v>77.501300000000001</v>
      </c>
    </row>
    <row r="169" spans="2:28" x14ac:dyDescent="0.4">
      <c r="B169" s="11">
        <v>152</v>
      </c>
      <c r="C169" s="16">
        <f t="shared" si="9"/>
        <v>68.157830466108948</v>
      </c>
      <c r="D169" s="17">
        <f t="shared" si="11"/>
        <v>75.730922740121045</v>
      </c>
      <c r="E169" s="17">
        <f t="shared" si="10"/>
        <v>83.304015014133142</v>
      </c>
      <c r="F169" s="2">
        <v>76.423900000000003</v>
      </c>
      <c r="G169" s="2" t="str">
        <f t="shared" si="8"/>
        <v>Pass</v>
      </c>
      <c r="Y169" s="2">
        <v>154</v>
      </c>
      <c r="Z169" s="2">
        <v>0.28410000000000002</v>
      </c>
      <c r="AA169" s="2">
        <v>0.29899999999999999</v>
      </c>
      <c r="AB169" s="2">
        <v>78.820499999999996</v>
      </c>
    </row>
    <row r="170" spans="2:28" x14ac:dyDescent="0.4">
      <c r="B170" s="11">
        <v>153</v>
      </c>
      <c r="C170" s="16">
        <f t="shared" si="9"/>
        <v>68.965673135159889</v>
      </c>
      <c r="D170" s="17">
        <f t="shared" si="11"/>
        <v>76.62852570573321</v>
      </c>
      <c r="E170" s="17">
        <f t="shared" si="10"/>
        <v>84.291378276306531</v>
      </c>
      <c r="F170" s="2">
        <v>77.501300000000001</v>
      </c>
      <c r="G170" s="2" t="str">
        <f t="shared" si="8"/>
        <v>Pass</v>
      </c>
      <c r="Y170" s="2">
        <v>155</v>
      </c>
      <c r="Z170" s="2">
        <v>0.28320000000000001</v>
      </c>
      <c r="AA170" s="2">
        <v>0.29720000000000002</v>
      </c>
      <c r="AB170" s="2">
        <v>78.846199999999996</v>
      </c>
    </row>
    <row r="171" spans="2:28" x14ac:dyDescent="0.4">
      <c r="B171" s="11">
        <v>154</v>
      </c>
      <c r="C171" s="16">
        <f t="shared" si="9"/>
        <v>69.777743554184681</v>
      </c>
      <c r="D171" s="17">
        <f t="shared" si="11"/>
        <v>77.530826171316306</v>
      </c>
      <c r="E171" s="17">
        <f t="shared" si="10"/>
        <v>85.283908788447931</v>
      </c>
      <c r="F171" s="2">
        <v>78.820499999999996</v>
      </c>
      <c r="G171" s="2" t="str">
        <f t="shared" si="8"/>
        <v>Pass</v>
      </c>
      <c r="Y171" s="2">
        <v>156</v>
      </c>
      <c r="Z171" s="2">
        <v>0.2833</v>
      </c>
      <c r="AA171" s="2">
        <v>0.2974</v>
      </c>
      <c r="AB171" s="2">
        <v>79.863299999999995</v>
      </c>
    </row>
    <row r="172" spans="2:28" x14ac:dyDescent="0.4">
      <c r="B172" s="11">
        <v>155</v>
      </c>
      <c r="C172" s="16">
        <f t="shared" si="9"/>
        <v>70.594036227720068</v>
      </c>
      <c r="D172" s="17">
        <f t="shared" si="11"/>
        <v>78.437818030800074</v>
      </c>
      <c r="E172" s="17">
        <f t="shared" si="10"/>
        <v>86.28159983388008</v>
      </c>
      <c r="F172" s="2">
        <v>78.846199999999996</v>
      </c>
      <c r="G172" s="2" t="str">
        <f t="shared" si="8"/>
        <v>Pass</v>
      </c>
      <c r="Y172" s="2">
        <v>157</v>
      </c>
      <c r="Z172" s="2">
        <v>0.28449999999999998</v>
      </c>
      <c r="AA172" s="2">
        <v>0.29920000000000002</v>
      </c>
      <c r="AB172" s="2">
        <v>81.189599999999999</v>
      </c>
    </row>
    <row r="173" spans="2:28" x14ac:dyDescent="0.4">
      <c r="B173" s="11">
        <v>156</v>
      </c>
      <c r="C173" s="16">
        <f t="shared" si="9"/>
        <v>71.414545702886329</v>
      </c>
      <c r="D173" s="17">
        <f t="shared" si="11"/>
        <v>79.349495225429251</v>
      </c>
      <c r="E173" s="17">
        <f t="shared" si="10"/>
        <v>87.284444747972174</v>
      </c>
      <c r="F173" s="2">
        <v>79.863299999999995</v>
      </c>
      <c r="G173" s="2" t="str">
        <f t="shared" si="8"/>
        <v>Pass</v>
      </c>
      <c r="Y173" s="2">
        <v>158</v>
      </c>
      <c r="Z173" s="2">
        <v>0.28420000000000001</v>
      </c>
      <c r="AA173" s="2">
        <v>0.29959999999999998</v>
      </c>
      <c r="AB173" s="2">
        <v>81.884299999999996</v>
      </c>
    </row>
    <row r="174" spans="2:28" x14ac:dyDescent="0.4">
      <c r="B174" s="11">
        <v>157</v>
      </c>
      <c r="C174" s="16">
        <f t="shared" si="9"/>
        <v>72.239266568786107</v>
      </c>
      <c r="D174" s="17">
        <f t="shared" si="11"/>
        <v>80.265851743095681</v>
      </c>
      <c r="E174" s="17">
        <f t="shared" si="10"/>
        <v>88.292436917405254</v>
      </c>
      <c r="F174" s="2">
        <v>81.189599999999999</v>
      </c>
      <c r="G174" s="2" t="str">
        <f t="shared" si="8"/>
        <v>Pass</v>
      </c>
      <c r="Y174" s="2">
        <v>159</v>
      </c>
      <c r="Z174" s="2">
        <v>0.28360000000000002</v>
      </c>
      <c r="AA174" s="2">
        <v>0.29770000000000002</v>
      </c>
      <c r="AB174" s="2">
        <v>82.221500000000006</v>
      </c>
    </row>
    <row r="175" spans="2:28" x14ac:dyDescent="0.4">
      <c r="B175" s="11">
        <v>158</v>
      </c>
      <c r="C175" s="16">
        <f t="shared" si="9"/>
        <v>73.068193455915733</v>
      </c>
      <c r="D175" s="17">
        <f t="shared" si="11"/>
        <v>81.186881617684151</v>
      </c>
      <c r="E175" s="17">
        <f t="shared" si="10"/>
        <v>89.305569779452568</v>
      </c>
      <c r="F175" s="2">
        <v>81.884299999999996</v>
      </c>
      <c r="G175" s="2" t="str">
        <f t="shared" si="8"/>
        <v>Pass</v>
      </c>
      <c r="Y175" s="2">
        <v>160</v>
      </c>
      <c r="Z175" s="2">
        <v>0.2838</v>
      </c>
      <c r="AA175" s="2">
        <v>0.29780000000000001</v>
      </c>
      <c r="AB175" s="2">
        <v>83.615200000000002</v>
      </c>
    </row>
    <row r="176" spans="2:28" x14ac:dyDescent="0.4">
      <c r="B176" s="11">
        <v>159</v>
      </c>
      <c r="C176" s="16">
        <f t="shared" si="9"/>
        <v>73.901321035588168</v>
      </c>
      <c r="D176" s="17">
        <f t="shared" si="11"/>
        <v>82.112578928431304</v>
      </c>
      <c r="E176" s="17">
        <f t="shared" si="10"/>
        <v>90.32383682127444</v>
      </c>
      <c r="F176" s="2">
        <v>82.221500000000006</v>
      </c>
      <c r="G176" s="2" t="str">
        <f t="shared" si="8"/>
        <v>Pass</v>
      </c>
      <c r="Y176" s="2">
        <v>161</v>
      </c>
      <c r="Z176" s="2">
        <v>0.28349999999999997</v>
      </c>
      <c r="AA176" s="2">
        <v>0.29809999999999998</v>
      </c>
      <c r="AB176" s="2">
        <v>84.318299999999994</v>
      </c>
    </row>
    <row r="177" spans="2:28" x14ac:dyDescent="0.4">
      <c r="B177" s="11">
        <v>160</v>
      </c>
      <c r="C177" s="16">
        <f t="shared" si="9"/>
        <v>74.738644019367953</v>
      </c>
      <c r="D177" s="17">
        <f t="shared" si="11"/>
        <v>83.042937799297732</v>
      </c>
      <c r="E177" s="17">
        <f t="shared" si="10"/>
        <v>91.347231579227511</v>
      </c>
      <c r="F177" s="2">
        <v>83.615200000000002</v>
      </c>
      <c r="G177" s="2" t="str">
        <f t="shared" si="8"/>
        <v>Pass</v>
      </c>
      <c r="Y177" s="2">
        <v>162</v>
      </c>
      <c r="Z177" s="2">
        <v>0.28470000000000001</v>
      </c>
      <c r="AA177" s="2">
        <v>0.3</v>
      </c>
      <c r="AB177" s="2">
        <v>85.608699999999999</v>
      </c>
    </row>
    <row r="178" spans="2:28" x14ac:dyDescent="0.4">
      <c r="B178" s="11">
        <v>161</v>
      </c>
      <c r="C178" s="16">
        <f t="shared" si="9"/>
        <v>75.58015715851711</v>
      </c>
      <c r="D178" s="17">
        <f t="shared" si="11"/>
        <v>83.977952398352343</v>
      </c>
      <c r="E178" s="17">
        <f t="shared" si="10"/>
        <v>92.375747638187576</v>
      </c>
      <c r="F178" s="2">
        <v>84.318299999999994</v>
      </c>
      <c r="G178" s="2" t="str">
        <f t="shared" si="8"/>
        <v>Pass</v>
      </c>
      <c r="Y178" s="2">
        <v>163</v>
      </c>
      <c r="Z178" s="2">
        <v>0.28420000000000001</v>
      </c>
      <c r="AA178" s="2">
        <v>0.29820000000000002</v>
      </c>
      <c r="AB178" s="2">
        <v>86.043999999999997</v>
      </c>
    </row>
    <row r="179" spans="2:28" x14ac:dyDescent="0.4">
      <c r="B179" s="11">
        <v>162</v>
      </c>
      <c r="C179" s="16">
        <f t="shared" si="9"/>
        <v>76.425855243452247</v>
      </c>
      <c r="D179" s="17">
        <f t="shared" si="11"/>
        <v>84.917616937169157</v>
      </c>
      <c r="E179" s="17">
        <f t="shared" si="10"/>
        <v>93.409378630886067</v>
      </c>
      <c r="F179" s="2">
        <v>85.608699999999999</v>
      </c>
      <c r="G179" s="2" t="str">
        <f t="shared" si="8"/>
        <v>Pass</v>
      </c>
      <c r="Y179" s="2">
        <v>164</v>
      </c>
      <c r="Z179" s="2">
        <v>0.28420000000000001</v>
      </c>
      <c r="AA179" s="2">
        <v>0.2984</v>
      </c>
      <c r="AB179" s="2">
        <v>87.182000000000002</v>
      </c>
    </row>
    <row r="180" spans="2:28" x14ac:dyDescent="0.4">
      <c r="B180" s="11">
        <v>163</v>
      </c>
      <c r="C180" s="16">
        <f t="shared" si="9"/>
        <v>77.275733103212474</v>
      </c>
      <c r="D180" s="17">
        <f t="shared" si="11"/>
        <v>85.861925670236076</v>
      </c>
      <c r="E180" s="17">
        <f t="shared" si="10"/>
        <v>94.448118237259678</v>
      </c>
      <c r="F180" s="2">
        <v>86.043999999999997</v>
      </c>
      <c r="G180" s="2" t="str">
        <f t="shared" si="8"/>
        <v>Pass</v>
      </c>
      <c r="Y180" s="2">
        <v>165</v>
      </c>
      <c r="Z180" s="2">
        <v>0.28410000000000002</v>
      </c>
      <c r="AA180" s="2">
        <v>0.29870000000000002</v>
      </c>
      <c r="AB180" s="2">
        <v>88.2654</v>
      </c>
    </row>
    <row r="181" spans="2:28" x14ac:dyDescent="0.4">
      <c r="B181" s="11">
        <v>164</v>
      </c>
      <c r="C181" s="16">
        <f t="shared" si="9"/>
        <v>78.129785604937524</v>
      </c>
      <c r="D181" s="17">
        <f t="shared" si="11"/>
        <v>86.810872894375024</v>
      </c>
      <c r="E181" s="17">
        <f t="shared" si="10"/>
        <v>95.491960183812523</v>
      </c>
      <c r="F181" s="2">
        <v>87.182000000000002</v>
      </c>
      <c r="G181" s="2" t="str">
        <f t="shared" si="8"/>
        <v>Pass</v>
      </c>
      <c r="Y181" s="2">
        <v>166</v>
      </c>
      <c r="Z181" s="2">
        <v>0.28420000000000001</v>
      </c>
      <c r="AA181" s="2">
        <v>0.29880000000000001</v>
      </c>
      <c r="AB181" s="2">
        <v>89.346800000000002</v>
      </c>
    </row>
    <row r="182" spans="2:28" x14ac:dyDescent="0.4">
      <c r="B182" s="11">
        <v>165</v>
      </c>
      <c r="C182" s="16">
        <f t="shared" si="9"/>
        <v>78.988007653356362</v>
      </c>
      <c r="D182" s="17">
        <f t="shared" si="11"/>
        <v>87.764452948173741</v>
      </c>
      <c r="E182" s="17">
        <f t="shared" si="10"/>
        <v>96.540898242991119</v>
      </c>
      <c r="F182" s="2">
        <v>88.2654</v>
      </c>
      <c r="G182" s="2" t="str">
        <f t="shared" si="8"/>
        <v>Pass</v>
      </c>
      <c r="Y182" s="2">
        <v>167</v>
      </c>
      <c r="Z182" s="2">
        <v>0.28460000000000002</v>
      </c>
      <c r="AA182" s="2">
        <v>0.29870000000000002</v>
      </c>
      <c r="AB182" s="2">
        <v>89.709500000000006</v>
      </c>
    </row>
    <row r="183" spans="2:28" x14ac:dyDescent="0.4">
      <c r="B183" s="11">
        <v>166</v>
      </c>
      <c r="C183" s="16">
        <f t="shared" si="9"/>
        <v>79.850394190285428</v>
      </c>
      <c r="D183" s="17">
        <f t="shared" si="11"/>
        <v>88.722660211428249</v>
      </c>
      <c r="E183" s="17">
        <f t="shared" si="10"/>
        <v>97.594926232571069</v>
      </c>
      <c r="F183" s="2">
        <v>89.346800000000002</v>
      </c>
      <c r="G183" s="2" t="str">
        <f t="shared" si="8"/>
        <v>Pass</v>
      </c>
      <c r="Y183" s="2">
        <v>168</v>
      </c>
      <c r="Z183" s="2">
        <v>0.28420000000000001</v>
      </c>
      <c r="AA183" s="2">
        <v>0.2989</v>
      </c>
      <c r="AB183" s="2">
        <v>90.735799999999998</v>
      </c>
    </row>
    <row r="184" spans="2:28" x14ac:dyDescent="0.4">
      <c r="B184" s="11">
        <v>167</v>
      </c>
      <c r="C184" s="16">
        <f t="shared" si="9"/>
        <v>80.716940194136754</v>
      </c>
      <c r="D184" s="17">
        <f t="shared" si="11"/>
        <v>89.6854891045964</v>
      </c>
      <c r="E184" s="17">
        <f t="shared" si="10"/>
        <v>98.654038015056045</v>
      </c>
      <c r="F184" s="2">
        <v>89.709500000000006</v>
      </c>
      <c r="G184" s="2" t="str">
        <f t="shared" si="8"/>
        <v>Pass</v>
      </c>
      <c r="Y184" s="2">
        <v>169</v>
      </c>
      <c r="Z184" s="2">
        <v>0.28460000000000002</v>
      </c>
      <c r="AA184" s="2">
        <v>0.29909999999999998</v>
      </c>
      <c r="AB184" s="2">
        <v>91.891599999999997</v>
      </c>
    </row>
    <row r="185" spans="2:28" x14ac:dyDescent="0.4">
      <c r="B185" s="11">
        <v>168</v>
      </c>
      <c r="C185" s="16">
        <f t="shared" si="9"/>
        <v>81.58764067943558</v>
      </c>
      <c r="D185" s="17">
        <f t="shared" si="11"/>
        <v>90.652934088261759</v>
      </c>
      <c r="E185" s="17">
        <f t="shared" si="10"/>
        <v>99.718227497087938</v>
      </c>
      <c r="F185" s="2">
        <v>90.735799999999998</v>
      </c>
      <c r="G185" s="2" t="str">
        <f t="shared" si="8"/>
        <v>Pass</v>
      </c>
      <c r="Y185" s="2">
        <v>170</v>
      </c>
      <c r="Z185" s="2">
        <v>0.28489999999999999</v>
      </c>
      <c r="AA185" s="2">
        <v>0.29930000000000001</v>
      </c>
      <c r="AB185" s="2">
        <v>93.061000000000007</v>
      </c>
    </row>
    <row r="186" spans="2:28" x14ac:dyDescent="0.4">
      <c r="B186" s="11">
        <v>169</v>
      </c>
      <c r="C186" s="16">
        <f t="shared" si="9"/>
        <v>82.462490696346876</v>
      </c>
      <c r="D186" s="17">
        <f t="shared" si="11"/>
        <v>91.624989662607646</v>
      </c>
      <c r="E186" s="17">
        <f t="shared" si="10"/>
        <v>100.78748862886842</v>
      </c>
      <c r="F186" s="2">
        <v>91.891599999999997</v>
      </c>
      <c r="G186" s="2" t="str">
        <f t="shared" si="8"/>
        <v>Pass</v>
      </c>
      <c r="Y186" s="2">
        <v>171</v>
      </c>
      <c r="Z186" s="2">
        <v>0.28399999999999997</v>
      </c>
      <c r="AA186" s="2">
        <v>0.29899999999999999</v>
      </c>
      <c r="AB186" s="2">
        <v>94.229699999999994</v>
      </c>
    </row>
    <row r="187" spans="2:28" x14ac:dyDescent="0.4">
      <c r="B187" s="11">
        <v>170</v>
      </c>
      <c r="C187" s="16">
        <f t="shared" si="9"/>
        <v>83.341485330211057</v>
      </c>
      <c r="D187" s="17">
        <f t="shared" si="11"/>
        <v>92.601650366901168</v>
      </c>
      <c r="E187" s="17">
        <f t="shared" si="10"/>
        <v>101.86181540359128</v>
      </c>
      <c r="F187" s="2">
        <v>93.061000000000007</v>
      </c>
      <c r="G187" s="2" t="str">
        <f t="shared" si="8"/>
        <v>Pass</v>
      </c>
      <c r="Y187" s="2">
        <v>172</v>
      </c>
      <c r="Z187" s="2">
        <v>0.28410000000000002</v>
      </c>
      <c r="AA187" s="2">
        <v>0.29809999999999998</v>
      </c>
      <c r="AB187" s="2">
        <v>94.659700000000001</v>
      </c>
    </row>
    <row r="188" spans="2:28" x14ac:dyDescent="0.4">
      <c r="B188" s="11">
        <v>171</v>
      </c>
      <c r="C188" s="16">
        <f t="shared" si="9"/>
        <v>84.224619701088457</v>
      </c>
      <c r="D188" s="17">
        <f t="shared" si="11"/>
        <v>93.58291077898717</v>
      </c>
      <c r="E188" s="17">
        <f t="shared" si="10"/>
        <v>102.94120185688588</v>
      </c>
      <c r="F188" s="2">
        <v>94.229699999999994</v>
      </c>
      <c r="G188" s="2" t="str">
        <f t="shared" si="8"/>
        <v>Pass</v>
      </c>
      <c r="Y188" s="2">
        <v>173</v>
      </c>
      <c r="Z188" s="2">
        <v>0.28539999999999999</v>
      </c>
      <c r="AA188" s="2">
        <v>0.29980000000000001</v>
      </c>
      <c r="AB188" s="2">
        <v>95.72</v>
      </c>
    </row>
    <row r="189" spans="2:28" x14ac:dyDescent="0.4">
      <c r="B189" s="11">
        <v>172</v>
      </c>
      <c r="C189" s="16">
        <f t="shared" si="9"/>
        <v>85.111888963312268</v>
      </c>
      <c r="D189" s="17">
        <f t="shared" si="11"/>
        <v>94.568765514791409</v>
      </c>
      <c r="E189" s="17">
        <f t="shared" si="10"/>
        <v>104.02564206627055</v>
      </c>
      <c r="F189" s="2">
        <v>94.659700000000001</v>
      </c>
      <c r="G189" s="2" t="str">
        <f t="shared" si="8"/>
        <v>Pass</v>
      </c>
      <c r="Y189" s="2">
        <v>174</v>
      </c>
      <c r="Z189" s="2">
        <v>0.28449999999999998</v>
      </c>
      <c r="AA189" s="2">
        <v>0.29949999999999999</v>
      </c>
      <c r="AB189" s="2">
        <v>96.792699999999996</v>
      </c>
    </row>
    <row r="190" spans="2:28" x14ac:dyDescent="0.4">
      <c r="B190" s="11">
        <v>173</v>
      </c>
      <c r="C190" s="16">
        <f t="shared" si="9"/>
        <v>86.003288305049736</v>
      </c>
      <c r="D190" s="17">
        <f t="shared" si="11"/>
        <v>95.559209227833037</v>
      </c>
      <c r="E190" s="17">
        <f t="shared" si="10"/>
        <v>105.11513015061634</v>
      </c>
      <c r="F190" s="2">
        <v>95.72</v>
      </c>
      <c r="G190" s="2" t="str">
        <f t="shared" si="8"/>
        <v>Pass</v>
      </c>
      <c r="Y190" s="2">
        <v>175</v>
      </c>
      <c r="Z190" s="2">
        <v>0.28470000000000001</v>
      </c>
      <c r="AA190" s="2">
        <v>0.29959999999999998</v>
      </c>
      <c r="AB190" s="2">
        <v>97.967699999999994</v>
      </c>
    </row>
    <row r="191" spans="2:28" x14ac:dyDescent="0.4">
      <c r="B191" s="11">
        <v>174</v>
      </c>
      <c r="C191" s="16">
        <f t="shared" si="9"/>
        <v>86.898812947871633</v>
      </c>
      <c r="D191" s="17">
        <f t="shared" si="11"/>
        <v>96.554236608746265</v>
      </c>
      <c r="E191" s="17">
        <f t="shared" si="10"/>
        <v>106.2096602696209</v>
      </c>
      <c r="F191" s="2">
        <v>96.792699999999996</v>
      </c>
      <c r="G191" s="2" t="str">
        <f t="shared" si="8"/>
        <v>Pass</v>
      </c>
      <c r="Y191" s="2">
        <v>176</v>
      </c>
      <c r="Z191" s="2">
        <v>0.28470000000000001</v>
      </c>
      <c r="AA191" s="2">
        <v>0.29880000000000001</v>
      </c>
      <c r="AB191" s="2">
        <v>98.427400000000006</v>
      </c>
    </row>
    <row r="192" spans="2:28" x14ac:dyDescent="0.4">
      <c r="B192" s="11">
        <v>175</v>
      </c>
      <c r="C192" s="16">
        <f t="shared" si="9"/>
        <v>87.79845814632958</v>
      </c>
      <c r="D192" s="17">
        <f t="shared" si="11"/>
        <v>97.553842384810636</v>
      </c>
      <c r="E192" s="17">
        <f t="shared" si="10"/>
        <v>107.30922662329169</v>
      </c>
      <c r="F192" s="2">
        <v>97.967699999999994</v>
      </c>
      <c r="G192" s="2" t="str">
        <f t="shared" si="8"/>
        <v>Pass</v>
      </c>
      <c r="Y192" s="2">
        <v>177</v>
      </c>
      <c r="Z192" s="2">
        <v>0.28449999999999998</v>
      </c>
      <c r="AA192" s="2">
        <v>0.29909999999999998</v>
      </c>
      <c r="AB192" s="2">
        <v>99.561499999999995</v>
      </c>
    </row>
    <row r="193" spans="2:28" x14ac:dyDescent="0.4">
      <c r="B193" s="11">
        <v>176</v>
      </c>
      <c r="C193" s="16">
        <f t="shared" si="9"/>
        <v>88.702219187540976</v>
      </c>
      <c r="D193" s="17">
        <f t="shared" si="11"/>
        <v>98.558021319489981</v>
      </c>
      <c r="E193" s="17">
        <f t="shared" si="10"/>
        <v>108.41382345143899</v>
      </c>
      <c r="F193" s="2">
        <v>98.427400000000006</v>
      </c>
      <c r="G193" s="2" t="str">
        <f t="shared" si="8"/>
        <v>Pass</v>
      </c>
      <c r="Y193" s="2">
        <v>178</v>
      </c>
      <c r="Z193" s="2">
        <v>0.28449999999999998</v>
      </c>
      <c r="AA193" s="2">
        <v>0.29930000000000001</v>
      </c>
      <c r="AB193" s="2">
        <v>100.9984</v>
      </c>
    </row>
    <row r="194" spans="2:28" x14ac:dyDescent="0.4">
      <c r="B194" s="11">
        <v>177</v>
      </c>
      <c r="C194" s="16">
        <f t="shared" si="9"/>
        <v>89.61009139078179</v>
      </c>
      <c r="D194" s="17">
        <f t="shared" si="11"/>
        <v>99.566768211979763</v>
      </c>
      <c r="E194" s="17">
        <f t="shared" si="10"/>
        <v>109.52344503317774</v>
      </c>
      <c r="F194" s="2">
        <v>99.561499999999995</v>
      </c>
      <c r="G194" s="2" t="str">
        <f t="shared" si="8"/>
        <v>Pass</v>
      </c>
      <c r="Y194" s="2">
        <v>179</v>
      </c>
      <c r="Z194" s="2">
        <v>0.2848</v>
      </c>
      <c r="AA194" s="2">
        <v>0.30030000000000001</v>
      </c>
      <c r="AB194" s="2">
        <v>102.15779999999999</v>
      </c>
    </row>
    <row r="195" spans="2:28" x14ac:dyDescent="0.4">
      <c r="B195" s="11">
        <v>178</v>
      </c>
      <c r="C195" s="16">
        <f t="shared" si="9"/>
        <v>90.52207010708635</v>
      </c>
      <c r="D195" s="17">
        <f t="shared" si="11"/>
        <v>100.58007789676262</v>
      </c>
      <c r="E195" s="17">
        <f t="shared" si="10"/>
        <v>110.63808568643888</v>
      </c>
      <c r="F195" s="2">
        <v>100.9984</v>
      </c>
      <c r="G195" s="2" t="str">
        <f t="shared" si="8"/>
        <v>Pass</v>
      </c>
      <c r="Y195" s="2">
        <v>180</v>
      </c>
      <c r="Z195" s="2">
        <v>0.28439999999999999</v>
      </c>
      <c r="AA195" s="2">
        <v>0.29949999999999999</v>
      </c>
      <c r="AB195" s="2">
        <v>102.1379</v>
      </c>
    </row>
    <row r="196" spans="2:28" x14ac:dyDescent="0.4">
      <c r="B196" s="11">
        <v>179</v>
      </c>
      <c r="C196" s="16">
        <f t="shared" si="9"/>
        <v>91.438150718854686</v>
      </c>
      <c r="D196" s="17">
        <f t="shared" si="11"/>
        <v>101.59794524317188</v>
      </c>
      <c r="E196" s="17">
        <f t="shared" si="10"/>
        <v>111.75773976748907</v>
      </c>
      <c r="F196" s="2">
        <v>102.15779999999999</v>
      </c>
      <c r="G196" s="2" t="str">
        <f t="shared" si="8"/>
        <v>Pass</v>
      </c>
      <c r="Y196" s="2">
        <v>181</v>
      </c>
      <c r="Z196" s="2">
        <v>0.28449999999999998</v>
      </c>
      <c r="AA196" s="2">
        <v>0.29959999999999998</v>
      </c>
      <c r="AB196" s="2">
        <v>103.3058</v>
      </c>
    </row>
    <row r="197" spans="2:28" x14ac:dyDescent="0.4">
      <c r="B197" s="11">
        <v>180</v>
      </c>
      <c r="C197" s="16">
        <f t="shared" si="9"/>
        <v>92.358328639466606</v>
      </c>
      <c r="D197" s="17">
        <f t="shared" si="11"/>
        <v>102.6203651549629</v>
      </c>
      <c r="E197" s="17">
        <f t="shared" si="10"/>
        <v>112.88240167045919</v>
      </c>
      <c r="F197" s="2">
        <v>102.1379</v>
      </c>
      <c r="G197" s="2" t="str">
        <f t="shared" si="8"/>
        <v>Pass</v>
      </c>
      <c r="Y197" s="2">
        <v>182</v>
      </c>
      <c r="Z197" s="2">
        <v>0.28460000000000002</v>
      </c>
      <c r="AA197" s="2">
        <v>0.29970000000000002</v>
      </c>
      <c r="AB197" s="2">
        <v>104.81950000000001</v>
      </c>
    </row>
    <row r="198" spans="2:28" x14ac:dyDescent="0.4">
      <c r="B198" s="11">
        <v>181</v>
      </c>
      <c r="C198" s="16">
        <f t="shared" si="9"/>
        <v>93.282599312902846</v>
      </c>
      <c r="D198" s="17">
        <f t="shared" si="11"/>
        <v>103.64733256989206</v>
      </c>
      <c r="E198" s="17">
        <f t="shared" si="10"/>
        <v>114.01206582688127</v>
      </c>
      <c r="F198" s="2">
        <v>103.3058</v>
      </c>
      <c r="G198" s="2" t="str">
        <f t="shared" si="8"/>
        <v>Pass</v>
      </c>
      <c r="Y198" s="2">
        <v>183</v>
      </c>
      <c r="Z198" s="2">
        <v>0.28360000000000002</v>
      </c>
      <c r="AA198" s="2">
        <v>0.29830000000000001</v>
      </c>
      <c r="AB198" s="2">
        <v>104.92319999999999</v>
      </c>
    </row>
    <row r="199" spans="2:28" x14ac:dyDescent="0.4">
      <c r="B199" s="11">
        <v>182</v>
      </c>
      <c r="C199" s="16">
        <f t="shared" si="9"/>
        <v>94.210958213372734</v>
      </c>
      <c r="D199" s="17">
        <f t="shared" si="11"/>
        <v>104.67884245930304</v>
      </c>
      <c r="E199" s="17">
        <f t="shared" si="10"/>
        <v>115.14672670523335</v>
      </c>
      <c r="F199" s="2">
        <v>104.81950000000001</v>
      </c>
      <c r="G199" s="2" t="str">
        <f t="shared" si="8"/>
        <v>Pass</v>
      </c>
      <c r="Y199" s="2">
        <v>184</v>
      </c>
      <c r="Z199" s="2">
        <v>0.2838</v>
      </c>
      <c r="AA199" s="2">
        <v>0.29859999999999998</v>
      </c>
      <c r="AB199" s="2">
        <v>106.5376</v>
      </c>
    </row>
    <row r="200" spans="2:28" x14ac:dyDescent="0.4">
      <c r="B200" s="11">
        <v>183</v>
      </c>
      <c r="C200" s="16">
        <f t="shared" si="9"/>
        <v>95.143400844948644</v>
      </c>
      <c r="D200" s="17">
        <f t="shared" si="11"/>
        <v>105.71488982772071</v>
      </c>
      <c r="E200" s="17">
        <f t="shared" si="10"/>
        <v>116.28637881049278</v>
      </c>
      <c r="F200" s="2">
        <v>104.92319999999999</v>
      </c>
      <c r="G200" s="2" t="str">
        <f t="shared" si="8"/>
        <v>Pass</v>
      </c>
      <c r="Y200" s="2">
        <v>185</v>
      </c>
      <c r="Z200" s="2">
        <v>0.28520000000000001</v>
      </c>
      <c r="AA200" s="2">
        <v>0.3</v>
      </c>
      <c r="AB200" s="2">
        <v>107.71939999999999</v>
      </c>
    </row>
    <row r="201" spans="2:28" x14ac:dyDescent="0.4">
      <c r="B201" s="11">
        <v>184</v>
      </c>
      <c r="C201" s="16">
        <f t="shared" si="9"/>
        <v>96.079922741206616</v>
      </c>
      <c r="D201" s="17">
        <f t="shared" si="11"/>
        <v>106.7554697124518</v>
      </c>
      <c r="E201" s="17">
        <f t="shared" si="10"/>
        <v>117.43101668369698</v>
      </c>
      <c r="F201" s="2">
        <v>106.5376</v>
      </c>
      <c r="G201" s="2" t="str">
        <f t="shared" si="8"/>
        <v>Pass</v>
      </c>
      <c r="Y201" s="2">
        <v>186</v>
      </c>
      <c r="Z201" s="2">
        <v>0.28539999999999999</v>
      </c>
      <c r="AA201" s="2">
        <v>0.30009999999999998</v>
      </c>
      <c r="AB201" s="2">
        <v>108.9156</v>
      </c>
    </row>
    <row r="202" spans="2:28" x14ac:dyDescent="0.4">
      <c r="B202" s="11">
        <v>185</v>
      </c>
      <c r="C202" s="16">
        <f t="shared" si="9"/>
        <v>97.02051946487336</v>
      </c>
      <c r="D202" s="17">
        <f t="shared" si="11"/>
        <v>107.80057718319263</v>
      </c>
      <c r="E202" s="17">
        <f t="shared" si="10"/>
        <v>118.5806349015119</v>
      </c>
      <c r="F202" s="2">
        <v>107.71939999999999</v>
      </c>
      <c r="G202" s="2" t="str">
        <f t="shared" si="8"/>
        <v>Pass</v>
      </c>
      <c r="Y202" s="2">
        <v>187</v>
      </c>
      <c r="Z202" s="2">
        <v>0.28439999999999999</v>
      </c>
      <c r="AA202" s="2">
        <v>0.29880000000000001</v>
      </c>
      <c r="AB202" s="2">
        <v>109.03149999999999</v>
      </c>
    </row>
    <row r="203" spans="2:28" x14ac:dyDescent="0.4">
      <c r="B203" s="11">
        <v>186</v>
      </c>
      <c r="C203" s="16">
        <f t="shared" si="9"/>
        <v>97.965186607479325</v>
      </c>
      <c r="D203" s="17">
        <f t="shared" si="11"/>
        <v>108.8502073416437</v>
      </c>
      <c r="E203" s="17">
        <f t="shared" si="10"/>
        <v>119.73522807580807</v>
      </c>
      <c r="F203" s="2">
        <v>108.9156</v>
      </c>
      <c r="G203" s="2" t="str">
        <f t="shared" si="8"/>
        <v>Pass</v>
      </c>
      <c r="Y203" s="2">
        <v>188</v>
      </c>
      <c r="Z203" s="2">
        <v>0.28449999999999998</v>
      </c>
      <c r="AA203" s="2">
        <v>0.2989</v>
      </c>
      <c r="AB203" s="2">
        <v>110.5727</v>
      </c>
    </row>
    <row r="204" spans="2:28" x14ac:dyDescent="0.4">
      <c r="B204" s="11">
        <v>187</v>
      </c>
      <c r="C204" s="16">
        <f t="shared" si="9"/>
        <v>98.913919789017768</v>
      </c>
      <c r="D204" s="17">
        <f t="shared" si="11"/>
        <v>109.90435532113085</v>
      </c>
      <c r="E204" s="17">
        <f t="shared" si="10"/>
        <v>120.89479085324393</v>
      </c>
      <c r="F204" s="2">
        <v>109.03149999999999</v>
      </c>
      <c r="G204" s="2" t="str">
        <f t="shared" si="8"/>
        <v>Pass</v>
      </c>
      <c r="Y204" s="2">
        <v>189</v>
      </c>
      <c r="Z204" s="2">
        <v>0.28460000000000002</v>
      </c>
      <c r="AA204" s="2">
        <v>0.29909999999999998</v>
      </c>
      <c r="AB204" s="2">
        <v>111.752</v>
      </c>
    </row>
    <row r="205" spans="2:28" x14ac:dyDescent="0.4">
      <c r="B205" s="11">
        <v>188</v>
      </c>
      <c r="C205" s="16">
        <f t="shared" si="9"/>
        <v>99.866714657609634</v>
      </c>
      <c r="D205" s="17">
        <f t="shared" si="11"/>
        <v>110.96301628623293</v>
      </c>
      <c r="E205" s="17">
        <f t="shared" si="10"/>
        <v>122.05931791485622</v>
      </c>
      <c r="F205" s="2">
        <v>110.5727</v>
      </c>
      <c r="G205" s="2" t="str">
        <f t="shared" si="8"/>
        <v>Pass</v>
      </c>
      <c r="Y205" s="2">
        <v>190</v>
      </c>
      <c r="Z205" s="2">
        <v>0.28439999999999999</v>
      </c>
      <c r="AA205" s="2">
        <v>0.29930000000000001</v>
      </c>
      <c r="AB205" s="2">
        <v>112.9187</v>
      </c>
    </row>
    <row r="206" spans="2:28" x14ac:dyDescent="0.4">
      <c r="B206" s="11">
        <v>189</v>
      </c>
      <c r="C206" s="16">
        <f t="shared" si="9"/>
        <v>100.82356688917426</v>
      </c>
      <c r="D206" s="17">
        <f t="shared" si="11"/>
        <v>112.02618543241584</v>
      </c>
      <c r="E206" s="17">
        <f t="shared" si="10"/>
        <v>123.22880397565743</v>
      </c>
      <c r="F206" s="2">
        <v>111.752</v>
      </c>
      <c r="G206" s="2" t="str">
        <f t="shared" si="8"/>
        <v>Pass</v>
      </c>
      <c r="Y206" s="2">
        <v>191</v>
      </c>
      <c r="Z206" s="2">
        <v>0.2848</v>
      </c>
      <c r="AA206" s="2">
        <v>0.29930000000000001</v>
      </c>
      <c r="AB206" s="2">
        <v>113.2688</v>
      </c>
    </row>
    <row r="207" spans="2:28" x14ac:dyDescent="0.4">
      <c r="B207" s="11">
        <v>190</v>
      </c>
      <c r="C207" s="16">
        <f t="shared" si="9"/>
        <v>101.78447218710535</v>
      </c>
      <c r="D207" s="17">
        <f t="shared" si="11"/>
        <v>113.09385798567261</v>
      </c>
      <c r="E207" s="17">
        <f t="shared" si="10"/>
        <v>124.40324378423988</v>
      </c>
      <c r="F207" s="2">
        <v>112.9187</v>
      </c>
      <c r="G207" s="2" t="str">
        <f t="shared" si="8"/>
        <v>Pass</v>
      </c>
      <c r="Y207" s="2">
        <v>192</v>
      </c>
      <c r="Z207" s="2">
        <v>0.28489999999999999</v>
      </c>
      <c r="AA207" s="2">
        <v>0.29930000000000001</v>
      </c>
      <c r="AB207" s="2">
        <v>114.6165</v>
      </c>
    </row>
    <row r="208" spans="2:28" x14ac:dyDescent="0.4">
      <c r="B208" s="11">
        <v>191</v>
      </c>
      <c r="C208" s="16">
        <f t="shared" si="9"/>
        <v>102.74942628195279</v>
      </c>
      <c r="D208" s="17">
        <f t="shared" si="11"/>
        <v>114.16602920216977</v>
      </c>
      <c r="E208" s="17">
        <f t="shared" si="10"/>
        <v>125.58263212238674</v>
      </c>
      <c r="F208" s="2">
        <v>113.2688</v>
      </c>
      <c r="G208" s="2" t="str">
        <f t="shared" si="8"/>
        <v>Pass</v>
      </c>
      <c r="Y208" s="2">
        <v>193</v>
      </c>
      <c r="Z208" s="2">
        <v>0.28470000000000001</v>
      </c>
      <c r="AA208" s="2">
        <v>0.29949999999999999</v>
      </c>
      <c r="AB208" s="2">
        <v>115.8335</v>
      </c>
    </row>
    <row r="209" spans="2:28" x14ac:dyDescent="0.4">
      <c r="B209" s="11">
        <v>192</v>
      </c>
      <c r="C209" s="16">
        <f t="shared" si="9"/>
        <v>103.71842493110964</v>
      </c>
      <c r="D209" s="17">
        <f t="shared" si="11"/>
        <v>115.2426943678996</v>
      </c>
      <c r="E209" s="17">
        <f t="shared" si="10"/>
        <v>126.76696380468957</v>
      </c>
      <c r="F209" s="2">
        <v>114.6165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0.2848</v>
      </c>
      <c r="AA209" s="2">
        <v>0.29959999999999998</v>
      </c>
      <c r="AB209" s="2">
        <v>117.0994</v>
      </c>
    </row>
    <row r="210" spans="2:28" x14ac:dyDescent="0.4">
      <c r="B210" s="11">
        <v>193</v>
      </c>
      <c r="C210" s="16">
        <f t="shared" ref="C210:C272" si="13">D210-D210*(C$14/100)</f>
        <v>104.69146391850411</v>
      </c>
      <c r="D210" s="17">
        <f t="shared" si="11"/>
        <v>116.32384879833791</v>
      </c>
      <c r="E210" s="17">
        <f t="shared" ref="E210:E272" si="14">D210+D210*(C$14/100)</f>
        <v>127.9562336781717</v>
      </c>
      <c r="F210" s="2">
        <v>115.8335</v>
      </c>
      <c r="G210" s="2" t="str">
        <f t="shared" si="12"/>
        <v>Pass</v>
      </c>
      <c r="Y210" s="2">
        <v>195</v>
      </c>
      <c r="Z210" s="2">
        <v>0.28439999999999999</v>
      </c>
      <c r="AA210" s="2">
        <v>0.29799999999999999</v>
      </c>
      <c r="AB210" s="2">
        <v>117.5521</v>
      </c>
    </row>
    <row r="211" spans="2:28" x14ac:dyDescent="0.4">
      <c r="B211" s="11">
        <v>194</v>
      </c>
      <c r="C211" s="16">
        <f t="shared" si="13"/>
        <v>105.66853905429714</v>
      </c>
      <c r="D211" s="17">
        <f t="shared" ref="D211:D271" si="15">D$272*((B211+F$17)/B$272)^C$13</f>
        <v>117.40948783810794</v>
      </c>
      <c r="E211" s="17">
        <f t="shared" si="14"/>
        <v>129.15043662191874</v>
      </c>
      <c r="F211" s="2">
        <v>117.0994</v>
      </c>
      <c r="G211" s="2" t="str">
        <f t="shared" si="12"/>
        <v>Pass</v>
      </c>
      <c r="Y211" s="2">
        <v>196</v>
      </c>
      <c r="Z211" s="2">
        <v>0.2843</v>
      </c>
      <c r="AA211" s="2">
        <v>0.29820000000000002</v>
      </c>
      <c r="AB211" s="2">
        <v>118.8034</v>
      </c>
    </row>
    <row r="212" spans="2:28" x14ac:dyDescent="0.4">
      <c r="B212" s="11">
        <v>195</v>
      </c>
      <c r="C212" s="16">
        <f t="shared" si="13"/>
        <v>106.64964617458462</v>
      </c>
      <c r="D212" s="17">
        <f t="shared" si="15"/>
        <v>118.49960686064958</v>
      </c>
      <c r="E212" s="17">
        <f t="shared" si="14"/>
        <v>130.34956754671452</v>
      </c>
      <c r="F212" s="2">
        <v>117.5521</v>
      </c>
      <c r="G212" s="2" t="str">
        <f t="shared" si="12"/>
        <v>Pass</v>
      </c>
      <c r="Y212" s="2">
        <v>197</v>
      </c>
      <c r="Z212" s="2">
        <v>0.2843</v>
      </c>
      <c r="AA212" s="2">
        <v>0.2984</v>
      </c>
      <c r="AB212" s="2">
        <v>120.0457</v>
      </c>
    </row>
    <row r="213" spans="2:28" x14ac:dyDescent="0.4">
      <c r="B213" s="11">
        <v>196</v>
      </c>
      <c r="C213" s="16">
        <f t="shared" si="13"/>
        <v>107.63478114110444</v>
      </c>
      <c r="D213" s="17">
        <f t="shared" si="15"/>
        <v>119.59420126789382</v>
      </c>
      <c r="E213" s="17">
        <f t="shared" si="14"/>
        <v>131.5536213946832</v>
      </c>
      <c r="F213" s="2">
        <v>118.8034</v>
      </c>
      <c r="G213" s="2" t="str">
        <f t="shared" si="12"/>
        <v>Pass</v>
      </c>
      <c r="Y213" s="2">
        <v>198</v>
      </c>
      <c r="Z213" s="2">
        <v>0.28460000000000002</v>
      </c>
      <c r="AA213" s="2">
        <v>0.2984</v>
      </c>
      <c r="AB213" s="2">
        <v>121.6772</v>
      </c>
    </row>
    <row r="214" spans="2:28" x14ac:dyDescent="0.4">
      <c r="B214" s="11">
        <v>197</v>
      </c>
      <c r="C214" s="16">
        <f t="shared" si="13"/>
        <v>108.62393984094865</v>
      </c>
      <c r="D214" s="17">
        <f t="shared" si="15"/>
        <v>120.69326648994294</v>
      </c>
      <c r="E214" s="17">
        <f t="shared" si="14"/>
        <v>132.76259313893723</v>
      </c>
      <c r="F214" s="2">
        <v>120.0457</v>
      </c>
      <c r="G214" s="2" t="str">
        <f t="shared" si="12"/>
        <v>Pass</v>
      </c>
      <c r="Y214" s="2">
        <v>199</v>
      </c>
      <c r="Z214" s="2">
        <v>0.28449999999999998</v>
      </c>
      <c r="AA214" s="2">
        <v>0.2984</v>
      </c>
      <c r="AB214" s="2">
        <v>121.6707</v>
      </c>
    </row>
    <row r="215" spans="2:28" x14ac:dyDescent="0.4">
      <c r="B215" s="11">
        <v>198</v>
      </c>
      <c r="C215" s="16">
        <f t="shared" si="13"/>
        <v>109.61711818628008</v>
      </c>
      <c r="D215" s="17">
        <f t="shared" si="15"/>
        <v>121.79679798475564</v>
      </c>
      <c r="E215" s="17">
        <f t="shared" si="14"/>
        <v>133.97647778323122</v>
      </c>
      <c r="F215" s="2">
        <v>121.6772</v>
      </c>
      <c r="G215" s="2" t="str">
        <f t="shared" si="12"/>
        <v>Pass</v>
      </c>
      <c r="Y215" s="2">
        <v>200</v>
      </c>
      <c r="Z215" s="2">
        <v>0.28470000000000001</v>
      </c>
      <c r="AA215" s="2">
        <v>0.29849999999999999</v>
      </c>
      <c r="AB215" s="2">
        <v>122.9092</v>
      </c>
    </row>
    <row r="216" spans="2:28" x14ac:dyDescent="0.4">
      <c r="B216" s="11">
        <v>199</v>
      </c>
      <c r="C216" s="16">
        <f t="shared" si="13"/>
        <v>110.61431211405345</v>
      </c>
      <c r="D216" s="17">
        <f t="shared" si="15"/>
        <v>122.90479123783716</v>
      </c>
      <c r="E216" s="17">
        <f t="shared" si="14"/>
        <v>135.19527036162089</v>
      </c>
      <c r="F216" s="2">
        <v>121.6707</v>
      </c>
      <c r="G216" s="2" t="str">
        <f t="shared" si="12"/>
        <v>Pass</v>
      </c>
      <c r="Y216" s="2">
        <v>201</v>
      </c>
      <c r="Z216" s="2">
        <v>0.2848</v>
      </c>
      <c r="AA216" s="2">
        <v>0.29859999999999998</v>
      </c>
      <c r="AB216" s="2">
        <v>124.56059999999999</v>
      </c>
    </row>
    <row r="217" spans="2:28" x14ac:dyDescent="0.4">
      <c r="B217" s="11">
        <v>200</v>
      </c>
      <c r="C217" s="16">
        <f t="shared" si="13"/>
        <v>111.61551758574129</v>
      </c>
      <c r="D217" s="17">
        <f t="shared" si="15"/>
        <v>124.01724176193477</v>
      </c>
      <c r="E217" s="17">
        <f t="shared" si="14"/>
        <v>136.41896593812825</v>
      </c>
      <c r="F217" s="2">
        <v>122.9092</v>
      </c>
      <c r="G217" s="2" t="str">
        <f t="shared" si="12"/>
        <v>Pass</v>
      </c>
      <c r="Y217" s="2">
        <v>202</v>
      </c>
      <c r="Z217" s="2">
        <v>0.28389999999999999</v>
      </c>
      <c r="AA217" s="2">
        <v>0.29809999999999998</v>
      </c>
      <c r="AB217" s="2">
        <v>125.3969</v>
      </c>
    </row>
    <row r="218" spans="2:28" x14ac:dyDescent="0.4">
      <c r="B218" s="11">
        <v>201</v>
      </c>
      <c r="C218" s="16">
        <f t="shared" si="13"/>
        <v>112.62073058706389</v>
      </c>
      <c r="D218" s="17">
        <f t="shared" si="15"/>
        <v>125.13414509673765</v>
      </c>
      <c r="E218" s="17">
        <f t="shared" si="14"/>
        <v>137.64755960641142</v>
      </c>
      <c r="F218" s="2">
        <v>124.56059999999999</v>
      </c>
      <c r="G218" s="2" t="str">
        <f t="shared" si="12"/>
        <v>Pass</v>
      </c>
      <c r="Y218" s="2">
        <v>203</v>
      </c>
      <c r="Z218" s="2">
        <v>0.28389999999999999</v>
      </c>
      <c r="AA218" s="2">
        <v>0.29730000000000001</v>
      </c>
      <c r="AB218" s="2">
        <v>125.8443</v>
      </c>
    </row>
    <row r="219" spans="2:28" x14ac:dyDescent="0.4">
      <c r="B219" s="11">
        <v>202</v>
      </c>
      <c r="C219" s="16">
        <f t="shared" si="13"/>
        <v>113.62994712772384</v>
      </c>
      <c r="D219" s="17">
        <f t="shared" si="15"/>
        <v>126.25549680858204</v>
      </c>
      <c r="E219" s="17">
        <f t="shared" si="14"/>
        <v>138.88104648944025</v>
      </c>
      <c r="F219" s="2">
        <v>125.3969</v>
      </c>
      <c r="G219" s="2" t="str">
        <f t="shared" si="12"/>
        <v>Pass</v>
      </c>
      <c r="Y219" s="2">
        <v>204</v>
      </c>
      <c r="Z219" s="2">
        <v>0.28399999999999997</v>
      </c>
      <c r="AA219" s="2">
        <v>0.29749999999999999</v>
      </c>
      <c r="AB219" s="2">
        <v>127.5605</v>
      </c>
    </row>
    <row r="220" spans="2:28" x14ac:dyDescent="0.4">
      <c r="B220" s="11">
        <v>203</v>
      </c>
      <c r="C220" s="16">
        <f t="shared" si="13"/>
        <v>114.64316324114455</v>
      </c>
      <c r="D220" s="17">
        <f t="shared" si="15"/>
        <v>127.38129249016062</v>
      </c>
      <c r="E220" s="17">
        <f t="shared" si="14"/>
        <v>140.11942173917669</v>
      </c>
      <c r="F220" s="2">
        <v>125.8443</v>
      </c>
      <c r="G220" s="2" t="str">
        <f t="shared" si="12"/>
        <v>Pass</v>
      </c>
      <c r="Y220" s="2">
        <v>205</v>
      </c>
      <c r="Z220" s="2">
        <v>0.2838</v>
      </c>
      <c r="AA220" s="2">
        <v>0.29759999999999998</v>
      </c>
      <c r="AB220" s="2">
        <v>128.80250000000001</v>
      </c>
    </row>
    <row r="221" spans="2:28" x14ac:dyDescent="0.4">
      <c r="B221" s="11">
        <v>204</v>
      </c>
      <c r="C221" s="16">
        <f t="shared" si="13"/>
        <v>115.66037498421314</v>
      </c>
      <c r="D221" s="17">
        <f t="shared" si="15"/>
        <v>128.51152776023682</v>
      </c>
      <c r="E221" s="17">
        <f t="shared" si="14"/>
        <v>141.36268053626048</v>
      </c>
      <c r="F221" s="2">
        <v>127.5605</v>
      </c>
      <c r="G221" s="2" t="str">
        <f t="shared" si="12"/>
        <v>Pass</v>
      </c>
      <c r="Y221" s="2">
        <v>206</v>
      </c>
      <c r="Z221" s="2">
        <v>0.28389999999999999</v>
      </c>
      <c r="AA221" s="2">
        <v>0.29749999999999999</v>
      </c>
      <c r="AB221" s="2">
        <v>130.10919999999999</v>
      </c>
    </row>
    <row r="222" spans="2:28" x14ac:dyDescent="0.4">
      <c r="B222" s="11">
        <v>205</v>
      </c>
      <c r="C222" s="16">
        <f t="shared" si="13"/>
        <v>116.68157843702711</v>
      </c>
      <c r="D222" s="17">
        <f t="shared" si="15"/>
        <v>129.64619826336346</v>
      </c>
      <c r="E222" s="17">
        <f t="shared" si="14"/>
        <v>142.61081808969982</v>
      </c>
      <c r="F222" s="2">
        <v>128.80250000000001</v>
      </c>
      <c r="G222" s="2" t="str">
        <f t="shared" si="12"/>
        <v>Pass</v>
      </c>
      <c r="Y222" s="2">
        <v>207</v>
      </c>
      <c r="Z222" s="2">
        <v>0.28410000000000002</v>
      </c>
      <c r="AA222" s="2">
        <v>0.29730000000000001</v>
      </c>
      <c r="AB222" s="2">
        <v>130.5119</v>
      </c>
    </row>
    <row r="223" spans="2:28" x14ac:dyDescent="0.4">
      <c r="B223" s="11">
        <v>206</v>
      </c>
      <c r="C223" s="16">
        <f t="shared" si="13"/>
        <v>117.70676970264509</v>
      </c>
      <c r="D223" s="17">
        <f t="shared" si="15"/>
        <v>130.78529966960565</v>
      </c>
      <c r="E223" s="17">
        <f t="shared" si="14"/>
        <v>143.86382963656621</v>
      </c>
      <c r="F223" s="2">
        <v>130.10919999999999</v>
      </c>
      <c r="G223" s="2" t="str">
        <f t="shared" si="12"/>
        <v>Pass</v>
      </c>
      <c r="Y223" s="2">
        <v>208</v>
      </c>
      <c r="Z223" s="2">
        <v>0.28410000000000002</v>
      </c>
      <c r="AA223" s="2">
        <v>0.29720000000000002</v>
      </c>
      <c r="AB223" s="2">
        <v>131.87090000000001</v>
      </c>
    </row>
    <row r="224" spans="2:28" x14ac:dyDescent="0.4">
      <c r="B224" s="11">
        <v>207</v>
      </c>
      <c r="C224" s="16">
        <f t="shared" si="13"/>
        <v>118.73594490684151</v>
      </c>
      <c r="D224" s="17">
        <f t="shared" si="15"/>
        <v>131.92882767426835</v>
      </c>
      <c r="E224" s="17">
        <f t="shared" si="14"/>
        <v>145.12171044169517</v>
      </c>
      <c r="F224" s="2">
        <v>130.5119</v>
      </c>
      <c r="G224" s="2" t="str">
        <f t="shared" si="12"/>
        <v>Pass</v>
      </c>
      <c r="Y224" s="2">
        <v>209</v>
      </c>
      <c r="Z224" s="2">
        <v>0.28389999999999999</v>
      </c>
      <c r="AA224" s="2">
        <v>0.29749999999999999</v>
      </c>
      <c r="AB224" s="2">
        <v>133.26499999999999</v>
      </c>
    </row>
    <row r="225" spans="2:28" x14ac:dyDescent="0.4">
      <c r="B225" s="11">
        <v>208</v>
      </c>
      <c r="C225" s="16">
        <f t="shared" si="13"/>
        <v>119.76910019786507</v>
      </c>
      <c r="D225" s="17">
        <f t="shared" si="15"/>
        <v>133.07677799762786</v>
      </c>
      <c r="E225" s="17">
        <f t="shared" si="14"/>
        <v>146.38445579739064</v>
      </c>
      <c r="F225" s="2">
        <v>131.87090000000001</v>
      </c>
      <c r="G225" s="2" t="str">
        <f t="shared" si="12"/>
        <v>Pass</v>
      </c>
      <c r="Y225" s="2">
        <v>210</v>
      </c>
      <c r="Z225" s="2">
        <v>0.28410000000000002</v>
      </c>
      <c r="AA225" s="2">
        <v>0.29770000000000002</v>
      </c>
      <c r="AB225" s="2">
        <v>134.5746</v>
      </c>
    </row>
    <row r="226" spans="2:28" x14ac:dyDescent="0.4">
      <c r="B226" s="11">
        <v>209</v>
      </c>
      <c r="C226" s="16">
        <f t="shared" si="13"/>
        <v>120.80623174620065</v>
      </c>
      <c r="D226" s="17">
        <f t="shared" si="15"/>
        <v>134.22914638466739</v>
      </c>
      <c r="E226" s="17">
        <f t="shared" si="14"/>
        <v>147.65206102313414</v>
      </c>
      <c r="F226" s="2">
        <v>133.26499999999999</v>
      </c>
      <c r="G226" s="2" t="str">
        <f t="shared" si="12"/>
        <v>Pass</v>
      </c>
      <c r="Y226" s="2">
        <v>211</v>
      </c>
      <c r="Z226" s="2">
        <v>0.28420000000000001</v>
      </c>
      <c r="AA226" s="2">
        <v>0.29780000000000001</v>
      </c>
      <c r="AB226" s="2">
        <v>136.3074</v>
      </c>
    </row>
    <row r="227" spans="2:28" x14ac:dyDescent="0.4">
      <c r="B227" s="11">
        <v>210</v>
      </c>
      <c r="C227" s="16">
        <f t="shared" si="13"/>
        <v>121.84733574433533</v>
      </c>
      <c r="D227" s="17">
        <f t="shared" si="15"/>
        <v>135.38592860481702</v>
      </c>
      <c r="E227" s="17">
        <f t="shared" si="14"/>
        <v>148.92452146529874</v>
      </c>
      <c r="F227" s="2">
        <v>134.5746</v>
      </c>
      <c r="G227" s="2" t="str">
        <f t="shared" si="12"/>
        <v>Pass</v>
      </c>
      <c r="Y227" s="2">
        <v>212</v>
      </c>
      <c r="Z227" s="2">
        <v>0.28320000000000001</v>
      </c>
      <c r="AA227" s="2">
        <v>0.29659999999999997</v>
      </c>
      <c r="AB227" s="2">
        <v>136.40950000000001</v>
      </c>
    </row>
    <row r="228" spans="2:28" x14ac:dyDescent="0.4">
      <c r="B228" s="11">
        <v>211</v>
      </c>
      <c r="C228" s="16">
        <f t="shared" si="13"/>
        <v>122.89240840652768</v>
      </c>
      <c r="D228" s="17">
        <f t="shared" si="15"/>
        <v>136.54712045169742</v>
      </c>
      <c r="E228" s="17">
        <f t="shared" si="14"/>
        <v>150.20183249686715</v>
      </c>
      <c r="F228" s="2">
        <v>136.3074</v>
      </c>
      <c r="G228" s="2" t="str">
        <f t="shared" si="12"/>
        <v>Pass</v>
      </c>
      <c r="Y228" s="2">
        <v>213</v>
      </c>
      <c r="Z228" s="2">
        <v>0.28270000000000001</v>
      </c>
      <c r="AA228" s="2">
        <v>0.2954</v>
      </c>
      <c r="AB228" s="2">
        <v>138.23140000000001</v>
      </c>
    </row>
    <row r="229" spans="2:28" x14ac:dyDescent="0.4">
      <c r="B229" s="11">
        <v>212</v>
      </c>
      <c r="C229" s="16">
        <f t="shared" si="13"/>
        <v>123.9414459685805</v>
      </c>
      <c r="D229" s="17">
        <f t="shared" si="15"/>
        <v>137.71271774286723</v>
      </c>
      <c r="E229" s="17">
        <f t="shared" si="14"/>
        <v>151.48398951715396</v>
      </c>
      <c r="F229" s="2">
        <v>136.40950000000001</v>
      </c>
      <c r="G229" s="2" t="str">
        <f t="shared" si="12"/>
        <v>Pass</v>
      </c>
      <c r="Y229" s="2">
        <v>214</v>
      </c>
      <c r="Z229" s="2">
        <v>0.2828</v>
      </c>
      <c r="AA229" s="2">
        <v>0.29549999999999998</v>
      </c>
      <c r="AB229" s="2">
        <v>139.54990000000001</v>
      </c>
    </row>
    <row r="230" spans="2:28" x14ac:dyDescent="0.4">
      <c r="B230" s="11">
        <v>213</v>
      </c>
      <c r="C230" s="16">
        <f t="shared" si="13"/>
        <v>124.99444468761722</v>
      </c>
      <c r="D230" s="17">
        <f t="shared" si="15"/>
        <v>138.88271631957468</v>
      </c>
      <c r="E230" s="17">
        <f t="shared" si="14"/>
        <v>152.77098795153216</v>
      </c>
      <c r="F230" s="2">
        <v>138.23140000000001</v>
      </c>
      <c r="G230" s="2" t="str">
        <f t="shared" si="12"/>
        <v>Pass</v>
      </c>
      <c r="Y230" s="2">
        <v>215</v>
      </c>
      <c r="Z230" s="2">
        <v>0.28260000000000002</v>
      </c>
      <c r="AA230" s="2">
        <v>0.29559999999999997</v>
      </c>
      <c r="AB230" s="2">
        <v>140.8912</v>
      </c>
    </row>
    <row r="231" spans="2:28" x14ac:dyDescent="0.4">
      <c r="B231" s="11">
        <v>214</v>
      </c>
      <c r="C231" s="16">
        <f t="shared" si="13"/>
        <v>126.05140084186149</v>
      </c>
      <c r="D231" s="17">
        <f t="shared" si="15"/>
        <v>140.05711204651277</v>
      </c>
      <c r="E231" s="17">
        <f t="shared" si="14"/>
        <v>154.06282325116405</v>
      </c>
      <c r="F231" s="2">
        <v>139.54990000000001</v>
      </c>
      <c r="G231" s="2" t="str">
        <f t="shared" si="12"/>
        <v>Pass</v>
      </c>
      <c r="Y231" s="2">
        <v>216</v>
      </c>
      <c r="Z231" s="2">
        <v>0.28289999999999998</v>
      </c>
      <c r="AA231" s="2">
        <v>0.29549999999999998</v>
      </c>
      <c r="AB231" s="2">
        <v>140.89019999999999</v>
      </c>
    </row>
    <row r="232" spans="2:28" x14ac:dyDescent="0.4">
      <c r="B232" s="11">
        <v>215</v>
      </c>
      <c r="C232" s="16">
        <f t="shared" si="13"/>
        <v>127.11231073042012</v>
      </c>
      <c r="D232" s="17">
        <f t="shared" si="15"/>
        <v>141.23590081157792</v>
      </c>
      <c r="E232" s="17">
        <f t="shared" si="14"/>
        <v>155.35949089273572</v>
      </c>
      <c r="F232" s="2">
        <v>140.8912</v>
      </c>
      <c r="G232" s="2" t="str">
        <f t="shared" si="12"/>
        <v>Pass</v>
      </c>
      <c r="Y232" s="2">
        <v>217</v>
      </c>
      <c r="Z232" s="2">
        <v>0.28299999999999997</v>
      </c>
      <c r="AA232" s="2">
        <v>0.29559999999999997</v>
      </c>
      <c r="AB232" s="2">
        <v>142.63509999999999</v>
      </c>
    </row>
    <row r="233" spans="2:28" x14ac:dyDescent="0.4">
      <c r="B233" s="11">
        <v>216</v>
      </c>
      <c r="C233" s="16">
        <f t="shared" si="13"/>
        <v>128.17717067306936</v>
      </c>
      <c r="D233" s="17">
        <f t="shared" si="15"/>
        <v>142.41907852563261</v>
      </c>
      <c r="E233" s="17">
        <f t="shared" si="14"/>
        <v>156.66098637819587</v>
      </c>
      <c r="F233" s="2">
        <v>140.89019999999999</v>
      </c>
      <c r="G233" s="2" t="str">
        <f t="shared" si="12"/>
        <v>Pass</v>
      </c>
      <c r="Y233" s="2">
        <v>218</v>
      </c>
      <c r="Z233" s="2">
        <v>0.2828</v>
      </c>
      <c r="AA233" s="2">
        <v>0.2959</v>
      </c>
      <c r="AB233" s="2">
        <v>144.12379999999999</v>
      </c>
    </row>
    <row r="234" spans="2:28" x14ac:dyDescent="0.4">
      <c r="B234" s="11">
        <v>217</v>
      </c>
      <c r="C234" s="16">
        <f t="shared" si="13"/>
        <v>129.24597701004393</v>
      </c>
      <c r="D234" s="17">
        <f t="shared" si="15"/>
        <v>143.60664112227104</v>
      </c>
      <c r="E234" s="17">
        <f t="shared" si="14"/>
        <v>157.96730523449816</v>
      </c>
      <c r="F234" s="2">
        <v>142.63509999999999</v>
      </c>
      <c r="G234" s="2" t="str">
        <f t="shared" si="12"/>
        <v>Pass</v>
      </c>
      <c r="Y234" s="2">
        <v>219</v>
      </c>
      <c r="Z234" s="2">
        <v>0.28299999999999997</v>
      </c>
      <c r="AA234" s="2">
        <v>0.29620000000000002</v>
      </c>
      <c r="AB234" s="2">
        <v>145.49109999999999</v>
      </c>
    </row>
    <row r="235" spans="2:28" x14ac:dyDescent="0.4">
      <c r="B235" s="11">
        <v>218</v>
      </c>
      <c r="C235" s="16">
        <f t="shared" si="13"/>
        <v>130.31872610182992</v>
      </c>
      <c r="D235" s="17">
        <f t="shared" si="15"/>
        <v>144.79858455758881</v>
      </c>
      <c r="E235" s="17">
        <f t="shared" si="14"/>
        <v>159.2784430133477</v>
      </c>
      <c r="F235" s="2">
        <v>144.12379999999999</v>
      </c>
      <c r="G235" s="2" t="str">
        <f t="shared" si="12"/>
        <v>Pass</v>
      </c>
      <c r="Y235" s="2">
        <v>220</v>
      </c>
      <c r="Z235" s="2">
        <v>0.2828</v>
      </c>
      <c r="AA235" s="2">
        <v>0.29499999999999998</v>
      </c>
      <c r="AB235" s="2">
        <v>145.8536</v>
      </c>
    </row>
    <row r="236" spans="2:28" x14ac:dyDescent="0.4">
      <c r="B236" s="11">
        <v>219</v>
      </c>
      <c r="C236" s="16">
        <f t="shared" si="13"/>
        <v>131.39541432895999</v>
      </c>
      <c r="D236" s="17">
        <f t="shared" si="15"/>
        <v>145.99490480995556</v>
      </c>
      <c r="E236" s="17">
        <f t="shared" si="14"/>
        <v>160.59439529095113</v>
      </c>
      <c r="F236" s="2">
        <v>145.49109999999999</v>
      </c>
      <c r="G236" s="2" t="str">
        <f t="shared" si="12"/>
        <v>Pass</v>
      </c>
      <c r="Y236" s="2">
        <v>221</v>
      </c>
      <c r="Z236" s="2">
        <v>0.28239999999999998</v>
      </c>
      <c r="AA236" s="2">
        <v>0.29530000000000001</v>
      </c>
      <c r="AB236" s="2">
        <v>147.3657</v>
      </c>
    </row>
    <row r="237" spans="2:28" x14ac:dyDescent="0.4">
      <c r="B237" s="11">
        <v>220</v>
      </c>
      <c r="C237" s="16">
        <f t="shared" si="13"/>
        <v>132.47603809181192</v>
      </c>
      <c r="D237" s="17">
        <f t="shared" si="15"/>
        <v>147.19559787979102</v>
      </c>
      <c r="E237" s="17">
        <f t="shared" si="14"/>
        <v>161.91515766777013</v>
      </c>
      <c r="F237" s="2">
        <v>145.8536</v>
      </c>
      <c r="G237" s="2" t="str">
        <f t="shared" si="12"/>
        <v>Pass</v>
      </c>
      <c r="Y237" s="2">
        <v>222</v>
      </c>
      <c r="Z237" s="2">
        <v>0.28239999999999998</v>
      </c>
      <c r="AA237" s="2">
        <v>0.2954</v>
      </c>
      <c r="AB237" s="2">
        <v>148.75569999999999</v>
      </c>
    </row>
    <row r="238" spans="2:28" x14ac:dyDescent="0.4">
      <c r="B238" s="11">
        <v>221</v>
      </c>
      <c r="C238" s="16">
        <f t="shared" si="13"/>
        <v>133.56059381041001</v>
      </c>
      <c r="D238" s="17">
        <f t="shared" si="15"/>
        <v>148.40065978934445</v>
      </c>
      <c r="E238" s="17">
        <f t="shared" si="14"/>
        <v>163.24072576827888</v>
      </c>
      <c r="F238" s="2">
        <v>147.3657</v>
      </c>
      <c r="G238" s="2" t="str">
        <f t="shared" si="12"/>
        <v>Pass</v>
      </c>
      <c r="Y238" s="2">
        <v>223</v>
      </c>
      <c r="Z238" s="2">
        <v>0.28249999999999997</v>
      </c>
      <c r="AA238" s="2">
        <v>0.2954</v>
      </c>
      <c r="AB238" s="2">
        <v>150.54849999999999</v>
      </c>
    </row>
    <row r="239" spans="2:28" x14ac:dyDescent="0.4">
      <c r="B239" s="11">
        <v>222</v>
      </c>
      <c r="C239" s="16">
        <f t="shared" si="13"/>
        <v>134.64907792422949</v>
      </c>
      <c r="D239" s="17">
        <f t="shared" si="15"/>
        <v>149.61008658247721</v>
      </c>
      <c r="E239" s="17">
        <f t="shared" si="14"/>
        <v>164.57109524072493</v>
      </c>
      <c r="F239" s="2">
        <v>148.75569999999999</v>
      </c>
      <c r="G239" s="2" t="str">
        <f t="shared" si="12"/>
        <v>Pass</v>
      </c>
      <c r="Y239" s="2">
        <v>224</v>
      </c>
      <c r="Z239" s="2">
        <v>0.28220000000000001</v>
      </c>
      <c r="AA239" s="2">
        <v>0.29559999999999997</v>
      </c>
      <c r="AB239" s="2">
        <v>151.5487</v>
      </c>
    </row>
    <row r="240" spans="2:28" x14ac:dyDescent="0.4">
      <c r="B240" s="11">
        <v>223</v>
      </c>
      <c r="C240" s="16">
        <f t="shared" si="13"/>
        <v>135.74148689200354</v>
      </c>
      <c r="D240" s="17">
        <f t="shared" si="15"/>
        <v>150.82387432444838</v>
      </c>
      <c r="E240" s="17">
        <f t="shared" si="14"/>
        <v>165.90626175689323</v>
      </c>
      <c r="F240" s="2">
        <v>150.54849999999999</v>
      </c>
      <c r="G240" s="2" t="str">
        <f t="shared" si="12"/>
        <v>Pass</v>
      </c>
      <c r="Y240" s="2">
        <v>225</v>
      </c>
      <c r="Z240" s="2">
        <v>0.28179999999999999</v>
      </c>
      <c r="AA240" s="2">
        <v>0.29420000000000002</v>
      </c>
      <c r="AB240" s="2">
        <v>152.0429</v>
      </c>
    </row>
    <row r="241" spans="2:28" x14ac:dyDescent="0.4">
      <c r="B241" s="11">
        <v>224</v>
      </c>
      <c r="C241" s="16">
        <f t="shared" si="13"/>
        <v>136.8378171915333</v>
      </c>
      <c r="D241" s="17">
        <f t="shared" si="15"/>
        <v>152.04201910170366</v>
      </c>
      <c r="E241" s="17">
        <f t="shared" si="14"/>
        <v>167.24622101187401</v>
      </c>
      <c r="F241" s="2">
        <v>151.5487</v>
      </c>
      <c r="G241" s="2" t="str">
        <f t="shared" si="12"/>
        <v>Pass</v>
      </c>
      <c r="Y241" s="2">
        <v>226</v>
      </c>
      <c r="Z241" s="2">
        <v>0.28199999999999997</v>
      </c>
      <c r="AA241" s="2">
        <v>0.29430000000000001</v>
      </c>
      <c r="AB241" s="2">
        <v>153.8443</v>
      </c>
    </row>
    <row r="242" spans="2:28" x14ac:dyDescent="0.4">
      <c r="B242" s="11">
        <v>225</v>
      </c>
      <c r="C242" s="16">
        <f t="shared" si="13"/>
        <v>137.93806531950023</v>
      </c>
      <c r="D242" s="17">
        <f t="shared" si="15"/>
        <v>153.2645170216669</v>
      </c>
      <c r="E242" s="17">
        <f t="shared" si="14"/>
        <v>168.59096872383358</v>
      </c>
      <c r="F242" s="2">
        <v>152.0429</v>
      </c>
      <c r="G242" s="2" t="str">
        <f t="shared" si="12"/>
        <v>Pass</v>
      </c>
      <c r="Y242" s="2">
        <v>227</v>
      </c>
      <c r="Z242" s="2">
        <v>0.28239999999999998</v>
      </c>
      <c r="AA242" s="2">
        <v>0.29580000000000001</v>
      </c>
      <c r="AB242" s="2">
        <v>154.82560000000001</v>
      </c>
    </row>
    <row r="243" spans="2:28" x14ac:dyDescent="0.4">
      <c r="B243" s="11">
        <v>226</v>
      </c>
      <c r="C243" s="16">
        <f t="shared" si="13"/>
        <v>139.04222779128165</v>
      </c>
      <c r="D243" s="17">
        <f t="shared" si="15"/>
        <v>154.49136421253516</v>
      </c>
      <c r="E243" s="17">
        <f t="shared" si="14"/>
        <v>169.94050063378867</v>
      </c>
      <c r="F243" s="2">
        <v>153.8443</v>
      </c>
      <c r="G243" s="2" t="str">
        <f t="shared" si="12"/>
        <v>Pass</v>
      </c>
      <c r="Y243" s="2">
        <v>228</v>
      </c>
      <c r="Z243" s="2">
        <v>0.2828</v>
      </c>
      <c r="AA243" s="2">
        <v>0.29649999999999999</v>
      </c>
      <c r="AB243" s="2">
        <v>156.16229999999999</v>
      </c>
    </row>
    <row r="244" spans="2:28" x14ac:dyDescent="0.4">
      <c r="B244" s="11">
        <v>227</v>
      </c>
      <c r="C244" s="16">
        <f t="shared" si="13"/>
        <v>140.15030114076856</v>
      </c>
      <c r="D244" s="17">
        <f t="shared" si="15"/>
        <v>155.72255682307619</v>
      </c>
      <c r="E244" s="17">
        <f t="shared" si="14"/>
        <v>171.29481250538382</v>
      </c>
      <c r="F244" s="2">
        <v>154.82560000000001</v>
      </c>
      <c r="G244" s="2" t="str">
        <f t="shared" si="12"/>
        <v>Pass</v>
      </c>
      <c r="Y244" s="2">
        <v>229</v>
      </c>
      <c r="Z244" s="2">
        <v>0.28289999999999998</v>
      </c>
      <c r="AA244" s="2">
        <v>0.29659999999999997</v>
      </c>
      <c r="AB244" s="2">
        <v>158.06389999999999</v>
      </c>
    </row>
    <row r="245" spans="2:28" x14ac:dyDescent="0.4">
      <c r="B245" s="11">
        <v>228</v>
      </c>
      <c r="C245" s="16">
        <f t="shared" si="13"/>
        <v>141.26228192018604</v>
      </c>
      <c r="D245" s="17">
        <f t="shared" si="15"/>
        <v>156.95809102242893</v>
      </c>
      <c r="E245" s="17">
        <f t="shared" si="14"/>
        <v>172.65390012467182</v>
      </c>
      <c r="F245" s="2">
        <v>156.16229999999999</v>
      </c>
      <c r="G245" s="2" t="str">
        <f t="shared" si="12"/>
        <v>Pass</v>
      </c>
      <c r="Y245" s="2">
        <v>230</v>
      </c>
      <c r="Z245" s="2">
        <v>0.28189999999999998</v>
      </c>
      <c r="AA245" s="2">
        <v>0.29399999999999998</v>
      </c>
      <c r="AB245" s="2">
        <v>158.64529999999999</v>
      </c>
    </row>
    <row r="246" spans="2:28" x14ac:dyDescent="0.4">
      <c r="B246" s="11">
        <v>229</v>
      </c>
      <c r="C246" s="16">
        <f t="shared" si="13"/>
        <v>142.37816669991631</v>
      </c>
      <c r="D246" s="17">
        <f t="shared" si="15"/>
        <v>158.19796299990702</v>
      </c>
      <c r="E246" s="17">
        <f t="shared" si="14"/>
        <v>174.01775929989773</v>
      </c>
      <c r="F246" s="2">
        <v>158.06389999999999</v>
      </c>
      <c r="G246" s="2" t="str">
        <f t="shared" si="12"/>
        <v>Pass</v>
      </c>
      <c r="Y246" s="2">
        <v>231</v>
      </c>
      <c r="Z246" s="2">
        <v>0.28160000000000002</v>
      </c>
      <c r="AA246" s="2">
        <v>0.29430000000000001</v>
      </c>
      <c r="AB246" s="2">
        <v>160.0684</v>
      </c>
    </row>
    <row r="247" spans="2:28" x14ac:dyDescent="0.4">
      <c r="B247" s="11">
        <v>230</v>
      </c>
      <c r="C247" s="16">
        <f t="shared" si="13"/>
        <v>143.49795206832414</v>
      </c>
      <c r="D247" s="17">
        <f t="shared" si="15"/>
        <v>159.44216896480461</v>
      </c>
      <c r="E247" s="17">
        <f t="shared" si="14"/>
        <v>175.38638586128508</v>
      </c>
      <c r="F247" s="2">
        <v>158.64529999999999</v>
      </c>
      <c r="G247" s="2" t="str">
        <f t="shared" si="12"/>
        <v>Pass</v>
      </c>
      <c r="Y247" s="2">
        <v>232</v>
      </c>
      <c r="Z247" s="2">
        <v>0.28160000000000002</v>
      </c>
      <c r="AA247" s="2">
        <v>0.2944</v>
      </c>
      <c r="AB247" s="2">
        <v>161.50729999999999</v>
      </c>
    </row>
    <row r="248" spans="2:28" x14ac:dyDescent="0.4">
      <c r="B248" s="11">
        <v>231</v>
      </c>
      <c r="C248" s="16">
        <f t="shared" si="13"/>
        <v>144.62163463158475</v>
      </c>
      <c r="D248" s="17">
        <f t="shared" si="15"/>
        <v>160.69070514620529</v>
      </c>
      <c r="E248" s="17">
        <f t="shared" si="14"/>
        <v>176.75977566082582</v>
      </c>
      <c r="F248" s="2">
        <v>160.0684</v>
      </c>
      <c r="G248" s="2" t="str">
        <f t="shared" si="12"/>
        <v>Pass</v>
      </c>
      <c r="Y248" s="2">
        <v>233</v>
      </c>
      <c r="Z248" s="2">
        <v>0.28179999999999999</v>
      </c>
      <c r="AA248" s="2">
        <v>0.29449999999999998</v>
      </c>
      <c r="AB248" s="2">
        <v>163.4811</v>
      </c>
    </row>
    <row r="249" spans="2:28" x14ac:dyDescent="0.4">
      <c r="B249" s="11">
        <v>232</v>
      </c>
      <c r="C249" s="16">
        <f t="shared" si="13"/>
        <v>145.74921101351413</v>
      </c>
      <c r="D249" s="17">
        <f t="shared" si="15"/>
        <v>161.94356779279349</v>
      </c>
      <c r="E249" s="17">
        <f t="shared" si="14"/>
        <v>178.13792457207285</v>
      </c>
      <c r="F249" s="2">
        <v>161.50729999999999</v>
      </c>
      <c r="G249" s="2" t="str">
        <f t="shared" si="12"/>
        <v>Pass</v>
      </c>
      <c r="Y249" s="2">
        <v>234</v>
      </c>
      <c r="Z249" s="2">
        <v>0.28129999999999999</v>
      </c>
      <c r="AA249" s="2">
        <v>0.29399999999999998</v>
      </c>
      <c r="AB249" s="2">
        <v>164.51849999999999</v>
      </c>
    </row>
    <row r="250" spans="2:28" x14ac:dyDescent="0.4">
      <c r="B250" s="11">
        <v>233</v>
      </c>
      <c r="C250" s="16">
        <f t="shared" si="13"/>
        <v>146.88067785540153</v>
      </c>
      <c r="D250" s="17">
        <f t="shared" si="15"/>
        <v>163.20075317266836</v>
      </c>
      <c r="E250" s="17">
        <f t="shared" si="14"/>
        <v>179.52082848993518</v>
      </c>
      <c r="F250" s="2">
        <v>163.4811</v>
      </c>
      <c r="G250" s="2" t="str">
        <f t="shared" si="12"/>
        <v>Pass</v>
      </c>
      <c r="Y250" s="2">
        <v>235</v>
      </c>
      <c r="Z250" s="2">
        <v>0.28120000000000001</v>
      </c>
      <c r="AA250" s="2">
        <v>0.29330000000000001</v>
      </c>
      <c r="AB250" s="2">
        <v>164.95769999999999</v>
      </c>
    </row>
    <row r="251" spans="2:28" x14ac:dyDescent="0.4">
      <c r="B251" s="11">
        <v>234</v>
      </c>
      <c r="C251" s="16">
        <f t="shared" si="13"/>
        <v>148.01603181584449</v>
      </c>
      <c r="D251" s="17">
        <f t="shared" si="15"/>
        <v>164.46225757316054</v>
      </c>
      <c r="E251" s="17">
        <f t="shared" si="14"/>
        <v>180.9084833304766</v>
      </c>
      <c r="F251" s="2">
        <v>164.51849999999999</v>
      </c>
      <c r="G251" s="2" t="str">
        <f t="shared" si="12"/>
        <v>Pass</v>
      </c>
      <c r="Y251" s="2">
        <v>236</v>
      </c>
      <c r="Z251" s="2">
        <v>0.28129999999999999</v>
      </c>
      <c r="AA251" s="2">
        <v>0.29320000000000002</v>
      </c>
      <c r="AB251" s="2">
        <v>166.93029999999999</v>
      </c>
    </row>
    <row r="252" spans="2:28" x14ac:dyDescent="0.4">
      <c r="B252" s="11">
        <v>235</v>
      </c>
      <c r="C252" s="16">
        <f t="shared" si="13"/>
        <v>149.15526957058609</v>
      </c>
      <c r="D252" s="17">
        <f t="shared" si="15"/>
        <v>165.72807730065122</v>
      </c>
      <c r="E252" s="17">
        <f t="shared" si="14"/>
        <v>182.30088503071636</v>
      </c>
      <c r="F252" s="2">
        <v>164.95769999999999</v>
      </c>
      <c r="G252" s="2" t="str">
        <f t="shared" si="12"/>
        <v>Pass</v>
      </c>
      <c r="Y252" s="2">
        <v>237</v>
      </c>
      <c r="Z252" s="2">
        <v>0.28100000000000003</v>
      </c>
      <c r="AA252" s="2">
        <v>0.29330000000000001</v>
      </c>
      <c r="AB252" s="2">
        <v>167.99109999999999</v>
      </c>
    </row>
    <row r="253" spans="2:28" x14ac:dyDescent="0.4">
      <c r="B253" s="11">
        <v>236</v>
      </c>
      <c r="C253" s="16">
        <f t="shared" si="13"/>
        <v>150.29838781235418</v>
      </c>
      <c r="D253" s="17">
        <f t="shared" si="15"/>
        <v>166.99820868039353</v>
      </c>
      <c r="E253" s="17">
        <f t="shared" si="14"/>
        <v>183.69802954843288</v>
      </c>
      <c r="F253" s="2">
        <v>166.93029999999999</v>
      </c>
      <c r="G253" s="2" t="str">
        <f t="shared" si="12"/>
        <v>Pass</v>
      </c>
      <c r="Y253" s="2">
        <v>238</v>
      </c>
      <c r="Z253" s="2">
        <v>0.28129999999999999</v>
      </c>
      <c r="AA253" s="2">
        <v>0.29349999999999998</v>
      </c>
      <c r="AB253" s="2">
        <v>169.86170000000001</v>
      </c>
    </row>
    <row r="254" spans="2:28" x14ac:dyDescent="0.4">
      <c r="B254" s="11">
        <v>237</v>
      </c>
      <c r="C254" s="16">
        <f t="shared" si="13"/>
        <v>151.44538325070297</v>
      </c>
      <c r="D254" s="17">
        <f t="shared" si="15"/>
        <v>168.27264805633664</v>
      </c>
      <c r="E254" s="17">
        <f t="shared" si="14"/>
        <v>185.0999128619703</v>
      </c>
      <c r="F254" s="2">
        <v>167.99109999999999</v>
      </c>
      <c r="G254" s="2" t="str">
        <f t="shared" si="12"/>
        <v>Pass</v>
      </c>
      <c r="Y254" s="2">
        <v>239</v>
      </c>
      <c r="Z254" s="2">
        <v>0.28160000000000002</v>
      </c>
      <c r="AA254" s="2">
        <v>0.29349999999999998</v>
      </c>
      <c r="AB254" s="2">
        <v>170.34139999999999</v>
      </c>
    </row>
    <row r="255" spans="2:28" x14ac:dyDescent="0.4">
      <c r="B255" s="11">
        <v>238</v>
      </c>
      <c r="C255" s="16">
        <f t="shared" si="13"/>
        <v>152.59625261185693</v>
      </c>
      <c r="D255" s="17">
        <f t="shared" si="15"/>
        <v>169.55139179095212</v>
      </c>
      <c r="E255" s="17">
        <f t="shared" si="14"/>
        <v>186.50653097004732</v>
      </c>
      <c r="F255" s="2">
        <v>169.86170000000001</v>
      </c>
      <c r="G255" s="2" t="str">
        <f t="shared" si="12"/>
        <v>Pass</v>
      </c>
      <c r="Y255" s="2">
        <v>240</v>
      </c>
      <c r="Z255" s="2">
        <v>0.28220000000000001</v>
      </c>
      <c r="AA255" s="2">
        <v>0.29480000000000001</v>
      </c>
      <c r="AB255" s="2">
        <v>171.69820000000001</v>
      </c>
    </row>
    <row r="256" spans="2:28" x14ac:dyDescent="0.4">
      <c r="B256" s="11">
        <v>239</v>
      </c>
      <c r="C256" s="16">
        <f t="shared" si="13"/>
        <v>153.75099263855628</v>
      </c>
      <c r="D256" s="17">
        <f t="shared" si="15"/>
        <v>170.83443626506255</v>
      </c>
      <c r="E256" s="17">
        <f t="shared" si="14"/>
        <v>187.91787989156882</v>
      </c>
      <c r="F256" s="2">
        <v>170.34139999999999</v>
      </c>
      <c r="G256" s="2" t="str">
        <f t="shared" si="12"/>
        <v>Pass</v>
      </c>
      <c r="Y256" s="2">
        <v>241</v>
      </c>
      <c r="Z256" s="2">
        <v>0.28189999999999998</v>
      </c>
      <c r="AA256" s="2">
        <v>0.29449999999999998</v>
      </c>
      <c r="AB256" s="2">
        <v>172.7047</v>
      </c>
    </row>
    <row r="257" spans="2:28" x14ac:dyDescent="0.4">
      <c r="B257" s="11">
        <v>240</v>
      </c>
      <c r="C257" s="16">
        <f t="shared" si="13"/>
        <v>154.9096000899053</v>
      </c>
      <c r="D257" s="17">
        <f t="shared" si="15"/>
        <v>172.12177787767254</v>
      </c>
      <c r="E257" s="17">
        <f t="shared" si="14"/>
        <v>189.33395566543979</v>
      </c>
      <c r="F257" s="2">
        <v>171.69820000000001</v>
      </c>
      <c r="G257" s="2" t="str">
        <f t="shared" si="12"/>
        <v>Pass</v>
      </c>
      <c r="Y257" s="2">
        <v>242</v>
      </c>
      <c r="Z257" s="2">
        <v>0.28210000000000002</v>
      </c>
      <c r="AA257" s="2">
        <v>0.29480000000000001</v>
      </c>
      <c r="AB257" s="2">
        <v>174.62119999999999</v>
      </c>
    </row>
    <row r="258" spans="2:28" x14ac:dyDescent="0.4">
      <c r="B258" s="11">
        <v>241</v>
      </c>
      <c r="C258" s="16">
        <f t="shared" si="13"/>
        <v>156.07207174122178</v>
      </c>
      <c r="D258" s="17">
        <f t="shared" si="15"/>
        <v>173.41341304580197</v>
      </c>
      <c r="E258" s="17">
        <f t="shared" si="14"/>
        <v>190.75475435038217</v>
      </c>
      <c r="F258" s="2">
        <v>172.7047</v>
      </c>
      <c r="G258" s="2" t="str">
        <f t="shared" si="12"/>
        <v>Pass</v>
      </c>
      <c r="Y258" s="2">
        <v>243</v>
      </c>
      <c r="Z258" s="2">
        <v>0.2823</v>
      </c>
      <c r="AA258" s="2">
        <v>0.29499999999999998</v>
      </c>
      <c r="AB258" s="2">
        <v>176.0966</v>
      </c>
    </row>
    <row r="259" spans="2:28" x14ac:dyDescent="0.4">
      <c r="B259" s="11">
        <v>242</v>
      </c>
      <c r="C259" s="16">
        <f t="shared" si="13"/>
        <v>157.23840438388928</v>
      </c>
      <c r="D259" s="17">
        <f t="shared" si="15"/>
        <v>174.70933820432143</v>
      </c>
      <c r="E259" s="17">
        <f t="shared" si="14"/>
        <v>192.18027202475358</v>
      </c>
      <c r="F259" s="2">
        <v>174.62119999999999</v>
      </c>
      <c r="G259" s="2" t="str">
        <f t="shared" si="12"/>
        <v>Pass</v>
      </c>
      <c r="Y259" s="2">
        <v>244</v>
      </c>
      <c r="Z259" s="2">
        <v>0.28199999999999997</v>
      </c>
      <c r="AA259" s="2">
        <v>0.29549999999999998</v>
      </c>
      <c r="AB259" s="2">
        <v>177.59790000000001</v>
      </c>
    </row>
    <row r="260" spans="2:28" x14ac:dyDescent="0.4">
      <c r="B260" s="11">
        <v>243</v>
      </c>
      <c r="C260" s="16">
        <f t="shared" si="13"/>
        <v>158.40859482521088</v>
      </c>
      <c r="D260" s="17">
        <f t="shared" si="15"/>
        <v>176.00954980578987</v>
      </c>
      <c r="E260" s="17">
        <f t="shared" si="14"/>
        <v>193.61050478636886</v>
      </c>
      <c r="F260" s="2">
        <v>176.0966</v>
      </c>
      <c r="G260" s="2" t="str">
        <f t="shared" si="12"/>
        <v>Pass</v>
      </c>
      <c r="Y260" s="2">
        <v>245</v>
      </c>
      <c r="Z260" s="2">
        <v>0.2823</v>
      </c>
      <c r="AA260" s="2">
        <v>0.2949</v>
      </c>
      <c r="AB260" s="2">
        <v>178.06270000000001</v>
      </c>
    </row>
    <row r="261" spans="2:28" x14ac:dyDescent="0.4">
      <c r="B261" s="11">
        <v>244</v>
      </c>
      <c r="C261" s="16">
        <f t="shared" si="13"/>
        <v>159.58263988826491</v>
      </c>
      <c r="D261" s="17">
        <f t="shared" si="15"/>
        <v>177.31404432029436</v>
      </c>
      <c r="E261" s="17">
        <f t="shared" si="14"/>
        <v>195.04544875232381</v>
      </c>
      <c r="F261" s="2">
        <v>177.59790000000001</v>
      </c>
      <c r="G261" s="2" t="str">
        <f t="shared" si="12"/>
        <v>Pass</v>
      </c>
      <c r="Y261" s="2">
        <v>246</v>
      </c>
      <c r="Z261" s="2">
        <v>0.28249999999999997</v>
      </c>
      <c r="AA261" s="2">
        <v>0.29520000000000002</v>
      </c>
      <c r="AB261" s="2">
        <v>179.5129</v>
      </c>
    </row>
    <row r="262" spans="2:28" x14ac:dyDescent="0.4">
      <c r="B262" s="11">
        <v>245</v>
      </c>
      <c r="C262" s="16">
        <f t="shared" si="13"/>
        <v>160.7605364117627</v>
      </c>
      <c r="D262" s="17">
        <f t="shared" si="15"/>
        <v>178.6228182352919</v>
      </c>
      <c r="E262" s="17">
        <f t="shared" si="14"/>
        <v>196.4851000588211</v>
      </c>
      <c r="F262" s="2">
        <v>178.06270000000001</v>
      </c>
      <c r="G262" s="2" t="str">
        <f t="shared" si="12"/>
        <v>Pass</v>
      </c>
      <c r="Y262" s="2">
        <v>247</v>
      </c>
      <c r="Z262" s="2">
        <v>0.28220000000000001</v>
      </c>
      <c r="AA262" s="2">
        <v>0.2949</v>
      </c>
      <c r="AB262" s="2">
        <v>181.4889</v>
      </c>
    </row>
    <row r="263" spans="2:28" x14ac:dyDescent="0.4">
      <c r="B263" s="11">
        <v>246</v>
      </c>
      <c r="C263" s="16">
        <f t="shared" si="13"/>
        <v>161.94228124990815</v>
      </c>
      <c r="D263" s="17">
        <f t="shared" si="15"/>
        <v>179.93586805545348</v>
      </c>
      <c r="E263" s="17">
        <f t="shared" si="14"/>
        <v>197.92945486099882</v>
      </c>
      <c r="F263" s="2">
        <v>179.5129</v>
      </c>
      <c r="G263" s="2" t="str">
        <f t="shared" si="12"/>
        <v>Pass</v>
      </c>
      <c r="Y263" s="2">
        <v>248</v>
      </c>
      <c r="Z263" s="2">
        <v>0.28220000000000001</v>
      </c>
      <c r="AA263" s="2">
        <v>0.2954</v>
      </c>
      <c r="AB263" s="2">
        <v>183.0188</v>
      </c>
    </row>
    <row r="264" spans="2:28" x14ac:dyDescent="0.4">
      <c r="B264" s="11">
        <v>247</v>
      </c>
      <c r="C264" s="16">
        <f t="shared" si="13"/>
        <v>163.12787127225891</v>
      </c>
      <c r="D264" s="17">
        <f t="shared" si="15"/>
        <v>181.25319030250989</v>
      </c>
      <c r="E264" s="17">
        <f t="shared" si="14"/>
        <v>199.37850933276087</v>
      </c>
      <c r="F264" s="2">
        <v>181.4889</v>
      </c>
      <c r="G264" s="2" t="str">
        <f t="shared" si="12"/>
        <v>Pass</v>
      </c>
      <c r="Y264" s="2">
        <v>249</v>
      </c>
      <c r="Z264" s="2">
        <v>0.28249999999999997</v>
      </c>
      <c r="AA264" s="2">
        <v>0.29580000000000001</v>
      </c>
      <c r="AB264" s="2">
        <v>184.5514</v>
      </c>
    </row>
    <row r="265" spans="2:28" x14ac:dyDescent="0.4">
      <c r="B265" s="11">
        <v>248</v>
      </c>
      <c r="C265" s="16">
        <f t="shared" si="13"/>
        <v>164.3173033635899</v>
      </c>
      <c r="D265" s="17">
        <f t="shared" si="15"/>
        <v>182.57478151509989</v>
      </c>
      <c r="E265" s="17">
        <f t="shared" si="14"/>
        <v>200.83225966660987</v>
      </c>
      <c r="F265" s="2">
        <v>183.0188</v>
      </c>
      <c r="G265" s="2" t="str">
        <f t="shared" si="12"/>
        <v>Pass</v>
      </c>
      <c r="Y265" s="2">
        <v>250</v>
      </c>
      <c r="Z265" s="2">
        <v>0.28249999999999997</v>
      </c>
      <c r="AA265" s="2">
        <v>0.29499999999999998</v>
      </c>
      <c r="AB265" s="2">
        <v>184.98349999999999</v>
      </c>
    </row>
    <row r="266" spans="2:28" x14ac:dyDescent="0.4">
      <c r="B266" s="11">
        <v>249</v>
      </c>
      <c r="C266" s="16">
        <f t="shared" si="13"/>
        <v>165.51057442375787</v>
      </c>
      <c r="D266" s="17">
        <f t="shared" si="15"/>
        <v>183.90063824861986</v>
      </c>
      <c r="E266" s="17">
        <f t="shared" si="14"/>
        <v>202.29070207348184</v>
      </c>
      <c r="F266" s="2">
        <v>184.5514</v>
      </c>
      <c r="G266" s="2" t="str">
        <f t="shared" si="12"/>
        <v>Pass</v>
      </c>
      <c r="Y266" s="2">
        <v>251</v>
      </c>
      <c r="Z266" s="2">
        <v>0.2828</v>
      </c>
      <c r="AA266" s="2">
        <v>0.29559999999999997</v>
      </c>
      <c r="AB266" s="2">
        <v>186.9264</v>
      </c>
    </row>
    <row r="267" spans="2:28" x14ac:dyDescent="0.4">
      <c r="B267" s="11">
        <v>250</v>
      </c>
      <c r="C267" s="16">
        <f t="shared" si="13"/>
        <v>166.70768136756834</v>
      </c>
      <c r="D267" s="17">
        <f t="shared" si="15"/>
        <v>185.23075707507593</v>
      </c>
      <c r="E267" s="17">
        <f t="shared" si="14"/>
        <v>203.75383278258352</v>
      </c>
      <c r="F267" s="2">
        <v>184.98349999999999</v>
      </c>
      <c r="G267" s="2" t="str">
        <f t="shared" si="12"/>
        <v>Pass</v>
      </c>
      <c r="Y267" s="2">
        <v>252</v>
      </c>
      <c r="Z267" s="2">
        <v>0.34860000000000002</v>
      </c>
      <c r="AA267" s="2">
        <v>0.4239</v>
      </c>
      <c r="AB267" s="2">
        <v>188.9264</v>
      </c>
    </row>
    <row r="268" spans="2:28" x14ac:dyDescent="0.4">
      <c r="B268" s="11">
        <v>251</v>
      </c>
      <c r="C268" s="16">
        <f t="shared" si="13"/>
        <v>167.90862112464384</v>
      </c>
      <c r="D268" s="17">
        <f t="shared" si="15"/>
        <v>186.56513458293762</v>
      </c>
      <c r="E268" s="17">
        <f t="shared" si="14"/>
        <v>205.22164804123139</v>
      </c>
      <c r="F268" s="2">
        <v>186.9264</v>
      </c>
      <c r="G268" s="2" t="str">
        <f t="shared" si="12"/>
        <v>Pass</v>
      </c>
      <c r="Y268" s="2">
        <v>253</v>
      </c>
      <c r="Z268" s="2">
        <v>0.28299999999999997</v>
      </c>
      <c r="AA268" s="2">
        <v>0.29709999999999998</v>
      </c>
      <c r="AB268" s="2">
        <v>190.0693</v>
      </c>
    </row>
    <row r="269" spans="2:28" x14ac:dyDescent="0.4">
      <c r="B269" s="11">
        <v>252</v>
      </c>
      <c r="C269" s="16">
        <f t="shared" si="13"/>
        <v>169.11339063929407</v>
      </c>
      <c r="D269" s="17">
        <f t="shared" si="15"/>
        <v>187.90376737699341</v>
      </c>
      <c r="E269" s="17">
        <f t="shared" si="14"/>
        <v>206.69414411469276</v>
      </c>
      <c r="F269" s="2">
        <v>188.9264</v>
      </c>
      <c r="G269" s="2" t="str">
        <f t="shared" si="12"/>
        <v>Pass</v>
      </c>
      <c r="Y269" s="2">
        <v>254</v>
      </c>
      <c r="Z269" s="2">
        <v>0.28389999999999999</v>
      </c>
      <c r="AA269" s="2">
        <v>0.29799999999999999</v>
      </c>
      <c r="AB269" s="2">
        <v>191.59299999999999</v>
      </c>
    </row>
    <row r="270" spans="2:28" x14ac:dyDescent="0.4">
      <c r="B270" s="11">
        <v>253</v>
      </c>
      <c r="C270" s="16">
        <f t="shared" si="13"/>
        <v>170.32198687038743</v>
      </c>
      <c r="D270" s="17">
        <f t="shared" si="15"/>
        <v>189.24665207820826</v>
      </c>
      <c r="E270" s="17">
        <f t="shared" si="14"/>
        <v>208.17131728602908</v>
      </c>
      <c r="F270" s="2">
        <v>190.0693</v>
      </c>
      <c r="G270" s="2" t="str">
        <f t="shared" si="12"/>
        <v>Pass</v>
      </c>
      <c r="Y270" s="2">
        <v>255</v>
      </c>
      <c r="Z270" s="2">
        <v>0.28389999999999999</v>
      </c>
      <c r="AA270" s="2">
        <v>0.29809999999999998</v>
      </c>
      <c r="AB270" s="2">
        <v>191.5865</v>
      </c>
    </row>
    <row r="271" spans="2:28" x14ac:dyDescent="0.4">
      <c r="B271" s="11">
        <v>254</v>
      </c>
      <c r="C271" s="16">
        <f t="shared" si="13"/>
        <v>171.53440679122457</v>
      </c>
      <c r="D271" s="17">
        <f t="shared" si="15"/>
        <v>190.59378532358286</v>
      </c>
      <c r="E271" s="17">
        <f t="shared" si="14"/>
        <v>209.65316385594116</v>
      </c>
      <c r="F271" s="2">
        <v>191.59299999999999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22</v>
      </c>
    </row>
    <row r="272" spans="2:28" x14ac:dyDescent="0.4">
      <c r="B272" s="11">
        <v>255</v>
      </c>
      <c r="C272" s="16">
        <f t="shared" si="13"/>
        <v>172.42785000000001</v>
      </c>
      <c r="D272" s="18">
        <f>C12</f>
        <v>191.5865</v>
      </c>
      <c r="E272" s="17">
        <f t="shared" si="14"/>
        <v>210.74515</v>
      </c>
      <c r="F272" s="2">
        <v>191.5865</v>
      </c>
      <c r="G272" s="2" t="str">
        <f t="shared" si="12"/>
        <v>Pass</v>
      </c>
    </row>
  </sheetData>
  <protectedRanges>
    <protectedRange password="EBF1" sqref="C2:D2 C4:D4" name="範圍1_2"/>
    <protectedRange password="EBF1" sqref="C11:C13" name="範圍1_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27" priority="1" operator="equal">
      <formula>"Fail"</formula>
    </cfRule>
    <cfRule type="cellIs" dxfId="26" priority="2" operator="equal">
      <formula>"Pass"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158B-5C00-4125-BBE0-1988198B224B}">
  <dimension ref="B2:AB272"/>
  <sheetViews>
    <sheetView topLeftCell="A2" zoomScale="55" zoomScaleNormal="55" workbookViewId="0">
      <selection activeCell="B51" sqref="B51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46286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0.26850000000000002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192.14420000000001</v>
      </c>
      <c r="D12" s="4" t="s">
        <v>9</v>
      </c>
      <c r="E12" s="4"/>
      <c r="Y12" s="9" t="s">
        <v>25</v>
      </c>
    </row>
    <row r="13" spans="2:28" x14ac:dyDescent="0.4">
      <c r="B13" s="1" t="s">
        <v>11</v>
      </c>
      <c r="C13" s="8">
        <v>2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0.27289999999999998</v>
      </c>
      <c r="AA15" s="2">
        <v>0.28560000000000002</v>
      </c>
      <c r="AB15" s="2">
        <v>0.26850000000000002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0.27610000000000001</v>
      </c>
      <c r="AA16" s="2">
        <v>0.28149999999999997</v>
      </c>
      <c r="AB16" s="2">
        <v>0.27060000000000001</v>
      </c>
    </row>
    <row r="17" spans="2:28" ht="17.5" thickTop="1" x14ac:dyDescent="0.4">
      <c r="B17" s="11">
        <v>0</v>
      </c>
      <c r="C17" s="16">
        <f>D17-D17*(C$14/100)</f>
        <v>1.9172467408235297E-4</v>
      </c>
      <c r="D17" s="17">
        <f>D$272*((B17+F$17)/B$272)^C$13</f>
        <v>2.1302741564705886E-4</v>
      </c>
      <c r="E17" s="17">
        <f>D17+D17*(C$14/100)</f>
        <v>2.3433015721176475E-4</v>
      </c>
      <c r="F17" s="2">
        <v>0.26850000000000002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0.27450000000000002</v>
      </c>
      <c r="AA17" s="2">
        <v>0.2823</v>
      </c>
      <c r="AB17" s="2">
        <v>0.27079999999999999</v>
      </c>
    </row>
    <row r="18" spans="2:28" x14ac:dyDescent="0.4">
      <c r="B18" s="11">
        <v>1</v>
      </c>
      <c r="C18" s="16">
        <f t="shared" ref="C18:C81" si="1">D18-D18*(C$14/100)</f>
        <v>4.2792767211411757E-3</v>
      </c>
      <c r="D18" s="17">
        <f>D$272*((B18+F$17)/B$272)^C$13</f>
        <v>4.7547519123790844E-3</v>
      </c>
      <c r="E18" s="17">
        <f t="shared" ref="E18:E81" si="2">D18+D18*(C$14/100)</f>
        <v>5.2302271036169931E-3</v>
      </c>
      <c r="F18" s="2">
        <v>0.27060000000000001</v>
      </c>
      <c r="G18" s="2" t="str">
        <f t="shared" si="0"/>
        <v>Fail</v>
      </c>
      <c r="Y18" s="2">
        <v>3</v>
      </c>
      <c r="Z18" s="2">
        <v>0.27710000000000001</v>
      </c>
      <c r="AA18" s="2">
        <v>0.28299999999999997</v>
      </c>
      <c r="AB18" s="2">
        <v>0.2838</v>
      </c>
    </row>
    <row r="19" spans="2:28" x14ac:dyDescent="0.4">
      <c r="B19" s="11">
        <v>2</v>
      </c>
      <c r="C19" s="16">
        <f t="shared" si="1"/>
        <v>1.3685699356435294E-2</v>
      </c>
      <c r="D19" s="17">
        <f t="shared" ref="D19:D82" si="3">D$272*((B19+F$17)/B$272)^C$13</f>
        <v>1.5206332618261438E-2</v>
      </c>
      <c r="E19" s="17">
        <f t="shared" si="2"/>
        <v>1.6726965880087583E-2</v>
      </c>
      <c r="F19" s="2">
        <v>0.27079999999999999</v>
      </c>
      <c r="G19" s="2" t="str">
        <f t="shared" si="0"/>
        <v>Fail</v>
      </c>
      <c r="Y19" s="2">
        <v>4</v>
      </c>
      <c r="Z19" s="2">
        <v>0.28339999999999999</v>
      </c>
      <c r="AA19" s="2">
        <v>0.27610000000000001</v>
      </c>
      <c r="AB19" s="2">
        <v>0.29360000000000003</v>
      </c>
    </row>
    <row r="20" spans="2:28" x14ac:dyDescent="0.4">
      <c r="B20" s="11">
        <v>3</v>
      </c>
      <c r="C20" s="16">
        <f t="shared" si="1"/>
        <v>2.8410992579964708E-2</v>
      </c>
      <c r="D20" s="17">
        <f t="shared" si="3"/>
        <v>3.156776953329412E-2</v>
      </c>
      <c r="E20" s="17">
        <f t="shared" si="2"/>
        <v>3.4724546486623528E-2</v>
      </c>
      <c r="F20" s="2">
        <v>0.2838</v>
      </c>
      <c r="G20" s="2" t="str">
        <f t="shared" si="0"/>
        <v>Fail</v>
      </c>
      <c r="Y20" s="2">
        <v>5</v>
      </c>
      <c r="Z20" s="2">
        <v>0.27300000000000002</v>
      </c>
      <c r="AA20" s="2">
        <v>0.28399999999999997</v>
      </c>
      <c r="AB20" s="2">
        <v>0.3155</v>
      </c>
    </row>
    <row r="21" spans="2:28" x14ac:dyDescent="0.4">
      <c r="B21" s="11">
        <v>4</v>
      </c>
      <c r="C21" s="16">
        <f t="shared" si="1"/>
        <v>4.8455156391729419E-2</v>
      </c>
      <c r="D21" s="17">
        <f t="shared" si="3"/>
        <v>5.3839062657477135E-2</v>
      </c>
      <c r="E21" s="17">
        <f t="shared" si="2"/>
        <v>5.9222968923224852E-2</v>
      </c>
      <c r="F21" s="2">
        <v>0.29360000000000003</v>
      </c>
      <c r="G21" s="2" t="str">
        <f t="shared" si="0"/>
        <v>Fail</v>
      </c>
      <c r="Y21" s="2">
        <v>6</v>
      </c>
      <c r="Z21" s="2">
        <v>0.27360000000000001</v>
      </c>
      <c r="AA21" s="2">
        <v>0.28299999999999997</v>
      </c>
      <c r="AB21" s="2">
        <v>0.33350000000000002</v>
      </c>
    </row>
    <row r="22" spans="2:28" x14ac:dyDescent="0.4">
      <c r="B22" s="11">
        <v>5</v>
      </c>
      <c r="C22" s="16">
        <f t="shared" si="1"/>
        <v>7.3818190791729424E-2</v>
      </c>
      <c r="D22" s="17">
        <f t="shared" si="3"/>
        <v>8.2020211990810471E-2</v>
      </c>
      <c r="E22" s="17">
        <f t="shared" si="2"/>
        <v>9.0222233189891518E-2</v>
      </c>
      <c r="F22" s="2">
        <v>0.3155</v>
      </c>
      <c r="G22" s="2" t="str">
        <f t="shared" si="0"/>
        <v>Fail</v>
      </c>
      <c r="Y22" s="2">
        <v>7</v>
      </c>
      <c r="Z22" s="2">
        <v>0.27350000000000002</v>
      </c>
      <c r="AA22" s="2">
        <v>0.28549999999999998</v>
      </c>
      <c r="AB22" s="2">
        <v>0.35980000000000001</v>
      </c>
    </row>
    <row r="23" spans="2:28" x14ac:dyDescent="0.4">
      <c r="B23" s="11">
        <v>6</v>
      </c>
      <c r="C23" s="16">
        <f t="shared" si="1"/>
        <v>0.10450009577996473</v>
      </c>
      <c r="D23" s="17">
        <f t="shared" si="3"/>
        <v>0.11611121753329415</v>
      </c>
      <c r="E23" s="17">
        <f t="shared" si="2"/>
        <v>0.12772233928662358</v>
      </c>
      <c r="F23" s="2">
        <v>0.33350000000000002</v>
      </c>
      <c r="G23" s="2" t="str">
        <f t="shared" si="0"/>
        <v>Fail</v>
      </c>
      <c r="Y23" s="2">
        <v>8</v>
      </c>
      <c r="Z23" s="2">
        <v>0.27229999999999999</v>
      </c>
      <c r="AA23" s="2">
        <v>0.28799999999999998</v>
      </c>
      <c r="AB23" s="2">
        <v>0.3931</v>
      </c>
    </row>
    <row r="24" spans="2:28" x14ac:dyDescent="0.4">
      <c r="B24" s="11">
        <v>7</v>
      </c>
      <c r="C24" s="16">
        <f t="shared" si="1"/>
        <v>0.1405008713564353</v>
      </c>
      <c r="D24" s="17">
        <f t="shared" si="3"/>
        <v>0.15611207928492812</v>
      </c>
      <c r="E24" s="17">
        <f t="shared" si="2"/>
        <v>0.17172328721342095</v>
      </c>
      <c r="F24" s="2">
        <v>0.35980000000000001</v>
      </c>
      <c r="G24" s="2" t="str">
        <f t="shared" si="0"/>
        <v>Fail</v>
      </c>
      <c r="Y24" s="2">
        <v>9</v>
      </c>
      <c r="Z24" s="2">
        <v>0.26829999999999998</v>
      </c>
      <c r="AA24" s="2">
        <v>0.28560000000000002</v>
      </c>
      <c r="AB24" s="2">
        <v>0.4627</v>
      </c>
    </row>
    <row r="25" spans="2:28" x14ac:dyDescent="0.4">
      <c r="B25" s="11">
        <v>8</v>
      </c>
      <c r="C25" s="16">
        <f t="shared" si="1"/>
        <v>0.18182051752114117</v>
      </c>
      <c r="D25" s="17">
        <f t="shared" si="3"/>
        <v>0.20202279724571243</v>
      </c>
      <c r="E25" s="17">
        <f t="shared" si="2"/>
        <v>0.22222507697028368</v>
      </c>
      <c r="F25" s="2">
        <v>0.3931</v>
      </c>
      <c r="G25" s="2" t="str">
        <f t="shared" si="0"/>
        <v>Fail</v>
      </c>
      <c r="Y25" s="2">
        <v>10</v>
      </c>
      <c r="Z25" s="2">
        <v>0.26910000000000001</v>
      </c>
      <c r="AA25" s="2">
        <v>0.28910000000000002</v>
      </c>
      <c r="AB25" s="2">
        <v>0.51329999999999998</v>
      </c>
    </row>
    <row r="26" spans="2:28" x14ac:dyDescent="0.4">
      <c r="B26" s="11">
        <v>9</v>
      </c>
      <c r="C26" s="16">
        <f t="shared" si="1"/>
        <v>0.22845903427408235</v>
      </c>
      <c r="D26" s="17">
        <f t="shared" si="3"/>
        <v>0.25384337141564706</v>
      </c>
      <c r="E26" s="17">
        <f t="shared" si="2"/>
        <v>0.27922770855721174</v>
      </c>
      <c r="F26" s="2">
        <v>0.4627</v>
      </c>
      <c r="G26" s="2" t="str">
        <f t="shared" si="0"/>
        <v>Fail</v>
      </c>
      <c r="Y26" s="2">
        <v>11</v>
      </c>
      <c r="Z26" s="2">
        <v>0.26960000000000001</v>
      </c>
      <c r="AA26" s="2">
        <v>0.29189999999999999</v>
      </c>
      <c r="AB26" s="2">
        <v>0.57909999999999995</v>
      </c>
    </row>
    <row r="27" spans="2:28" x14ac:dyDescent="0.4">
      <c r="B27" s="11">
        <v>10</v>
      </c>
      <c r="C27" s="16">
        <f t="shared" si="1"/>
        <v>0.28041642161525887</v>
      </c>
      <c r="D27" s="17">
        <f t="shared" si="3"/>
        <v>0.3115738017947321</v>
      </c>
      <c r="E27" s="17">
        <f t="shared" si="2"/>
        <v>0.34273118197420532</v>
      </c>
      <c r="F27" s="2">
        <v>0.51329999999999998</v>
      </c>
      <c r="G27" s="2" t="str">
        <f t="shared" si="0"/>
        <v>Fail</v>
      </c>
      <c r="Y27" s="2">
        <v>12</v>
      </c>
      <c r="Z27" s="2">
        <v>0.26979999999999998</v>
      </c>
      <c r="AA27" s="2">
        <v>0.2944</v>
      </c>
      <c r="AB27" s="2">
        <v>0.6331</v>
      </c>
    </row>
    <row r="28" spans="2:28" x14ac:dyDescent="0.4">
      <c r="B28" s="11">
        <v>11</v>
      </c>
      <c r="C28" s="16">
        <f t="shared" si="1"/>
        <v>0.33769267954467064</v>
      </c>
      <c r="D28" s="17">
        <f t="shared" si="3"/>
        <v>0.37521408838296738</v>
      </c>
      <c r="E28" s="17">
        <f t="shared" si="2"/>
        <v>0.41273549722126412</v>
      </c>
      <c r="F28" s="2">
        <v>0.57909999999999995</v>
      </c>
      <c r="G28" s="2" t="str">
        <f t="shared" si="0"/>
        <v>Fail</v>
      </c>
      <c r="Y28" s="2">
        <v>13</v>
      </c>
      <c r="Z28" s="2">
        <v>0.26319999999999999</v>
      </c>
      <c r="AA28" s="2">
        <v>0.28360000000000002</v>
      </c>
      <c r="AB28" s="2">
        <v>0.70009999999999994</v>
      </c>
    </row>
    <row r="29" spans="2:28" x14ac:dyDescent="0.4">
      <c r="B29" s="11">
        <v>12</v>
      </c>
      <c r="C29" s="16">
        <f t="shared" si="1"/>
        <v>0.40028780806231773</v>
      </c>
      <c r="D29" s="17">
        <f t="shared" si="3"/>
        <v>0.44476423118035302</v>
      </c>
      <c r="E29" s="17">
        <f t="shared" si="2"/>
        <v>0.48924065429838831</v>
      </c>
      <c r="F29" s="2">
        <v>0.6331</v>
      </c>
      <c r="G29" s="2" t="str">
        <f t="shared" si="0"/>
        <v>Fail</v>
      </c>
      <c r="Y29" s="2">
        <v>14</v>
      </c>
      <c r="Z29" s="2">
        <v>0.2661</v>
      </c>
      <c r="AA29" s="2">
        <v>0.28670000000000001</v>
      </c>
      <c r="AB29" s="2">
        <v>0.79849999999999999</v>
      </c>
    </row>
    <row r="30" spans="2:28" x14ac:dyDescent="0.4">
      <c r="B30" s="11">
        <v>13</v>
      </c>
      <c r="C30" s="16">
        <f t="shared" si="1"/>
        <v>0.46820180716820003</v>
      </c>
      <c r="D30" s="17">
        <f t="shared" si="3"/>
        <v>0.5202242301868889</v>
      </c>
      <c r="E30" s="17">
        <f t="shared" si="2"/>
        <v>0.57224665320557777</v>
      </c>
      <c r="F30" s="2">
        <v>0.70009999999999994</v>
      </c>
      <c r="G30" s="2" t="str">
        <f t="shared" si="0"/>
        <v>Fail</v>
      </c>
      <c r="Y30" s="2">
        <v>15</v>
      </c>
      <c r="Z30" s="2">
        <v>0.26700000000000002</v>
      </c>
      <c r="AA30" s="2">
        <v>0.29010000000000002</v>
      </c>
      <c r="AB30" s="2">
        <v>0.87380000000000002</v>
      </c>
    </row>
    <row r="31" spans="2:28" x14ac:dyDescent="0.4">
      <c r="B31" s="11">
        <v>14</v>
      </c>
      <c r="C31" s="16">
        <f t="shared" si="1"/>
        <v>0.54143467686231772</v>
      </c>
      <c r="D31" s="17">
        <f t="shared" si="3"/>
        <v>0.6015940854025752</v>
      </c>
      <c r="E31" s="17">
        <f t="shared" si="2"/>
        <v>0.66175349394283267</v>
      </c>
      <c r="F31" s="2">
        <v>0.79849999999999999</v>
      </c>
      <c r="G31" s="2" t="str">
        <f t="shared" si="0"/>
        <v>Fail</v>
      </c>
      <c r="Y31" s="2">
        <v>16</v>
      </c>
      <c r="Z31" s="2">
        <v>0.26600000000000001</v>
      </c>
      <c r="AA31" s="2">
        <v>0.28589999999999999</v>
      </c>
      <c r="AB31" s="2">
        <v>0.98229999999999995</v>
      </c>
    </row>
    <row r="32" spans="2:28" x14ac:dyDescent="0.4">
      <c r="B32" s="11">
        <v>15</v>
      </c>
      <c r="C32" s="16">
        <f t="shared" si="1"/>
        <v>0.61998641714467062</v>
      </c>
      <c r="D32" s="17">
        <f t="shared" si="3"/>
        <v>0.68887379682741179</v>
      </c>
      <c r="E32" s="17">
        <f t="shared" si="2"/>
        <v>0.75776117651015296</v>
      </c>
      <c r="F32" s="2">
        <v>0.87380000000000002</v>
      </c>
      <c r="G32" s="2" t="str">
        <f t="shared" si="0"/>
        <v>Fail</v>
      </c>
      <c r="Y32" s="2">
        <v>17</v>
      </c>
      <c r="Z32" s="2">
        <v>0.2676</v>
      </c>
      <c r="AA32" s="2">
        <v>0.29049999999999998</v>
      </c>
      <c r="AB32" s="2">
        <v>1.0672999999999999</v>
      </c>
    </row>
    <row r="33" spans="2:28" x14ac:dyDescent="0.4">
      <c r="B33" s="11">
        <v>16</v>
      </c>
      <c r="C33" s="16">
        <f t="shared" si="1"/>
        <v>0.70385702801525896</v>
      </c>
      <c r="D33" s="17">
        <f t="shared" si="3"/>
        <v>0.78206336446139879</v>
      </c>
      <c r="E33" s="17">
        <f t="shared" si="2"/>
        <v>0.86026970090753863</v>
      </c>
      <c r="F33" s="2">
        <v>0.98229999999999995</v>
      </c>
      <c r="G33" s="2" t="str">
        <f t="shared" si="0"/>
        <v>Fail</v>
      </c>
      <c r="Y33" s="2">
        <v>18</v>
      </c>
      <c r="Z33" s="2">
        <v>0.2737</v>
      </c>
      <c r="AA33" s="2">
        <v>0.30299999999999999</v>
      </c>
      <c r="AB33" s="2">
        <v>1.2222</v>
      </c>
    </row>
    <row r="34" spans="2:28" x14ac:dyDescent="0.4">
      <c r="B34" s="11">
        <v>17</v>
      </c>
      <c r="C34" s="16">
        <f t="shared" si="1"/>
        <v>0.79304650947408251</v>
      </c>
      <c r="D34" s="17">
        <f t="shared" si="3"/>
        <v>0.88116278830453609</v>
      </c>
      <c r="E34" s="17">
        <f t="shared" si="2"/>
        <v>0.96927906713498968</v>
      </c>
      <c r="F34" s="2">
        <v>1.0672999999999999</v>
      </c>
      <c r="G34" s="2" t="str">
        <f t="shared" si="0"/>
        <v>Fail</v>
      </c>
      <c r="Y34" s="2">
        <v>19</v>
      </c>
      <c r="Z34" s="2">
        <v>0.27660000000000001</v>
      </c>
      <c r="AA34" s="2">
        <v>0.3029</v>
      </c>
      <c r="AB34" s="2">
        <v>1.3236000000000001</v>
      </c>
    </row>
    <row r="35" spans="2:28" x14ac:dyDescent="0.4">
      <c r="B35" s="11">
        <v>18</v>
      </c>
      <c r="C35" s="16">
        <f t="shared" si="1"/>
        <v>0.88755486152114127</v>
      </c>
      <c r="D35" s="17">
        <f t="shared" si="3"/>
        <v>0.98617206835682369</v>
      </c>
      <c r="E35" s="17">
        <f t="shared" si="2"/>
        <v>1.0847892751925061</v>
      </c>
      <c r="F35" s="2">
        <v>1.2222</v>
      </c>
      <c r="G35" s="2" t="str">
        <f t="shared" si="0"/>
        <v>Fail</v>
      </c>
      <c r="Y35" s="2">
        <v>20</v>
      </c>
      <c r="Z35" s="2">
        <v>0.27450000000000002</v>
      </c>
      <c r="AA35" s="2">
        <v>0.29870000000000002</v>
      </c>
      <c r="AB35" s="2">
        <v>1.4192</v>
      </c>
    </row>
    <row r="36" spans="2:28" x14ac:dyDescent="0.4">
      <c r="B36" s="11">
        <v>19</v>
      </c>
      <c r="C36" s="16">
        <f t="shared" si="1"/>
        <v>0.98738208415643536</v>
      </c>
      <c r="D36" s="17">
        <f t="shared" si="3"/>
        <v>1.0970912046182615</v>
      </c>
      <c r="E36" s="17">
        <f t="shared" si="2"/>
        <v>1.2068003250800876</v>
      </c>
      <c r="F36" s="2">
        <v>1.3236000000000001</v>
      </c>
      <c r="G36" s="2" t="str">
        <f t="shared" si="0"/>
        <v>Fail</v>
      </c>
      <c r="Y36" s="2">
        <v>21</v>
      </c>
      <c r="Z36" s="2">
        <v>0.27710000000000001</v>
      </c>
      <c r="AA36" s="2">
        <v>0.29959999999999998</v>
      </c>
      <c r="AB36" s="2">
        <v>1.5261</v>
      </c>
    </row>
    <row r="37" spans="2:28" x14ac:dyDescent="0.4">
      <c r="B37" s="11">
        <v>20</v>
      </c>
      <c r="C37" s="16">
        <f t="shared" si="1"/>
        <v>1.0925281773799649</v>
      </c>
      <c r="D37" s="17">
        <f t="shared" si="3"/>
        <v>1.2139201970888498</v>
      </c>
      <c r="E37" s="17">
        <f t="shared" si="2"/>
        <v>1.3353122167977347</v>
      </c>
      <c r="F37" s="2">
        <v>1.4192</v>
      </c>
      <c r="G37" s="2" t="str">
        <f t="shared" si="0"/>
        <v>Fail</v>
      </c>
      <c r="Y37" s="2">
        <v>22</v>
      </c>
      <c r="Z37" s="2">
        <v>0.27710000000000001</v>
      </c>
      <c r="AA37" s="2">
        <v>0.29949999999999999</v>
      </c>
      <c r="AB37" s="2">
        <v>1.6164000000000001</v>
      </c>
    </row>
    <row r="38" spans="2:28" x14ac:dyDescent="0.4">
      <c r="B38" s="11">
        <v>21</v>
      </c>
      <c r="C38" s="16">
        <f t="shared" si="1"/>
        <v>1.2029931411917294</v>
      </c>
      <c r="D38" s="17">
        <f t="shared" si="3"/>
        <v>1.3366590457685883</v>
      </c>
      <c r="E38" s="17">
        <f t="shared" si="2"/>
        <v>1.4703249503454472</v>
      </c>
      <c r="F38" s="2">
        <v>1.5261</v>
      </c>
      <c r="G38" s="2" t="str">
        <f t="shared" si="0"/>
        <v>Fail</v>
      </c>
      <c r="Y38" s="2">
        <v>23</v>
      </c>
      <c r="Z38" s="2">
        <v>0.26960000000000001</v>
      </c>
      <c r="AA38" s="2">
        <v>0.2923</v>
      </c>
      <c r="AB38" s="2">
        <v>1.7201</v>
      </c>
    </row>
    <row r="39" spans="2:28" x14ac:dyDescent="0.4">
      <c r="B39" s="11">
        <v>22</v>
      </c>
      <c r="C39" s="16">
        <f t="shared" si="1"/>
        <v>1.3187769755917296</v>
      </c>
      <c r="D39" s="17">
        <f t="shared" si="3"/>
        <v>1.4653077506574772</v>
      </c>
      <c r="E39" s="17">
        <f t="shared" si="2"/>
        <v>1.6118385257232248</v>
      </c>
      <c r="F39" s="2">
        <v>1.6164000000000001</v>
      </c>
      <c r="G39" s="2" t="str">
        <f t="shared" si="0"/>
        <v>Fail</v>
      </c>
      <c r="Y39" s="2">
        <v>24</v>
      </c>
      <c r="Z39" s="2">
        <v>0.2702</v>
      </c>
      <c r="AA39" s="2">
        <v>0.29409999999999997</v>
      </c>
      <c r="AB39" s="2">
        <v>1.8110999999999999</v>
      </c>
    </row>
    <row r="40" spans="2:28" x14ac:dyDescent="0.4">
      <c r="B40" s="11">
        <v>23</v>
      </c>
      <c r="C40" s="16">
        <f t="shared" si="1"/>
        <v>1.4398796805799647</v>
      </c>
      <c r="D40" s="17">
        <f t="shared" si="3"/>
        <v>1.5998663117555163</v>
      </c>
      <c r="E40" s="17">
        <f t="shared" si="2"/>
        <v>1.7598529429310679</v>
      </c>
      <c r="F40" s="2">
        <v>1.7201</v>
      </c>
      <c r="G40" s="2" t="str">
        <f t="shared" si="0"/>
        <v>Pass</v>
      </c>
      <c r="Y40" s="2">
        <v>25</v>
      </c>
      <c r="Z40" s="2">
        <v>0.27310000000000001</v>
      </c>
      <c r="AA40" s="2">
        <v>0.3</v>
      </c>
      <c r="AB40" s="2">
        <v>2.0274999999999999</v>
      </c>
    </row>
    <row r="41" spans="2:28" x14ac:dyDescent="0.4">
      <c r="B41" s="11">
        <v>24</v>
      </c>
      <c r="C41" s="16">
        <f t="shared" si="1"/>
        <v>1.5663012561564353</v>
      </c>
      <c r="D41" s="17">
        <f t="shared" si="3"/>
        <v>1.740334729062706</v>
      </c>
      <c r="E41" s="17">
        <f t="shared" si="2"/>
        <v>1.9143682019689767</v>
      </c>
      <c r="F41" s="2">
        <v>1.8110999999999999</v>
      </c>
      <c r="G41" s="2" t="str">
        <f t="shared" si="0"/>
        <v>Pass</v>
      </c>
      <c r="Y41" s="2">
        <v>26</v>
      </c>
      <c r="Z41" s="2">
        <v>0.27289999999999998</v>
      </c>
      <c r="AA41" s="2">
        <v>0.29699999999999999</v>
      </c>
      <c r="AB41" s="2">
        <v>2.1675</v>
      </c>
    </row>
    <row r="42" spans="2:28" x14ac:dyDescent="0.4">
      <c r="B42" s="11">
        <v>25</v>
      </c>
      <c r="C42" s="16">
        <f t="shared" si="1"/>
        <v>1.6980417023211414</v>
      </c>
      <c r="D42" s="17">
        <f t="shared" si="3"/>
        <v>1.886713002579046</v>
      </c>
      <c r="E42" s="17">
        <f t="shared" si="2"/>
        <v>2.0753843028369507</v>
      </c>
      <c r="F42" s="2">
        <v>2.0274999999999999</v>
      </c>
      <c r="G42" s="2" t="str">
        <f t="shared" si="0"/>
        <v>Pass</v>
      </c>
      <c r="Y42" s="2">
        <v>27</v>
      </c>
      <c r="Z42" s="2">
        <v>0.27139999999999997</v>
      </c>
      <c r="AA42" s="2">
        <v>0.29759999999999998</v>
      </c>
      <c r="AB42" s="2">
        <v>2.2784</v>
      </c>
    </row>
    <row r="43" spans="2:28" x14ac:dyDescent="0.4">
      <c r="B43" s="11">
        <v>26</v>
      </c>
      <c r="C43" s="16">
        <f t="shared" si="1"/>
        <v>1.8351010190740824</v>
      </c>
      <c r="D43" s="17">
        <f t="shared" si="3"/>
        <v>2.0390011323045361</v>
      </c>
      <c r="E43" s="17">
        <f t="shared" si="2"/>
        <v>2.2429012455349895</v>
      </c>
      <c r="F43" s="2">
        <v>2.1675</v>
      </c>
      <c r="G43" s="2" t="str">
        <f t="shared" si="0"/>
        <v>Pass</v>
      </c>
      <c r="Y43" s="2">
        <v>28</v>
      </c>
      <c r="Z43" s="2">
        <v>0.27400000000000002</v>
      </c>
      <c r="AA43" s="2">
        <v>0.29770000000000002</v>
      </c>
      <c r="AB43" s="2">
        <v>2.4430000000000001</v>
      </c>
    </row>
    <row r="44" spans="2:28" x14ac:dyDescent="0.4">
      <c r="B44" s="11">
        <v>27</v>
      </c>
      <c r="C44" s="16">
        <f t="shared" si="1"/>
        <v>1.9774792064152589</v>
      </c>
      <c r="D44" s="17">
        <f t="shared" si="3"/>
        <v>2.1971991182391766</v>
      </c>
      <c r="E44" s="17">
        <f t="shared" si="2"/>
        <v>2.4169190300630943</v>
      </c>
      <c r="F44" s="2">
        <v>2.2784</v>
      </c>
      <c r="G44" s="2" t="str">
        <f t="shared" si="0"/>
        <v>Pass</v>
      </c>
      <c r="Y44" s="2">
        <v>29</v>
      </c>
      <c r="Z44" s="2">
        <v>0.27629999999999999</v>
      </c>
      <c r="AA44" s="2">
        <v>0.29299999999999998</v>
      </c>
      <c r="AB44" s="2">
        <v>2.6438000000000001</v>
      </c>
    </row>
    <row r="45" spans="2:28" x14ac:dyDescent="0.4">
      <c r="B45" s="11">
        <v>28</v>
      </c>
      <c r="C45" s="16">
        <f t="shared" si="1"/>
        <v>2.1251762643446703</v>
      </c>
      <c r="D45" s="17">
        <f t="shared" si="3"/>
        <v>2.3613069603829673</v>
      </c>
      <c r="E45" s="17">
        <f t="shared" si="2"/>
        <v>2.5974376564212642</v>
      </c>
      <c r="F45" s="2">
        <v>2.4430000000000001</v>
      </c>
      <c r="G45" s="2" t="str">
        <f t="shared" si="0"/>
        <v>Pass</v>
      </c>
      <c r="Y45" s="2">
        <v>30</v>
      </c>
      <c r="Z45" s="2">
        <v>0.2757</v>
      </c>
      <c r="AA45" s="2">
        <v>0.29349999999999998</v>
      </c>
      <c r="AB45" s="2">
        <v>2.7774999999999999</v>
      </c>
    </row>
    <row r="46" spans="2:28" x14ac:dyDescent="0.4">
      <c r="B46" s="11">
        <v>29</v>
      </c>
      <c r="C46" s="16">
        <f t="shared" si="1"/>
        <v>2.2781921928623179</v>
      </c>
      <c r="D46" s="17">
        <f t="shared" si="3"/>
        <v>2.5313246587359086</v>
      </c>
      <c r="E46" s="17">
        <f t="shared" si="2"/>
        <v>2.7844571246094993</v>
      </c>
      <c r="F46" s="2">
        <v>2.6438000000000001</v>
      </c>
      <c r="G46" s="2" t="str">
        <f t="shared" si="0"/>
        <v>Pass</v>
      </c>
      <c r="Y46" s="2">
        <v>31</v>
      </c>
      <c r="Z46" s="2">
        <v>0.27829999999999999</v>
      </c>
      <c r="AA46" s="2">
        <v>0.3049</v>
      </c>
      <c r="AB46" s="2">
        <v>3.0775999999999999</v>
      </c>
    </row>
    <row r="47" spans="2:28" x14ac:dyDescent="0.4">
      <c r="B47" s="11">
        <v>30</v>
      </c>
      <c r="C47" s="16">
        <f t="shared" si="1"/>
        <v>2.4365269919682002</v>
      </c>
      <c r="D47" s="17">
        <f t="shared" si="3"/>
        <v>2.7072522132980001</v>
      </c>
      <c r="E47" s="17">
        <f t="shared" si="2"/>
        <v>2.9779774346278001</v>
      </c>
      <c r="F47" s="2">
        <v>2.7774999999999999</v>
      </c>
      <c r="G47" s="2" t="str">
        <f t="shared" si="0"/>
        <v>Pass</v>
      </c>
      <c r="Y47" s="2">
        <v>32</v>
      </c>
      <c r="Z47" s="2">
        <v>0.27610000000000001</v>
      </c>
      <c r="AA47" s="2">
        <v>0.29970000000000002</v>
      </c>
      <c r="AB47" s="2">
        <v>3.2686000000000002</v>
      </c>
    </row>
    <row r="48" spans="2:28" x14ac:dyDescent="0.4">
      <c r="B48" s="11">
        <v>31</v>
      </c>
      <c r="C48" s="16">
        <f t="shared" si="1"/>
        <v>2.6001806616623178</v>
      </c>
      <c r="D48" s="17">
        <f t="shared" si="3"/>
        <v>2.8890896240692419</v>
      </c>
      <c r="E48" s="17">
        <f t="shared" si="2"/>
        <v>3.177998586476166</v>
      </c>
      <c r="F48" s="2">
        <v>3.0775999999999999</v>
      </c>
      <c r="G48" s="2" t="str">
        <f t="shared" si="0"/>
        <v>Pass</v>
      </c>
      <c r="Y48" s="2">
        <v>33</v>
      </c>
      <c r="Z48" s="2">
        <v>0.27739999999999998</v>
      </c>
      <c r="AA48" s="2">
        <v>0.30059999999999998</v>
      </c>
      <c r="AB48" s="2">
        <v>3.4375</v>
      </c>
    </row>
    <row r="49" spans="2:28" x14ac:dyDescent="0.4">
      <c r="B49" s="11">
        <v>32</v>
      </c>
      <c r="C49" s="16">
        <f t="shared" si="1"/>
        <v>2.769153201944671</v>
      </c>
      <c r="D49" s="17">
        <f t="shared" si="3"/>
        <v>3.0768368910496342</v>
      </c>
      <c r="E49" s="17">
        <f t="shared" si="2"/>
        <v>3.3845205801545974</v>
      </c>
      <c r="F49" s="2">
        <v>3.2686000000000002</v>
      </c>
      <c r="G49" s="2" t="str">
        <f t="shared" si="0"/>
        <v>Pass</v>
      </c>
      <c r="Y49" s="2">
        <v>34</v>
      </c>
      <c r="Z49" s="2">
        <v>0.27679999999999999</v>
      </c>
      <c r="AA49" s="2">
        <v>0.30180000000000001</v>
      </c>
      <c r="AB49" s="2">
        <v>3.6467999999999998</v>
      </c>
    </row>
    <row r="50" spans="2:28" x14ac:dyDescent="0.4">
      <c r="B50" s="11">
        <v>33</v>
      </c>
      <c r="C50" s="16">
        <f t="shared" si="1"/>
        <v>2.9434446128152594</v>
      </c>
      <c r="D50" s="17">
        <f t="shared" si="3"/>
        <v>3.2704940142391772</v>
      </c>
      <c r="E50" s="17">
        <f t="shared" si="2"/>
        <v>3.597543415663095</v>
      </c>
      <c r="F50" s="2">
        <v>3.4375</v>
      </c>
      <c r="G50" s="2" t="str">
        <f t="shared" si="0"/>
        <v>Pass</v>
      </c>
      <c r="Y50" s="2">
        <v>35</v>
      </c>
      <c r="Z50" s="2">
        <v>0.2792</v>
      </c>
      <c r="AA50" s="2">
        <v>0.30109999999999998</v>
      </c>
      <c r="AB50" s="2">
        <v>3.8136000000000001</v>
      </c>
    </row>
    <row r="51" spans="2:28" x14ac:dyDescent="0.4">
      <c r="B51" s="11">
        <v>34</v>
      </c>
      <c r="C51" s="16">
        <f t="shared" si="1"/>
        <v>3.1230548942740826</v>
      </c>
      <c r="D51" s="17">
        <f t="shared" si="3"/>
        <v>3.4700609936378695</v>
      </c>
      <c r="E51" s="17">
        <f t="shared" si="2"/>
        <v>3.8170670930016564</v>
      </c>
      <c r="F51" s="2">
        <v>3.6467999999999998</v>
      </c>
      <c r="G51" s="2" t="str">
        <f t="shared" si="0"/>
        <v>Pass</v>
      </c>
      <c r="Y51" s="2">
        <v>36</v>
      </c>
      <c r="Z51" s="2">
        <v>0.27739999999999998</v>
      </c>
      <c r="AA51" s="2">
        <v>0.29899999999999999</v>
      </c>
      <c r="AB51" s="2">
        <v>4.0471000000000004</v>
      </c>
    </row>
    <row r="52" spans="2:28" x14ac:dyDescent="0.4">
      <c r="B52" s="11">
        <v>35</v>
      </c>
      <c r="C52" s="16">
        <f t="shared" si="1"/>
        <v>3.3079840463211423</v>
      </c>
      <c r="D52" s="17">
        <f t="shared" si="3"/>
        <v>3.6755378292457137</v>
      </c>
      <c r="E52" s="17">
        <f t="shared" si="2"/>
        <v>4.0430916121702847</v>
      </c>
      <c r="F52" s="2">
        <v>3.8136000000000001</v>
      </c>
      <c r="G52" s="2" t="str">
        <f t="shared" si="0"/>
        <v>Pass</v>
      </c>
      <c r="Y52" s="2">
        <v>37</v>
      </c>
      <c r="Z52" s="2">
        <v>0.27839999999999998</v>
      </c>
      <c r="AA52" s="2">
        <v>0.29859999999999998</v>
      </c>
      <c r="AB52" s="2">
        <v>4.2125000000000004</v>
      </c>
    </row>
    <row r="53" spans="2:28" x14ac:dyDescent="0.4">
      <c r="B53" s="11">
        <v>36</v>
      </c>
      <c r="C53" s="16">
        <f t="shared" si="1"/>
        <v>3.4982320689564355</v>
      </c>
      <c r="D53" s="17">
        <f t="shared" si="3"/>
        <v>3.8869245210627059</v>
      </c>
      <c r="E53" s="17">
        <f t="shared" si="2"/>
        <v>4.2756169731689768</v>
      </c>
      <c r="F53" s="2">
        <v>4.0471000000000004</v>
      </c>
      <c r="G53" s="2" t="str">
        <f t="shared" si="0"/>
        <v>Pass</v>
      </c>
      <c r="Y53" s="2">
        <v>38</v>
      </c>
      <c r="Z53" s="2">
        <v>0.27850000000000003</v>
      </c>
      <c r="AA53" s="2">
        <v>0.2964</v>
      </c>
      <c r="AB53" s="2">
        <v>4.4599000000000002</v>
      </c>
    </row>
    <row r="54" spans="2:28" x14ac:dyDescent="0.4">
      <c r="B54" s="11">
        <v>37</v>
      </c>
      <c r="C54" s="16">
        <f t="shared" si="1"/>
        <v>3.6937989621799661</v>
      </c>
      <c r="D54" s="17">
        <f t="shared" si="3"/>
        <v>4.104221069088851</v>
      </c>
      <c r="E54" s="17">
        <f t="shared" si="2"/>
        <v>4.5146431759977359</v>
      </c>
      <c r="F54" s="2">
        <v>4.2125000000000004</v>
      </c>
      <c r="G54" s="2" t="str">
        <f t="shared" si="0"/>
        <v>Pass</v>
      </c>
      <c r="Y54" s="2">
        <v>39</v>
      </c>
      <c r="Z54" s="2">
        <v>0.2792</v>
      </c>
      <c r="AA54" s="2">
        <v>0.29749999999999999</v>
      </c>
      <c r="AB54" s="2">
        <v>4.6608999999999998</v>
      </c>
    </row>
    <row r="55" spans="2:28" x14ac:dyDescent="0.4">
      <c r="B55" s="11">
        <v>38</v>
      </c>
      <c r="C55" s="16">
        <f t="shared" si="1"/>
        <v>3.8946847259917301</v>
      </c>
      <c r="D55" s="17">
        <f t="shared" si="3"/>
        <v>4.3274274733241445</v>
      </c>
      <c r="E55" s="17">
        <f t="shared" si="2"/>
        <v>4.7601702206565593</v>
      </c>
      <c r="F55" s="2">
        <v>4.4599000000000002</v>
      </c>
      <c r="G55" s="2" t="str">
        <f t="shared" si="0"/>
        <v>Pass</v>
      </c>
      <c r="Y55" s="2">
        <v>40</v>
      </c>
      <c r="Z55" s="2">
        <v>0.27979999999999999</v>
      </c>
      <c r="AA55" s="2">
        <v>0.29930000000000001</v>
      </c>
      <c r="AB55" s="2">
        <v>4.9377000000000004</v>
      </c>
    </row>
    <row r="56" spans="2:28" x14ac:dyDescent="0.4">
      <c r="B56" s="11">
        <v>39</v>
      </c>
      <c r="C56" s="16">
        <f t="shared" si="1"/>
        <v>4.1008893603917294</v>
      </c>
      <c r="D56" s="17">
        <f t="shared" si="3"/>
        <v>4.5565437337685886</v>
      </c>
      <c r="E56" s="17">
        <f t="shared" si="2"/>
        <v>5.0121981071454478</v>
      </c>
      <c r="F56" s="2">
        <v>4.6608999999999998</v>
      </c>
      <c r="G56" s="2" t="str">
        <f t="shared" si="0"/>
        <v>Pass</v>
      </c>
      <c r="Y56" s="2">
        <v>41</v>
      </c>
      <c r="Z56" s="2">
        <v>0.27710000000000001</v>
      </c>
      <c r="AA56" s="2">
        <v>0.29480000000000001</v>
      </c>
      <c r="AB56" s="2">
        <v>5.1405000000000003</v>
      </c>
    </row>
    <row r="57" spans="2:28" x14ac:dyDescent="0.4">
      <c r="B57" s="11">
        <v>40</v>
      </c>
      <c r="C57" s="16">
        <f t="shared" si="1"/>
        <v>4.3124128653799652</v>
      </c>
      <c r="D57" s="17">
        <f t="shared" si="3"/>
        <v>4.7915698504221833</v>
      </c>
      <c r="E57" s="17">
        <f t="shared" si="2"/>
        <v>5.2707268354644015</v>
      </c>
      <c r="F57" s="2">
        <v>4.9377000000000004</v>
      </c>
      <c r="G57" s="2" t="str">
        <f t="shared" si="0"/>
        <v>Pass</v>
      </c>
      <c r="Y57" s="2">
        <v>42</v>
      </c>
      <c r="Z57" s="2">
        <v>0.27739999999999998</v>
      </c>
      <c r="AA57" s="2">
        <v>0.29399999999999998</v>
      </c>
      <c r="AB57" s="2">
        <v>5.4284999999999997</v>
      </c>
    </row>
    <row r="58" spans="2:28" x14ac:dyDescent="0.4">
      <c r="B58" s="11">
        <v>41</v>
      </c>
      <c r="C58" s="16">
        <f t="shared" si="1"/>
        <v>4.5292552409564362</v>
      </c>
      <c r="D58" s="17">
        <f t="shared" si="3"/>
        <v>5.0325058232849287</v>
      </c>
      <c r="E58" s="17">
        <f t="shared" si="2"/>
        <v>5.5357564056134212</v>
      </c>
      <c r="F58" s="2">
        <v>5.1405000000000003</v>
      </c>
      <c r="G58" s="2" t="str">
        <f t="shared" si="0"/>
        <v>Pass</v>
      </c>
      <c r="Y58" s="2">
        <v>43</v>
      </c>
      <c r="Z58" s="2">
        <v>0.27860000000000001</v>
      </c>
      <c r="AA58" s="2">
        <v>0.29470000000000002</v>
      </c>
      <c r="AB58" s="2">
        <v>5.6509999999999998</v>
      </c>
    </row>
    <row r="59" spans="2:28" x14ac:dyDescent="0.4">
      <c r="B59" s="11">
        <v>42</v>
      </c>
      <c r="C59" s="16">
        <f t="shared" si="1"/>
        <v>4.7514164871211415</v>
      </c>
      <c r="D59" s="17">
        <f t="shared" si="3"/>
        <v>5.2793516523568238</v>
      </c>
      <c r="E59" s="17">
        <f t="shared" si="2"/>
        <v>5.8072868175925061</v>
      </c>
      <c r="F59" s="2">
        <v>5.4284999999999997</v>
      </c>
      <c r="G59" s="2" t="str">
        <f t="shared" si="0"/>
        <v>Pass</v>
      </c>
      <c r="Y59" s="2">
        <v>44</v>
      </c>
      <c r="Z59" s="2">
        <v>0.27900000000000003</v>
      </c>
      <c r="AA59" s="2">
        <v>0.29509999999999997</v>
      </c>
      <c r="AB59" s="2">
        <v>5.9486999999999997</v>
      </c>
    </row>
    <row r="60" spans="2:28" x14ac:dyDescent="0.4">
      <c r="B60" s="11">
        <v>43</v>
      </c>
      <c r="C60" s="16">
        <f t="shared" si="1"/>
        <v>4.9788966038740838</v>
      </c>
      <c r="D60" s="17">
        <f t="shared" si="3"/>
        <v>5.5321073376378704</v>
      </c>
      <c r="E60" s="17">
        <f t="shared" si="2"/>
        <v>6.085318071401657</v>
      </c>
      <c r="F60" s="2">
        <v>5.6509999999999998</v>
      </c>
      <c r="G60" s="2" t="str">
        <f t="shared" si="0"/>
        <v>Pass</v>
      </c>
      <c r="Y60" s="2">
        <v>45</v>
      </c>
      <c r="Z60" s="2">
        <v>0.2792</v>
      </c>
      <c r="AA60" s="2">
        <v>0.2959</v>
      </c>
      <c r="AB60" s="2">
        <v>6.1554000000000002</v>
      </c>
    </row>
    <row r="61" spans="2:28" x14ac:dyDescent="0.4">
      <c r="B61" s="11">
        <v>44</v>
      </c>
      <c r="C61" s="16">
        <f t="shared" si="1"/>
        <v>5.2116955912152596</v>
      </c>
      <c r="D61" s="17">
        <f t="shared" si="3"/>
        <v>5.7907728791280659</v>
      </c>
      <c r="E61" s="17">
        <f t="shared" si="2"/>
        <v>6.3698501670408723</v>
      </c>
      <c r="F61" s="2">
        <v>5.9486999999999997</v>
      </c>
      <c r="G61" s="2" t="str">
        <f t="shared" si="0"/>
        <v>Pass</v>
      </c>
      <c r="Y61" s="2">
        <v>46</v>
      </c>
      <c r="Z61" s="2">
        <v>0.28060000000000002</v>
      </c>
      <c r="AA61" s="2">
        <v>0.2959</v>
      </c>
      <c r="AB61" s="2">
        <v>6.3821000000000003</v>
      </c>
    </row>
    <row r="62" spans="2:28" x14ac:dyDescent="0.4">
      <c r="B62" s="11">
        <v>45</v>
      </c>
      <c r="C62" s="16">
        <f t="shared" si="1"/>
        <v>5.4498134491446724</v>
      </c>
      <c r="D62" s="17">
        <f t="shared" si="3"/>
        <v>6.0553482768274138</v>
      </c>
      <c r="E62" s="17">
        <f t="shared" si="2"/>
        <v>6.6608831045101553</v>
      </c>
      <c r="F62" s="2">
        <v>6.1554000000000002</v>
      </c>
      <c r="G62" s="2" t="str">
        <f t="shared" si="0"/>
        <v>Pass</v>
      </c>
      <c r="Y62" s="2">
        <v>47</v>
      </c>
      <c r="Z62" s="2">
        <v>0.28089999999999998</v>
      </c>
      <c r="AA62" s="2">
        <v>0.29680000000000001</v>
      </c>
      <c r="AB62" s="2">
        <v>6.7202999999999999</v>
      </c>
    </row>
    <row r="63" spans="2:28" x14ac:dyDescent="0.4">
      <c r="B63" s="11">
        <v>46</v>
      </c>
      <c r="C63" s="16">
        <f t="shared" si="1"/>
        <v>5.6932501776623177</v>
      </c>
      <c r="D63" s="17">
        <f t="shared" si="3"/>
        <v>6.3258335307359088</v>
      </c>
      <c r="E63" s="17">
        <f t="shared" si="2"/>
        <v>6.9584168838095</v>
      </c>
      <c r="F63" s="2">
        <v>6.3821000000000003</v>
      </c>
      <c r="G63" s="2" t="str">
        <f t="shared" si="0"/>
        <v>Pass</v>
      </c>
      <c r="Y63" s="2">
        <v>48</v>
      </c>
      <c r="Z63" s="2">
        <v>0.28120000000000001</v>
      </c>
      <c r="AA63" s="2">
        <v>0.29759999999999998</v>
      </c>
      <c r="AB63" s="2">
        <v>6.9802999999999997</v>
      </c>
    </row>
    <row r="64" spans="2:28" x14ac:dyDescent="0.4">
      <c r="B64" s="11">
        <v>47</v>
      </c>
      <c r="C64" s="16">
        <f t="shared" si="1"/>
        <v>5.9420057767682017</v>
      </c>
      <c r="D64" s="17">
        <f t="shared" si="3"/>
        <v>6.6022286408535571</v>
      </c>
      <c r="E64" s="17">
        <f t="shared" si="2"/>
        <v>7.2624515049389124</v>
      </c>
      <c r="F64" s="2">
        <v>6.7202999999999999</v>
      </c>
      <c r="G64" s="2" t="str">
        <f t="shared" si="0"/>
        <v>Pass</v>
      </c>
      <c r="Y64" s="2">
        <v>49</v>
      </c>
      <c r="Z64" s="2">
        <v>0.28179999999999999</v>
      </c>
      <c r="AA64" s="2">
        <v>0.29770000000000002</v>
      </c>
      <c r="AB64" s="2">
        <v>7.2767999999999997</v>
      </c>
    </row>
    <row r="65" spans="2:28" x14ac:dyDescent="0.4">
      <c r="B65" s="11">
        <v>48</v>
      </c>
      <c r="C65" s="16">
        <f t="shared" si="1"/>
        <v>6.1960802464623175</v>
      </c>
      <c r="D65" s="17">
        <f t="shared" si="3"/>
        <v>6.8845336071803525</v>
      </c>
      <c r="E65" s="17">
        <f t="shared" si="2"/>
        <v>7.5729869678983874</v>
      </c>
      <c r="F65" s="2">
        <v>6.9802999999999997</v>
      </c>
      <c r="G65" s="2" t="str">
        <f t="shared" si="0"/>
        <v>Pass</v>
      </c>
      <c r="Y65" s="2">
        <v>50</v>
      </c>
      <c r="Z65" s="2">
        <v>0.2828</v>
      </c>
      <c r="AA65" s="2">
        <v>0.29749999999999999</v>
      </c>
      <c r="AB65" s="2">
        <v>7.5434000000000001</v>
      </c>
    </row>
    <row r="66" spans="2:28" x14ac:dyDescent="0.4">
      <c r="B66" s="11">
        <v>49</v>
      </c>
      <c r="C66" s="16">
        <f t="shared" si="1"/>
        <v>6.4554735867446729</v>
      </c>
      <c r="D66" s="17">
        <f t="shared" si="3"/>
        <v>7.1727484297163029</v>
      </c>
      <c r="E66" s="17">
        <f t="shared" si="2"/>
        <v>7.8900232726879329</v>
      </c>
      <c r="F66" s="2">
        <v>7.2767999999999997</v>
      </c>
      <c r="G66" s="2" t="str">
        <f t="shared" si="0"/>
        <v>Pass</v>
      </c>
      <c r="Y66" s="2">
        <v>51</v>
      </c>
      <c r="Z66" s="2">
        <v>0.28039999999999998</v>
      </c>
      <c r="AA66" s="2">
        <v>0.29320000000000002</v>
      </c>
      <c r="AB66" s="2">
        <v>7.9283999999999999</v>
      </c>
    </row>
    <row r="67" spans="2:28" x14ac:dyDescent="0.4">
      <c r="B67" s="11">
        <v>50</v>
      </c>
      <c r="C67" s="16">
        <f t="shared" si="1"/>
        <v>6.720185797615259</v>
      </c>
      <c r="D67" s="17">
        <f t="shared" si="3"/>
        <v>7.4668731084613986</v>
      </c>
      <c r="E67" s="17">
        <f t="shared" si="2"/>
        <v>8.2135604193075391</v>
      </c>
      <c r="F67" s="2">
        <v>7.5434000000000001</v>
      </c>
      <c r="G67" s="2" t="str">
        <f t="shared" si="0"/>
        <v>Pass</v>
      </c>
      <c r="Y67" s="2">
        <v>52</v>
      </c>
      <c r="Z67" s="2">
        <v>0.28089999999999998</v>
      </c>
      <c r="AA67" s="2">
        <v>0.29430000000000001</v>
      </c>
      <c r="AB67" s="2">
        <v>8.1959</v>
      </c>
    </row>
    <row r="68" spans="2:28" x14ac:dyDescent="0.4">
      <c r="B68" s="11">
        <v>51</v>
      </c>
      <c r="C68" s="16">
        <f t="shared" si="1"/>
        <v>6.9902168790740848</v>
      </c>
      <c r="D68" s="17">
        <f t="shared" si="3"/>
        <v>7.7669076434156494</v>
      </c>
      <c r="E68" s="17">
        <f t="shared" si="2"/>
        <v>8.543598407757214</v>
      </c>
      <c r="F68" s="2">
        <v>7.9283999999999999</v>
      </c>
      <c r="G68" s="2" t="str">
        <f t="shared" si="0"/>
        <v>Pass</v>
      </c>
      <c r="Y68" s="2">
        <v>53</v>
      </c>
      <c r="Z68" s="2">
        <v>0.28149999999999997</v>
      </c>
      <c r="AA68" s="2">
        <v>0.29470000000000002</v>
      </c>
      <c r="AB68" s="2">
        <v>8.5762999999999998</v>
      </c>
    </row>
    <row r="69" spans="2:28" x14ac:dyDescent="0.4">
      <c r="B69" s="11">
        <v>52</v>
      </c>
      <c r="C69" s="16">
        <f t="shared" si="1"/>
        <v>7.2655668311211397</v>
      </c>
      <c r="D69" s="17">
        <f t="shared" si="3"/>
        <v>8.0728520345790447</v>
      </c>
      <c r="E69" s="17">
        <f t="shared" si="2"/>
        <v>8.8801372380369497</v>
      </c>
      <c r="F69" s="2">
        <v>8.1959</v>
      </c>
      <c r="G69" s="2" t="str">
        <f t="shared" si="0"/>
        <v>Pass</v>
      </c>
      <c r="Y69" s="2">
        <v>54</v>
      </c>
      <c r="Z69" s="2">
        <v>0.2792</v>
      </c>
      <c r="AA69" s="2">
        <v>0.29509999999999997</v>
      </c>
      <c r="AB69" s="2">
        <v>8.8064</v>
      </c>
    </row>
    <row r="70" spans="2:28" x14ac:dyDescent="0.4">
      <c r="B70" s="11">
        <v>53</v>
      </c>
      <c r="C70" s="16">
        <f t="shared" si="1"/>
        <v>7.5462356537564359</v>
      </c>
      <c r="D70" s="17">
        <f t="shared" si="3"/>
        <v>8.3847062819515958</v>
      </c>
      <c r="E70" s="17">
        <f t="shared" si="2"/>
        <v>9.2231769101467549</v>
      </c>
      <c r="F70" s="2">
        <v>8.5762999999999998</v>
      </c>
      <c r="G70" s="2" t="str">
        <f t="shared" si="0"/>
        <v>Pass</v>
      </c>
      <c r="Y70" s="2">
        <v>55</v>
      </c>
      <c r="Z70" s="2">
        <v>0.27960000000000002</v>
      </c>
      <c r="AA70" s="2">
        <v>0.29580000000000001</v>
      </c>
      <c r="AB70" s="2">
        <v>9.1669</v>
      </c>
    </row>
    <row r="71" spans="2:28" x14ac:dyDescent="0.4">
      <c r="B71" s="11">
        <v>54</v>
      </c>
      <c r="C71" s="16">
        <f t="shared" si="1"/>
        <v>7.8322233469799647</v>
      </c>
      <c r="D71" s="17">
        <f t="shared" si="3"/>
        <v>8.7024703855332941</v>
      </c>
      <c r="E71" s="17">
        <f t="shared" si="2"/>
        <v>9.5727174240866226</v>
      </c>
      <c r="F71" s="2">
        <v>8.8064</v>
      </c>
      <c r="G71" s="2" t="str">
        <f t="shared" si="0"/>
        <v>Pass</v>
      </c>
      <c r="Y71" s="2">
        <v>56</v>
      </c>
      <c r="Z71" s="2">
        <v>0.28029999999999999</v>
      </c>
      <c r="AA71" s="2">
        <v>0.29599999999999999</v>
      </c>
      <c r="AB71" s="2">
        <v>9.5000999999999998</v>
      </c>
    </row>
    <row r="72" spans="2:28" x14ac:dyDescent="0.4">
      <c r="B72" s="11">
        <v>55</v>
      </c>
      <c r="C72" s="16">
        <f t="shared" si="1"/>
        <v>8.1235299107917296</v>
      </c>
      <c r="D72" s="17">
        <f t="shared" si="3"/>
        <v>9.0261443453241448</v>
      </c>
      <c r="E72" s="17">
        <f t="shared" si="2"/>
        <v>9.92875877985656</v>
      </c>
      <c r="F72" s="2">
        <v>9.1669</v>
      </c>
      <c r="G72" s="2" t="str">
        <f t="shared" si="0"/>
        <v>Pass</v>
      </c>
      <c r="Y72" s="2">
        <v>57</v>
      </c>
      <c r="Z72" s="2">
        <v>0.2797</v>
      </c>
      <c r="AA72" s="2">
        <v>0.29630000000000001</v>
      </c>
      <c r="AB72" s="2">
        <v>9.8529</v>
      </c>
    </row>
    <row r="73" spans="2:28" x14ac:dyDescent="0.4">
      <c r="B73" s="11">
        <v>56</v>
      </c>
      <c r="C73" s="16">
        <f t="shared" si="1"/>
        <v>8.4201553451917306</v>
      </c>
      <c r="D73" s="17">
        <f t="shared" si="3"/>
        <v>9.3557281613241443</v>
      </c>
      <c r="E73" s="17">
        <f t="shared" si="2"/>
        <v>10.291300977456558</v>
      </c>
      <c r="F73" s="2">
        <v>9.5000999999999998</v>
      </c>
      <c r="G73" s="2" t="str">
        <f t="shared" si="0"/>
        <v>Pass</v>
      </c>
      <c r="Y73" s="2">
        <v>58</v>
      </c>
      <c r="Z73" s="2">
        <v>0.27989999999999998</v>
      </c>
      <c r="AA73" s="2">
        <v>0.29649999999999999</v>
      </c>
      <c r="AB73" s="2">
        <v>10.2164</v>
      </c>
    </row>
    <row r="74" spans="2:28" x14ac:dyDescent="0.4">
      <c r="B74" s="11">
        <v>57</v>
      </c>
      <c r="C74" s="16">
        <f t="shared" si="1"/>
        <v>8.722099650179965</v>
      </c>
      <c r="D74" s="17">
        <f t="shared" si="3"/>
        <v>9.6912218335332945</v>
      </c>
      <c r="E74" s="17">
        <f t="shared" si="2"/>
        <v>10.660344016886624</v>
      </c>
      <c r="F74" s="2">
        <v>9.8529</v>
      </c>
      <c r="G74" s="2" t="str">
        <f t="shared" si="0"/>
        <v>Pass</v>
      </c>
      <c r="Y74" s="2">
        <v>59</v>
      </c>
      <c r="Z74" s="2">
        <v>0.28039999999999998</v>
      </c>
      <c r="AA74" s="2">
        <v>0.29699999999999999</v>
      </c>
      <c r="AB74" s="2">
        <v>10.610900000000001</v>
      </c>
    </row>
    <row r="75" spans="2:28" x14ac:dyDescent="0.4">
      <c r="B75" s="11">
        <v>58</v>
      </c>
      <c r="C75" s="16">
        <f t="shared" si="1"/>
        <v>9.0293628257564365</v>
      </c>
      <c r="D75" s="17">
        <f t="shared" si="3"/>
        <v>10.032625361951595</v>
      </c>
      <c r="E75" s="17">
        <f t="shared" si="2"/>
        <v>11.035887898146754</v>
      </c>
      <c r="F75" s="2">
        <v>10.2164</v>
      </c>
      <c r="G75" s="2" t="str">
        <f t="shared" si="0"/>
        <v>Pass</v>
      </c>
      <c r="Y75" s="2">
        <v>60</v>
      </c>
      <c r="Z75" s="2">
        <v>0.28110000000000002</v>
      </c>
      <c r="AA75" s="2">
        <v>0.29699999999999999</v>
      </c>
      <c r="AB75" s="2">
        <v>10.9467</v>
      </c>
    </row>
    <row r="76" spans="2:28" x14ac:dyDescent="0.4">
      <c r="B76" s="11">
        <v>59</v>
      </c>
      <c r="C76" s="16">
        <f t="shared" si="1"/>
        <v>9.3419448719211413</v>
      </c>
      <c r="D76" s="17">
        <f t="shared" si="3"/>
        <v>10.379938746579047</v>
      </c>
      <c r="E76" s="17">
        <f t="shared" si="2"/>
        <v>11.417932621236952</v>
      </c>
      <c r="F76" s="2">
        <v>10.610900000000001</v>
      </c>
      <c r="G76" s="2" t="str">
        <f t="shared" si="0"/>
        <v>Pass</v>
      </c>
      <c r="Y76" s="2">
        <v>61</v>
      </c>
      <c r="Z76" s="2">
        <v>0.2782</v>
      </c>
      <c r="AA76" s="2">
        <v>0.29759999999999998</v>
      </c>
      <c r="AB76" s="2">
        <v>11.167299999999999</v>
      </c>
    </row>
    <row r="77" spans="2:28" x14ac:dyDescent="0.4">
      <c r="B77" s="11">
        <v>60</v>
      </c>
      <c r="C77" s="16">
        <f t="shared" si="1"/>
        <v>9.6598457886740832</v>
      </c>
      <c r="D77" s="17">
        <f t="shared" si="3"/>
        <v>10.733161987415647</v>
      </c>
      <c r="E77" s="17">
        <f t="shared" si="2"/>
        <v>11.806478186157211</v>
      </c>
      <c r="F77" s="2">
        <v>10.9467</v>
      </c>
      <c r="G77" s="2" t="str">
        <f t="shared" si="0"/>
        <v>Pass</v>
      </c>
      <c r="Y77" s="2">
        <v>62</v>
      </c>
      <c r="Z77" s="2">
        <v>0.2787</v>
      </c>
      <c r="AA77" s="2">
        <v>0.29570000000000002</v>
      </c>
      <c r="AB77" s="2">
        <v>11.6153</v>
      </c>
    </row>
    <row r="78" spans="2:28" x14ac:dyDescent="0.4">
      <c r="B78" s="11">
        <v>61</v>
      </c>
      <c r="C78" s="16">
        <f t="shared" si="1"/>
        <v>9.983065576015262</v>
      </c>
      <c r="D78" s="17">
        <f t="shared" si="3"/>
        <v>11.092295084461401</v>
      </c>
      <c r="E78" s="17">
        <f t="shared" si="2"/>
        <v>12.201524592907541</v>
      </c>
      <c r="F78" s="2">
        <v>11.167299999999999</v>
      </c>
      <c r="G78" s="2" t="str">
        <f t="shared" si="0"/>
        <v>Pass</v>
      </c>
      <c r="Y78" s="2">
        <v>63</v>
      </c>
      <c r="Z78" s="2">
        <v>0.27839999999999998</v>
      </c>
      <c r="AA78" s="2">
        <v>0.29199999999999998</v>
      </c>
      <c r="AB78" s="2">
        <v>11.7089</v>
      </c>
    </row>
    <row r="79" spans="2:28" x14ac:dyDescent="0.4">
      <c r="B79" s="11">
        <v>62</v>
      </c>
      <c r="C79" s="16">
        <f t="shared" si="1"/>
        <v>10.311604233944671</v>
      </c>
      <c r="D79" s="17">
        <f t="shared" si="3"/>
        <v>11.457338037716301</v>
      </c>
      <c r="E79" s="17">
        <f t="shared" si="2"/>
        <v>12.603071841487932</v>
      </c>
      <c r="F79" s="2">
        <v>11.6153</v>
      </c>
      <c r="G79" s="2" t="str">
        <f t="shared" si="0"/>
        <v>Pass</v>
      </c>
      <c r="Y79" s="2">
        <v>64</v>
      </c>
      <c r="Z79" s="2">
        <v>0.27850000000000003</v>
      </c>
      <c r="AA79" s="2">
        <v>0.29239999999999999</v>
      </c>
      <c r="AB79" s="2">
        <v>12.164899999999999</v>
      </c>
    </row>
    <row r="80" spans="2:28" x14ac:dyDescent="0.4">
      <c r="B80" s="11">
        <v>63</v>
      </c>
      <c r="C80" s="16">
        <f t="shared" si="1"/>
        <v>10.64546176246232</v>
      </c>
      <c r="D80" s="17">
        <f t="shared" si="3"/>
        <v>11.828290847180355</v>
      </c>
      <c r="E80" s="17">
        <f t="shared" si="2"/>
        <v>13.01111993189839</v>
      </c>
      <c r="F80" s="2">
        <v>11.7089</v>
      </c>
      <c r="G80" s="2" t="str">
        <f t="shared" si="0"/>
        <v>Pass</v>
      </c>
      <c r="Y80" s="2">
        <v>65</v>
      </c>
      <c r="Z80" s="2">
        <v>0.2792</v>
      </c>
      <c r="AA80" s="2">
        <v>0.29270000000000002</v>
      </c>
      <c r="AB80" s="2">
        <v>12.477600000000001</v>
      </c>
    </row>
    <row r="81" spans="2:28" x14ac:dyDescent="0.4">
      <c r="B81" s="11">
        <v>64</v>
      </c>
      <c r="C81" s="16">
        <f t="shared" si="1"/>
        <v>10.984638161568201</v>
      </c>
      <c r="D81" s="17">
        <f t="shared" si="3"/>
        <v>12.205153512853556</v>
      </c>
      <c r="E81" s="17">
        <f t="shared" si="2"/>
        <v>13.425668864138911</v>
      </c>
      <c r="F81" s="2">
        <v>12.164899999999999</v>
      </c>
      <c r="G81" s="2" t="str">
        <f t="shared" ref="G81:G144" si="4">IF(F81&lt;=C81,"Fail",IF(AND(C81&lt;F81,F81&lt;E81),"Pass",IF(E81&lt;=F81,"Fail")))</f>
        <v>Pass</v>
      </c>
      <c r="Y81" s="2">
        <v>66</v>
      </c>
      <c r="Z81" s="2">
        <v>0.27960000000000002</v>
      </c>
      <c r="AA81" s="2">
        <v>0.29289999999999999</v>
      </c>
      <c r="AB81" s="2">
        <v>12.8833</v>
      </c>
    </row>
    <row r="82" spans="2:28" x14ac:dyDescent="0.4">
      <c r="B82" s="11">
        <v>65</v>
      </c>
      <c r="C82" s="16">
        <f t="shared" ref="C82:C145" si="5">D82-D82*(C$14/100)</f>
        <v>11.329133431262322</v>
      </c>
      <c r="D82" s="17">
        <f t="shared" si="3"/>
        <v>12.587926034735913</v>
      </c>
      <c r="E82" s="17">
        <f t="shared" ref="E82:E145" si="6">D82+D82*(C$14/100)</f>
        <v>13.846718638209504</v>
      </c>
      <c r="F82" s="2">
        <v>12.477600000000001</v>
      </c>
      <c r="G82" s="2" t="str">
        <f t="shared" si="4"/>
        <v>Pass</v>
      </c>
      <c r="Y82" s="2">
        <v>67</v>
      </c>
      <c r="Z82" s="2">
        <v>0.28050000000000003</v>
      </c>
      <c r="AA82" s="2">
        <v>0.29370000000000002</v>
      </c>
      <c r="AB82" s="2">
        <v>13.3771</v>
      </c>
    </row>
    <row r="83" spans="2:28" x14ac:dyDescent="0.4">
      <c r="B83" s="11">
        <v>66</v>
      </c>
      <c r="C83" s="16">
        <f t="shared" si="5"/>
        <v>11.678947571544672</v>
      </c>
      <c r="D83" s="17">
        <f t="shared" ref="D83:D146" si="7">D$272*((B83+F$17)/B$272)^C$13</f>
        <v>12.976608412827414</v>
      </c>
      <c r="E83" s="17">
        <f t="shared" si="6"/>
        <v>14.274269254110155</v>
      </c>
      <c r="F83" s="2">
        <v>12.8833</v>
      </c>
      <c r="G83" s="2" t="str">
        <f t="shared" si="4"/>
        <v>Pass</v>
      </c>
      <c r="Y83" s="2">
        <v>68</v>
      </c>
      <c r="Z83" s="2">
        <v>0.28110000000000002</v>
      </c>
      <c r="AA83" s="2">
        <v>0.29470000000000002</v>
      </c>
      <c r="AB83" s="2">
        <v>13.7881</v>
      </c>
    </row>
    <row r="84" spans="2:28" x14ac:dyDescent="0.4">
      <c r="B84" s="11">
        <v>67</v>
      </c>
      <c r="C84" s="16">
        <f t="shared" si="5"/>
        <v>12.03408058241526</v>
      </c>
      <c r="D84" s="17">
        <f t="shared" si="7"/>
        <v>13.371200647128067</v>
      </c>
      <c r="E84" s="17">
        <f t="shared" si="6"/>
        <v>14.708320711840873</v>
      </c>
      <c r="F84" s="2">
        <v>13.3771</v>
      </c>
      <c r="G84" s="2" t="str">
        <f t="shared" si="4"/>
        <v>Pass</v>
      </c>
      <c r="Y84" s="2">
        <v>69</v>
      </c>
      <c r="Z84" s="2">
        <v>0.28010000000000002</v>
      </c>
      <c r="AA84" s="2">
        <v>0.29559999999999997</v>
      </c>
      <c r="AB84" s="2">
        <v>14.1998</v>
      </c>
    </row>
    <row r="85" spans="2:28" x14ac:dyDescent="0.4">
      <c r="B85" s="11">
        <v>68</v>
      </c>
      <c r="C85" s="16">
        <f t="shared" si="5"/>
        <v>12.394532463874082</v>
      </c>
      <c r="D85" s="17">
        <f t="shared" si="7"/>
        <v>13.77170273763787</v>
      </c>
      <c r="E85" s="17">
        <f t="shared" si="6"/>
        <v>15.148873011401658</v>
      </c>
      <c r="F85" s="2">
        <v>13.7881</v>
      </c>
      <c r="G85" s="2" t="str">
        <f t="shared" si="4"/>
        <v>Pass</v>
      </c>
      <c r="Y85" s="2">
        <v>70</v>
      </c>
      <c r="Z85" s="2">
        <v>0.28070000000000001</v>
      </c>
      <c r="AA85" s="2">
        <v>0.29580000000000001</v>
      </c>
      <c r="AB85" s="2">
        <v>14.563700000000001</v>
      </c>
    </row>
    <row r="86" spans="2:28" x14ac:dyDescent="0.4">
      <c r="B86" s="11">
        <v>69</v>
      </c>
      <c r="C86" s="16">
        <f t="shared" si="5"/>
        <v>12.760303215921146</v>
      </c>
      <c r="D86" s="17">
        <f t="shared" si="7"/>
        <v>14.17811468435683</v>
      </c>
      <c r="E86" s="17">
        <f t="shared" si="6"/>
        <v>15.595926152792513</v>
      </c>
      <c r="F86" s="2">
        <v>14.1998</v>
      </c>
      <c r="G86" s="2" t="str">
        <f t="shared" si="4"/>
        <v>Pass</v>
      </c>
      <c r="Y86" s="2">
        <v>71</v>
      </c>
      <c r="Z86" s="2">
        <v>0.28070000000000001</v>
      </c>
      <c r="AA86" s="2">
        <v>0.29680000000000001</v>
      </c>
      <c r="AB86" s="2">
        <v>15.1037</v>
      </c>
    </row>
    <row r="87" spans="2:28" x14ac:dyDescent="0.4">
      <c r="B87" s="11">
        <v>70</v>
      </c>
      <c r="C87" s="16">
        <f t="shared" si="5"/>
        <v>13.131392838556438</v>
      </c>
      <c r="D87" s="17">
        <f t="shared" si="7"/>
        <v>14.590436487284931</v>
      </c>
      <c r="E87" s="17">
        <f t="shared" si="6"/>
        <v>16.049480136013425</v>
      </c>
      <c r="F87" s="2">
        <v>14.563700000000001</v>
      </c>
      <c r="G87" s="2" t="str">
        <f t="shared" si="4"/>
        <v>Pass</v>
      </c>
      <c r="Y87" s="2">
        <v>72</v>
      </c>
      <c r="Z87" s="2">
        <v>0.28120000000000001</v>
      </c>
      <c r="AA87" s="2">
        <v>0.29720000000000002</v>
      </c>
      <c r="AB87" s="2">
        <v>15.547599999999999</v>
      </c>
    </row>
    <row r="88" spans="2:28" x14ac:dyDescent="0.4">
      <c r="B88" s="11">
        <v>71</v>
      </c>
      <c r="C88" s="16">
        <f t="shared" si="5"/>
        <v>13.507801331779966</v>
      </c>
      <c r="D88" s="17">
        <f t="shared" si="7"/>
        <v>15.008668146422185</v>
      </c>
      <c r="E88" s="17">
        <f t="shared" si="6"/>
        <v>16.509534961064404</v>
      </c>
      <c r="F88" s="2">
        <v>15.1037</v>
      </c>
      <c r="G88" s="2" t="str">
        <f t="shared" si="4"/>
        <v>Pass</v>
      </c>
      <c r="Y88" s="2">
        <v>73</v>
      </c>
      <c r="Z88" s="2">
        <v>0.28170000000000001</v>
      </c>
      <c r="AA88" s="2">
        <v>0.29799999999999999</v>
      </c>
      <c r="AB88" s="2">
        <v>16.094999999999999</v>
      </c>
    </row>
    <row r="89" spans="2:28" x14ac:dyDescent="0.4">
      <c r="B89" s="11">
        <v>72</v>
      </c>
      <c r="C89" s="16">
        <f t="shared" si="5"/>
        <v>13.88952869559173</v>
      </c>
      <c r="D89" s="17">
        <f t="shared" si="7"/>
        <v>15.432809661768589</v>
      </c>
      <c r="E89" s="17">
        <f t="shared" si="6"/>
        <v>16.97609062794545</v>
      </c>
      <c r="F89" s="2">
        <v>15.547599999999999</v>
      </c>
      <c r="G89" s="2" t="str">
        <f t="shared" si="4"/>
        <v>Pass</v>
      </c>
      <c r="Y89" s="2">
        <v>74</v>
      </c>
      <c r="Z89" s="2">
        <v>0.28149999999999997</v>
      </c>
      <c r="AA89" s="2">
        <v>0.29809999999999998</v>
      </c>
      <c r="AB89" s="2">
        <v>16.466000000000001</v>
      </c>
    </row>
    <row r="90" spans="2:28" x14ac:dyDescent="0.4">
      <c r="B90" s="11">
        <v>73</v>
      </c>
      <c r="C90" s="16">
        <f t="shared" si="5"/>
        <v>14.276574929991732</v>
      </c>
      <c r="D90" s="17">
        <f t="shared" si="7"/>
        <v>15.862861033324148</v>
      </c>
      <c r="E90" s="17">
        <f t="shared" si="6"/>
        <v>17.449147136656563</v>
      </c>
      <c r="F90" s="2">
        <v>16.094999999999999</v>
      </c>
      <c r="G90" s="2" t="str">
        <f t="shared" si="4"/>
        <v>Pass</v>
      </c>
      <c r="Y90" s="2">
        <v>75</v>
      </c>
      <c r="Z90" s="2">
        <v>0.28170000000000001</v>
      </c>
      <c r="AA90" s="2">
        <v>0.29849999999999999</v>
      </c>
      <c r="AB90" s="2">
        <v>16.9787</v>
      </c>
    </row>
    <row r="91" spans="2:28" x14ac:dyDescent="0.4">
      <c r="B91" s="11">
        <v>74</v>
      </c>
      <c r="C91" s="16">
        <f t="shared" si="5"/>
        <v>14.668940034979967</v>
      </c>
      <c r="D91" s="17">
        <f t="shared" si="7"/>
        <v>16.298822261088851</v>
      </c>
      <c r="E91" s="17">
        <f t="shared" si="6"/>
        <v>17.928704487197738</v>
      </c>
      <c r="F91" s="2">
        <v>16.466000000000001</v>
      </c>
      <c r="G91" s="2" t="str">
        <f t="shared" si="4"/>
        <v>Pass</v>
      </c>
      <c r="Y91" s="2">
        <v>76</v>
      </c>
      <c r="Z91" s="2">
        <v>0.28199999999999997</v>
      </c>
      <c r="AA91" s="2">
        <v>0.29909999999999998</v>
      </c>
      <c r="AB91" s="2">
        <v>17.442299999999999</v>
      </c>
    </row>
    <row r="92" spans="2:28" x14ac:dyDescent="0.4">
      <c r="B92" s="11">
        <v>75</v>
      </c>
      <c r="C92" s="16">
        <f t="shared" si="5"/>
        <v>15.066624010556435</v>
      </c>
      <c r="D92" s="17">
        <f t="shared" si="7"/>
        <v>16.740693345062706</v>
      </c>
      <c r="E92" s="17">
        <f t="shared" si="6"/>
        <v>18.414762679568977</v>
      </c>
      <c r="F92" s="2">
        <v>16.9787</v>
      </c>
      <c r="G92" s="2" t="str">
        <f t="shared" si="4"/>
        <v>Pass</v>
      </c>
      <c r="Y92" s="2">
        <v>77</v>
      </c>
      <c r="Z92" s="2">
        <v>0.28029999999999999</v>
      </c>
      <c r="AA92" s="2">
        <v>0.29530000000000001</v>
      </c>
      <c r="AB92" s="2">
        <v>17.488800000000001</v>
      </c>
    </row>
    <row r="93" spans="2:28" x14ac:dyDescent="0.4">
      <c r="B93" s="11">
        <v>76</v>
      </c>
      <c r="C93" s="16">
        <f t="shared" si="5"/>
        <v>15.46962685672114</v>
      </c>
      <c r="D93" s="17">
        <f t="shared" si="7"/>
        <v>17.188474285245711</v>
      </c>
      <c r="E93" s="17">
        <f t="shared" si="6"/>
        <v>18.907321713770283</v>
      </c>
      <c r="F93" s="2">
        <v>17.442299999999999</v>
      </c>
      <c r="G93" s="2" t="str">
        <f t="shared" si="4"/>
        <v>Pass</v>
      </c>
      <c r="Y93" s="2">
        <v>78</v>
      </c>
      <c r="Z93" s="2">
        <v>0.28089999999999998</v>
      </c>
      <c r="AA93" s="2">
        <v>0.29570000000000002</v>
      </c>
      <c r="AB93" s="2">
        <v>18.067799999999998</v>
      </c>
    </row>
    <row r="94" spans="2:28" x14ac:dyDescent="0.4">
      <c r="B94" s="11">
        <v>77</v>
      </c>
      <c r="C94" s="16">
        <f t="shared" si="5"/>
        <v>15.877948573474086</v>
      </c>
      <c r="D94" s="17">
        <f t="shared" si="7"/>
        <v>17.642165081637874</v>
      </c>
      <c r="E94" s="17">
        <f t="shared" si="6"/>
        <v>19.406381589801661</v>
      </c>
      <c r="F94" s="2">
        <v>17.488800000000001</v>
      </c>
      <c r="G94" s="2" t="str">
        <f t="shared" si="4"/>
        <v>Pass</v>
      </c>
      <c r="Y94" s="2">
        <v>79</v>
      </c>
      <c r="Z94" s="2">
        <v>0.28120000000000001</v>
      </c>
      <c r="AA94" s="2">
        <v>0.2959</v>
      </c>
      <c r="AB94" s="2">
        <v>18.4941</v>
      </c>
    </row>
    <row r="95" spans="2:28" x14ac:dyDescent="0.4">
      <c r="B95" s="11">
        <v>78</v>
      </c>
      <c r="C95" s="16">
        <f t="shared" si="5"/>
        <v>16.291589160815263</v>
      </c>
      <c r="D95" s="17">
        <f t="shared" si="7"/>
        <v>18.10176573423918</v>
      </c>
      <c r="E95" s="17">
        <f t="shared" si="6"/>
        <v>19.911942307663097</v>
      </c>
      <c r="F95" s="2">
        <v>18.067799999999998</v>
      </c>
      <c r="G95" s="2" t="str">
        <f t="shared" si="4"/>
        <v>Pass</v>
      </c>
      <c r="Y95" s="2">
        <v>80</v>
      </c>
      <c r="Z95" s="2">
        <v>0.28160000000000002</v>
      </c>
      <c r="AA95" s="2">
        <v>0.29670000000000002</v>
      </c>
      <c r="AB95" s="2">
        <v>19.0425</v>
      </c>
    </row>
    <row r="96" spans="2:28" x14ac:dyDescent="0.4">
      <c r="B96" s="11">
        <v>79</v>
      </c>
      <c r="C96" s="16">
        <f t="shared" si="5"/>
        <v>16.710548618744674</v>
      </c>
      <c r="D96" s="17">
        <f t="shared" si="7"/>
        <v>18.567276243049637</v>
      </c>
      <c r="E96" s="17">
        <f t="shared" si="6"/>
        <v>20.4240038673546</v>
      </c>
      <c r="F96" s="2">
        <v>18.4941</v>
      </c>
      <c r="G96" s="2" t="str">
        <f t="shared" si="4"/>
        <v>Pass</v>
      </c>
      <c r="Y96" s="2">
        <v>81</v>
      </c>
      <c r="Z96" s="2">
        <v>0.28199999999999997</v>
      </c>
      <c r="AA96" s="2">
        <v>0.29720000000000002</v>
      </c>
      <c r="AB96" s="2">
        <v>19.554500000000001</v>
      </c>
    </row>
    <row r="97" spans="2:28" x14ac:dyDescent="0.4">
      <c r="B97" s="11">
        <v>80</v>
      </c>
      <c r="C97" s="16">
        <f t="shared" si="5"/>
        <v>17.134826947262319</v>
      </c>
      <c r="D97" s="17">
        <f t="shared" si="7"/>
        <v>19.038696608069245</v>
      </c>
      <c r="E97" s="17">
        <f t="shared" si="6"/>
        <v>20.94256626887617</v>
      </c>
      <c r="F97" s="2">
        <v>19.0425</v>
      </c>
      <c r="G97" s="2" t="str">
        <f t="shared" si="4"/>
        <v>Pass</v>
      </c>
      <c r="Y97" s="2">
        <v>82</v>
      </c>
      <c r="Z97" s="2">
        <v>0.2823</v>
      </c>
      <c r="AA97" s="2">
        <v>0.29709999999999998</v>
      </c>
      <c r="AB97" s="2">
        <v>20.0229</v>
      </c>
    </row>
    <row r="98" spans="2:28" x14ac:dyDescent="0.4">
      <c r="B98" s="11">
        <v>81</v>
      </c>
      <c r="C98" s="16">
        <f t="shared" si="5"/>
        <v>17.564424146368207</v>
      </c>
      <c r="D98" s="17">
        <f t="shared" si="7"/>
        <v>19.516026829298006</v>
      </c>
      <c r="E98" s="17">
        <f t="shared" si="6"/>
        <v>21.467629512227806</v>
      </c>
      <c r="F98" s="2">
        <v>19.554500000000001</v>
      </c>
      <c r="G98" s="2" t="str">
        <f t="shared" si="4"/>
        <v>Pass</v>
      </c>
      <c r="Y98" s="2">
        <v>83</v>
      </c>
      <c r="Z98" s="2">
        <v>0.2828</v>
      </c>
      <c r="AA98" s="2">
        <v>0.2974</v>
      </c>
      <c r="AB98" s="2">
        <v>20.6524</v>
      </c>
    </row>
    <row r="99" spans="2:28" x14ac:dyDescent="0.4">
      <c r="B99" s="11">
        <v>82</v>
      </c>
      <c r="C99" s="16">
        <f t="shared" si="5"/>
        <v>17.999340216062322</v>
      </c>
      <c r="D99" s="17">
        <f t="shared" si="7"/>
        <v>19.999266906735912</v>
      </c>
      <c r="E99" s="17">
        <f t="shared" si="6"/>
        <v>21.999193597409501</v>
      </c>
      <c r="F99" s="2">
        <v>20.0229</v>
      </c>
      <c r="G99" s="2" t="str">
        <f t="shared" si="4"/>
        <v>Pass</v>
      </c>
      <c r="Y99" s="2">
        <v>84</v>
      </c>
      <c r="Z99" s="2">
        <v>0.28310000000000002</v>
      </c>
      <c r="AA99" s="2">
        <v>0.29770000000000002</v>
      </c>
      <c r="AB99" s="2">
        <v>21.120999999999999</v>
      </c>
    </row>
    <row r="100" spans="2:28" x14ac:dyDescent="0.4">
      <c r="B100" s="11">
        <v>83</v>
      </c>
      <c r="C100" s="16">
        <f t="shared" si="5"/>
        <v>18.43957515634467</v>
      </c>
      <c r="D100" s="17">
        <f t="shared" si="7"/>
        <v>20.488416840382968</v>
      </c>
      <c r="E100" s="17">
        <f t="shared" si="6"/>
        <v>22.537258524421265</v>
      </c>
      <c r="F100" s="2">
        <v>20.6524</v>
      </c>
      <c r="G100" s="2" t="str">
        <f t="shared" si="4"/>
        <v>Pass</v>
      </c>
      <c r="Y100" s="2">
        <v>85</v>
      </c>
      <c r="Z100" s="2">
        <v>0.28339999999999999</v>
      </c>
      <c r="AA100" s="2">
        <v>0.29799999999999999</v>
      </c>
      <c r="AB100" s="2">
        <v>21.787299999999998</v>
      </c>
    </row>
    <row r="101" spans="2:28" x14ac:dyDescent="0.4">
      <c r="B101" s="11">
        <v>84</v>
      </c>
      <c r="C101" s="16">
        <f t="shared" si="5"/>
        <v>18.885128967215259</v>
      </c>
      <c r="D101" s="17">
        <f t="shared" si="7"/>
        <v>20.983476630239178</v>
      </c>
      <c r="E101" s="17">
        <f t="shared" si="6"/>
        <v>23.081824293263097</v>
      </c>
      <c r="F101" s="2">
        <v>21.120999999999999</v>
      </c>
      <c r="G101" s="2" t="str">
        <f t="shared" si="4"/>
        <v>Pass</v>
      </c>
      <c r="Y101" s="2">
        <v>86</v>
      </c>
      <c r="Z101" s="2">
        <v>0.28310000000000002</v>
      </c>
      <c r="AA101" s="2">
        <v>0.29730000000000001</v>
      </c>
      <c r="AB101" s="2">
        <v>22.2956</v>
      </c>
    </row>
    <row r="102" spans="2:28" x14ac:dyDescent="0.4">
      <c r="B102" s="11">
        <v>85</v>
      </c>
      <c r="C102" s="16">
        <f t="shared" si="5"/>
        <v>19.336001648674088</v>
      </c>
      <c r="D102" s="17">
        <f t="shared" si="7"/>
        <v>21.484446276304542</v>
      </c>
      <c r="E102" s="17">
        <f t="shared" si="6"/>
        <v>23.632890903934996</v>
      </c>
      <c r="F102" s="2">
        <v>21.787299999999998</v>
      </c>
      <c r="G102" s="2" t="str">
        <f t="shared" si="4"/>
        <v>Pass</v>
      </c>
      <c r="Y102" s="2">
        <v>87</v>
      </c>
      <c r="Z102" s="2">
        <v>0.28349999999999997</v>
      </c>
      <c r="AA102" s="2">
        <v>0.29759999999999998</v>
      </c>
      <c r="AB102" s="2">
        <v>22.910299999999999</v>
      </c>
    </row>
    <row r="103" spans="2:28" x14ac:dyDescent="0.4">
      <c r="B103" s="11">
        <v>86</v>
      </c>
      <c r="C103" s="16">
        <f t="shared" si="5"/>
        <v>19.792193200721144</v>
      </c>
      <c r="D103" s="17">
        <f t="shared" si="7"/>
        <v>21.99132577857905</v>
      </c>
      <c r="E103" s="17">
        <f t="shared" si="6"/>
        <v>24.190458356436956</v>
      </c>
      <c r="F103" s="2">
        <v>22.2956</v>
      </c>
      <c r="G103" s="2" t="str">
        <f t="shared" si="4"/>
        <v>Pass</v>
      </c>
      <c r="Y103" s="2">
        <v>88</v>
      </c>
      <c r="Z103" s="2">
        <v>0.28199999999999997</v>
      </c>
      <c r="AA103" s="2">
        <v>0.29459999999999997</v>
      </c>
      <c r="AB103" s="2">
        <v>22.918099999999999</v>
      </c>
    </row>
    <row r="104" spans="2:28" x14ac:dyDescent="0.4">
      <c r="B104" s="11">
        <v>87</v>
      </c>
      <c r="C104" s="16">
        <f t="shared" si="5"/>
        <v>20.253703623356436</v>
      </c>
      <c r="D104" s="17">
        <f t="shared" si="7"/>
        <v>22.504115137062708</v>
      </c>
      <c r="E104" s="17">
        <f t="shared" si="6"/>
        <v>24.75452665076898</v>
      </c>
      <c r="F104" s="2">
        <v>22.910299999999999</v>
      </c>
      <c r="G104" s="2" t="str">
        <f t="shared" si="4"/>
        <v>Pass</v>
      </c>
      <c r="Y104" s="2">
        <v>89</v>
      </c>
      <c r="Z104" s="2">
        <v>0.28210000000000002</v>
      </c>
      <c r="AA104" s="2">
        <v>0.29509999999999997</v>
      </c>
      <c r="AB104" s="2">
        <v>23.421700000000001</v>
      </c>
    </row>
    <row r="105" spans="2:28" x14ac:dyDescent="0.4">
      <c r="B105" s="11">
        <v>88</v>
      </c>
      <c r="C105" s="16">
        <f t="shared" si="5"/>
        <v>20.720532916579966</v>
      </c>
      <c r="D105" s="17">
        <f t="shared" si="7"/>
        <v>23.022814351755517</v>
      </c>
      <c r="E105" s="17">
        <f t="shared" si="6"/>
        <v>25.325095786931069</v>
      </c>
      <c r="F105" s="2">
        <v>22.918099999999999</v>
      </c>
      <c r="G105" s="2" t="str">
        <f t="shared" si="4"/>
        <v>Pass</v>
      </c>
      <c r="Y105" s="2">
        <v>90</v>
      </c>
      <c r="Z105" s="2">
        <v>0.28260000000000002</v>
      </c>
      <c r="AA105" s="2">
        <v>0.29559999999999997</v>
      </c>
      <c r="AB105" s="2">
        <v>24.118099999999998</v>
      </c>
    </row>
    <row r="106" spans="2:28" x14ac:dyDescent="0.4">
      <c r="B106" s="11">
        <v>89</v>
      </c>
      <c r="C106" s="16">
        <f t="shared" si="5"/>
        <v>21.192681080391736</v>
      </c>
      <c r="D106" s="17">
        <f t="shared" si="7"/>
        <v>23.547423422657484</v>
      </c>
      <c r="E106" s="17">
        <f t="shared" si="6"/>
        <v>25.902165764923232</v>
      </c>
      <c r="F106" s="2">
        <v>23.421700000000001</v>
      </c>
      <c r="G106" s="2" t="str">
        <f t="shared" si="4"/>
        <v>Pass</v>
      </c>
      <c r="Y106" s="2">
        <v>91</v>
      </c>
      <c r="Z106" s="2">
        <v>0.28270000000000001</v>
      </c>
      <c r="AA106" s="2">
        <v>0.2959</v>
      </c>
      <c r="AB106" s="2">
        <v>24.643999999999998</v>
      </c>
    </row>
    <row r="107" spans="2:28" x14ac:dyDescent="0.4">
      <c r="B107" s="11">
        <v>90</v>
      </c>
      <c r="C107" s="16">
        <f t="shared" si="5"/>
        <v>21.670148114791733</v>
      </c>
      <c r="D107" s="17">
        <f t="shared" si="7"/>
        <v>24.077942349768591</v>
      </c>
      <c r="E107" s="17">
        <f t="shared" si="6"/>
        <v>26.48573658474545</v>
      </c>
      <c r="F107" s="2">
        <v>24.118099999999998</v>
      </c>
      <c r="G107" s="2" t="str">
        <f t="shared" si="4"/>
        <v>Pass</v>
      </c>
      <c r="Y107" s="2">
        <v>92</v>
      </c>
      <c r="Z107" s="2">
        <v>0.2828</v>
      </c>
      <c r="AA107" s="2">
        <v>0.29620000000000002</v>
      </c>
      <c r="AB107" s="2">
        <v>25.360600000000002</v>
      </c>
    </row>
    <row r="108" spans="2:28" x14ac:dyDescent="0.4">
      <c r="B108" s="11">
        <v>91</v>
      </c>
      <c r="C108" s="16">
        <f t="shared" si="5"/>
        <v>22.152934019779966</v>
      </c>
      <c r="D108" s="17">
        <f t="shared" si="7"/>
        <v>24.614371133088852</v>
      </c>
      <c r="E108" s="17">
        <f t="shared" si="6"/>
        <v>27.075808246397738</v>
      </c>
      <c r="F108" s="2">
        <v>24.643999999999998</v>
      </c>
      <c r="G108" s="2" t="str">
        <f t="shared" si="4"/>
        <v>Pass</v>
      </c>
      <c r="Y108" s="2">
        <v>93</v>
      </c>
      <c r="Z108" s="2">
        <v>0.28270000000000001</v>
      </c>
      <c r="AA108" s="2">
        <v>0.29630000000000001</v>
      </c>
      <c r="AB108" s="2">
        <v>25.875399999999999</v>
      </c>
    </row>
    <row r="109" spans="2:28" x14ac:dyDescent="0.4">
      <c r="B109" s="11">
        <v>92</v>
      </c>
      <c r="C109" s="16">
        <f t="shared" si="5"/>
        <v>22.641038795356433</v>
      </c>
      <c r="D109" s="17">
        <f t="shared" si="7"/>
        <v>25.15670977261826</v>
      </c>
      <c r="E109" s="17">
        <f t="shared" si="6"/>
        <v>27.672380749880087</v>
      </c>
      <c r="F109" s="2">
        <v>25.360600000000002</v>
      </c>
      <c r="G109" s="2" t="str">
        <f t="shared" si="4"/>
        <v>Pass</v>
      </c>
      <c r="Y109" s="2">
        <v>94</v>
      </c>
      <c r="Z109" s="2">
        <v>0.28270000000000001</v>
      </c>
      <c r="AA109" s="2">
        <v>0.29649999999999999</v>
      </c>
      <c r="AB109" s="2">
        <v>26.4269</v>
      </c>
    </row>
    <row r="110" spans="2:28" x14ac:dyDescent="0.4">
      <c r="B110" s="11">
        <v>93</v>
      </c>
      <c r="C110" s="16">
        <f t="shared" si="5"/>
        <v>23.134462441521148</v>
      </c>
      <c r="D110" s="17">
        <f t="shared" si="7"/>
        <v>25.70495826835683</v>
      </c>
      <c r="E110" s="17">
        <f t="shared" si="6"/>
        <v>28.275454095192512</v>
      </c>
      <c r="F110" s="2">
        <v>25.875399999999999</v>
      </c>
      <c r="G110" s="2" t="str">
        <f t="shared" si="4"/>
        <v>Pass</v>
      </c>
      <c r="Y110" s="2">
        <v>95</v>
      </c>
      <c r="Z110" s="2">
        <v>0.28210000000000002</v>
      </c>
      <c r="AA110" s="2">
        <v>0.29720000000000002</v>
      </c>
      <c r="AB110" s="2">
        <v>26.998899999999999</v>
      </c>
    </row>
    <row r="111" spans="2:28" x14ac:dyDescent="0.4">
      <c r="B111" s="11">
        <v>94</v>
      </c>
      <c r="C111" s="16">
        <f t="shared" si="5"/>
        <v>23.633204958274089</v>
      </c>
      <c r="D111" s="17">
        <f t="shared" si="7"/>
        <v>26.259116620304543</v>
      </c>
      <c r="E111" s="17">
        <f t="shared" si="6"/>
        <v>28.885028282334996</v>
      </c>
      <c r="F111" s="2">
        <v>26.4269</v>
      </c>
      <c r="G111" s="2" t="str">
        <f t="shared" si="4"/>
        <v>Pass</v>
      </c>
      <c r="Y111" s="2">
        <v>96</v>
      </c>
      <c r="Z111" s="2">
        <v>0.28239999999999998</v>
      </c>
      <c r="AA111" s="2">
        <v>0.29749999999999999</v>
      </c>
      <c r="AB111" s="2">
        <v>27.749500000000001</v>
      </c>
    </row>
    <row r="112" spans="2:28" x14ac:dyDescent="0.4">
      <c r="B112" s="11">
        <v>95</v>
      </c>
      <c r="C112" s="16">
        <f t="shared" si="5"/>
        <v>24.137266345615263</v>
      </c>
      <c r="D112" s="17">
        <f t="shared" si="7"/>
        <v>26.819184828461403</v>
      </c>
      <c r="E112" s="17">
        <f t="shared" si="6"/>
        <v>29.501103311307542</v>
      </c>
      <c r="F112" s="2">
        <v>26.998899999999999</v>
      </c>
      <c r="G112" s="2" t="str">
        <f t="shared" si="4"/>
        <v>Pass</v>
      </c>
      <c r="Y112" s="2">
        <v>97</v>
      </c>
      <c r="Z112" s="2">
        <v>0.28249999999999997</v>
      </c>
      <c r="AA112" s="2">
        <v>0.29770000000000002</v>
      </c>
      <c r="AB112" s="2">
        <v>28.3186</v>
      </c>
    </row>
    <row r="113" spans="2:28" x14ac:dyDescent="0.4">
      <c r="B113" s="11">
        <v>96</v>
      </c>
      <c r="C113" s="16">
        <f t="shared" si="5"/>
        <v>24.646646603544674</v>
      </c>
      <c r="D113" s="17">
        <f t="shared" si="7"/>
        <v>27.385162892827417</v>
      </c>
      <c r="E113" s="17">
        <f t="shared" si="6"/>
        <v>30.123679182110159</v>
      </c>
      <c r="F113" s="2">
        <v>27.749500000000001</v>
      </c>
      <c r="G113" s="2" t="str">
        <f t="shared" si="4"/>
        <v>Pass</v>
      </c>
      <c r="Y113" s="2">
        <v>98</v>
      </c>
      <c r="Z113" s="2">
        <v>0.28270000000000001</v>
      </c>
      <c r="AA113" s="2">
        <v>0.29480000000000001</v>
      </c>
      <c r="AB113" s="2">
        <v>28.5382</v>
      </c>
    </row>
    <row r="114" spans="2:28" x14ac:dyDescent="0.4">
      <c r="B114" s="11">
        <v>97</v>
      </c>
      <c r="C114" s="16">
        <f t="shared" si="5"/>
        <v>25.161345732062326</v>
      </c>
      <c r="D114" s="17">
        <f t="shared" si="7"/>
        <v>27.957050813402585</v>
      </c>
      <c r="E114" s="17">
        <f t="shared" si="6"/>
        <v>30.752755894742844</v>
      </c>
      <c r="F114" s="2">
        <v>28.3186</v>
      </c>
      <c r="G114" s="2" t="str">
        <f t="shared" si="4"/>
        <v>Pass</v>
      </c>
      <c r="Y114" s="2">
        <v>99</v>
      </c>
      <c r="Z114" s="2">
        <v>0.28320000000000001</v>
      </c>
      <c r="AA114" s="2">
        <v>0.29509999999999997</v>
      </c>
      <c r="AB114" s="2">
        <v>29.1328</v>
      </c>
    </row>
    <row r="115" spans="2:28" x14ac:dyDescent="0.4">
      <c r="B115" s="11">
        <v>98</v>
      </c>
      <c r="C115" s="16">
        <f t="shared" si="5"/>
        <v>25.681363731168204</v>
      </c>
      <c r="D115" s="17">
        <f t="shared" si="7"/>
        <v>28.534848590186893</v>
      </c>
      <c r="E115" s="17">
        <f t="shared" si="6"/>
        <v>31.388333449205582</v>
      </c>
      <c r="F115" s="2">
        <v>28.5382</v>
      </c>
      <c r="G115" s="2" t="str">
        <f t="shared" si="4"/>
        <v>Pass</v>
      </c>
      <c r="Y115" s="2">
        <v>100</v>
      </c>
      <c r="Z115" s="2">
        <v>0.28239999999999998</v>
      </c>
      <c r="AA115" s="2">
        <v>0.29559999999999997</v>
      </c>
      <c r="AB115" s="2">
        <v>29.7089</v>
      </c>
    </row>
    <row r="116" spans="2:28" x14ac:dyDescent="0.4">
      <c r="B116" s="11">
        <v>99</v>
      </c>
      <c r="C116" s="16">
        <f t="shared" si="5"/>
        <v>26.20670060086232</v>
      </c>
      <c r="D116" s="17">
        <f t="shared" si="7"/>
        <v>29.118556223180356</v>
      </c>
      <c r="E116" s="17">
        <f t="shared" si="6"/>
        <v>32.030411845498392</v>
      </c>
      <c r="F116" s="2">
        <v>29.1328</v>
      </c>
      <c r="G116" s="2" t="str">
        <f t="shared" si="4"/>
        <v>Pass</v>
      </c>
      <c r="Y116" s="2">
        <v>101</v>
      </c>
      <c r="Z116" s="2">
        <v>0.28270000000000001</v>
      </c>
      <c r="AA116" s="2">
        <v>0.29599999999999999</v>
      </c>
      <c r="AB116" s="2">
        <v>30.4742</v>
      </c>
    </row>
    <row r="117" spans="2:28" x14ac:dyDescent="0.4">
      <c r="B117" s="11">
        <v>100</v>
      </c>
      <c r="C117" s="16">
        <f t="shared" si="5"/>
        <v>26.737356341144668</v>
      </c>
      <c r="D117" s="17">
        <f t="shared" si="7"/>
        <v>29.708173712382965</v>
      </c>
      <c r="E117" s="17">
        <f t="shared" si="6"/>
        <v>32.678991083621263</v>
      </c>
      <c r="F117" s="2">
        <v>29.7089</v>
      </c>
      <c r="G117" s="2" t="str">
        <f t="shared" si="4"/>
        <v>Pass</v>
      </c>
      <c r="Y117" s="2">
        <v>102</v>
      </c>
      <c r="Z117" s="2">
        <v>0.28299999999999997</v>
      </c>
      <c r="AA117" s="2">
        <v>0.29630000000000001</v>
      </c>
      <c r="AB117" s="2">
        <v>31.070900000000002</v>
      </c>
    </row>
    <row r="118" spans="2:28" x14ac:dyDescent="0.4">
      <c r="B118" s="11">
        <v>101</v>
      </c>
      <c r="C118" s="16">
        <f t="shared" si="5"/>
        <v>27.273330952015268</v>
      </c>
      <c r="D118" s="17">
        <f t="shared" si="7"/>
        <v>30.303701057794743</v>
      </c>
      <c r="E118" s="17">
        <f t="shared" si="6"/>
        <v>33.334071163574215</v>
      </c>
      <c r="F118" s="2">
        <v>30.4742</v>
      </c>
      <c r="G118" s="2" t="str">
        <f t="shared" si="4"/>
        <v>Pass</v>
      </c>
      <c r="Y118" s="2">
        <v>103</v>
      </c>
      <c r="Z118" s="2">
        <v>0.2833</v>
      </c>
      <c r="AA118" s="2">
        <v>0.29649999999999999</v>
      </c>
      <c r="AB118" s="2">
        <v>31.6587</v>
      </c>
    </row>
    <row r="119" spans="2:28" x14ac:dyDescent="0.4">
      <c r="B119" s="11">
        <v>102</v>
      </c>
      <c r="C119" s="16">
        <f t="shared" si="5"/>
        <v>27.814624433474087</v>
      </c>
      <c r="D119" s="17">
        <f t="shared" si="7"/>
        <v>30.905138259415651</v>
      </c>
      <c r="E119" s="17">
        <f t="shared" si="6"/>
        <v>33.995652085357214</v>
      </c>
      <c r="F119" s="2">
        <v>31.070900000000002</v>
      </c>
      <c r="G119" s="2" t="str">
        <f t="shared" si="4"/>
        <v>Pass</v>
      </c>
      <c r="Y119" s="2">
        <v>104</v>
      </c>
      <c r="Z119" s="2">
        <v>0.28339999999999999</v>
      </c>
      <c r="AA119" s="2">
        <v>0.29670000000000002</v>
      </c>
      <c r="AB119" s="2">
        <v>32.415999999999997</v>
      </c>
    </row>
    <row r="120" spans="2:28" x14ac:dyDescent="0.4">
      <c r="B120" s="11">
        <v>103</v>
      </c>
      <c r="C120" s="16">
        <f t="shared" si="5"/>
        <v>28.361236785521143</v>
      </c>
      <c r="D120" s="17">
        <f t="shared" si="7"/>
        <v>31.512485317245716</v>
      </c>
      <c r="E120" s="17">
        <f t="shared" si="6"/>
        <v>34.663733848970288</v>
      </c>
      <c r="F120" s="2">
        <v>31.6587</v>
      </c>
      <c r="G120" s="2" t="str">
        <f t="shared" si="4"/>
        <v>Pass</v>
      </c>
      <c r="Y120" s="2">
        <v>105</v>
      </c>
      <c r="Z120" s="2">
        <v>0.28189999999999998</v>
      </c>
      <c r="AA120" s="2">
        <v>0.29620000000000002</v>
      </c>
      <c r="AB120" s="2">
        <v>33.063200000000002</v>
      </c>
    </row>
    <row r="121" spans="2:28" x14ac:dyDescent="0.4">
      <c r="B121" s="11">
        <v>104</v>
      </c>
      <c r="C121" s="16">
        <f t="shared" si="5"/>
        <v>28.91316800815644</v>
      </c>
      <c r="D121" s="17">
        <f t="shared" si="7"/>
        <v>32.125742231284931</v>
      </c>
      <c r="E121" s="17">
        <f t="shared" si="6"/>
        <v>35.338316454413423</v>
      </c>
      <c r="F121" s="2">
        <v>32.415999999999997</v>
      </c>
      <c r="G121" s="2" t="str">
        <f t="shared" si="4"/>
        <v>Pass</v>
      </c>
      <c r="Y121" s="2">
        <v>106</v>
      </c>
      <c r="Z121" s="2">
        <v>0.28179999999999999</v>
      </c>
      <c r="AA121" s="2">
        <v>0.2964</v>
      </c>
      <c r="AB121" s="2">
        <v>33.649099999999997</v>
      </c>
    </row>
    <row r="122" spans="2:28" x14ac:dyDescent="0.4">
      <c r="B122" s="11">
        <v>105</v>
      </c>
      <c r="C122" s="16">
        <f t="shared" si="5"/>
        <v>29.47041810137997</v>
      </c>
      <c r="D122" s="17">
        <f t="shared" si="7"/>
        <v>32.744909001533301</v>
      </c>
      <c r="E122" s="17">
        <f t="shared" si="6"/>
        <v>36.019399901686633</v>
      </c>
      <c r="F122" s="2">
        <v>33.063200000000002</v>
      </c>
      <c r="G122" s="2" t="str">
        <f t="shared" si="4"/>
        <v>Pass</v>
      </c>
      <c r="Y122" s="2">
        <v>107</v>
      </c>
      <c r="Z122" s="2">
        <v>0.28199999999999997</v>
      </c>
      <c r="AA122" s="2">
        <v>0.29680000000000001</v>
      </c>
      <c r="AB122" s="2">
        <v>34.278700000000001</v>
      </c>
    </row>
    <row r="123" spans="2:28" x14ac:dyDescent="0.4">
      <c r="B123" s="11">
        <v>106</v>
      </c>
      <c r="C123" s="16">
        <f t="shared" si="5"/>
        <v>30.032987065191733</v>
      </c>
      <c r="D123" s="17">
        <f t="shared" si="7"/>
        <v>33.369985627990815</v>
      </c>
      <c r="E123" s="17">
        <f t="shared" si="6"/>
        <v>36.706984190789896</v>
      </c>
      <c r="F123" s="2">
        <v>33.649099999999997</v>
      </c>
      <c r="G123" s="2" t="str">
        <f t="shared" si="4"/>
        <v>Pass</v>
      </c>
      <c r="Y123" s="2">
        <v>108</v>
      </c>
      <c r="Z123" s="2">
        <v>0.28199999999999997</v>
      </c>
      <c r="AA123" s="2">
        <v>0.29659999999999997</v>
      </c>
      <c r="AB123" s="2">
        <v>35.179699999999997</v>
      </c>
    </row>
    <row r="124" spans="2:28" x14ac:dyDescent="0.4">
      <c r="B124" s="11">
        <v>107</v>
      </c>
      <c r="C124" s="16">
        <f t="shared" si="5"/>
        <v>30.60087489959173</v>
      </c>
      <c r="D124" s="17">
        <f t="shared" si="7"/>
        <v>34.000972110657479</v>
      </c>
      <c r="E124" s="17">
        <f t="shared" si="6"/>
        <v>37.401069321723227</v>
      </c>
      <c r="F124" s="2">
        <v>34.278700000000001</v>
      </c>
      <c r="G124" s="2" t="str">
        <f t="shared" si="4"/>
        <v>Pass</v>
      </c>
      <c r="Y124" s="2">
        <v>109</v>
      </c>
      <c r="Z124" s="2">
        <v>0.28210000000000002</v>
      </c>
      <c r="AA124" s="2">
        <v>0.29459999999999997</v>
      </c>
      <c r="AB124" s="2">
        <v>35.375599999999999</v>
      </c>
    </row>
    <row r="125" spans="2:28" x14ac:dyDescent="0.4">
      <c r="B125" s="11">
        <v>108</v>
      </c>
      <c r="C125" s="16">
        <f t="shared" si="5"/>
        <v>31.174081604579964</v>
      </c>
      <c r="D125" s="17">
        <f t="shared" si="7"/>
        <v>34.637868449533293</v>
      </c>
      <c r="E125" s="17">
        <f t="shared" si="6"/>
        <v>38.101655294486619</v>
      </c>
      <c r="F125" s="2">
        <v>35.179699999999997</v>
      </c>
      <c r="G125" s="2" t="str">
        <f t="shared" si="4"/>
        <v>Pass</v>
      </c>
      <c r="Y125" s="2">
        <v>110</v>
      </c>
      <c r="Z125" s="2">
        <v>0.28239999999999998</v>
      </c>
      <c r="AA125" s="2">
        <v>0.29480000000000001</v>
      </c>
      <c r="AB125" s="2">
        <v>36.036999999999999</v>
      </c>
    </row>
    <row r="126" spans="2:28" x14ac:dyDescent="0.4">
      <c r="B126" s="11">
        <v>109</v>
      </c>
      <c r="C126" s="16">
        <f t="shared" si="5"/>
        <v>31.752607180156446</v>
      </c>
      <c r="D126" s="17">
        <f t="shared" si="7"/>
        <v>35.280674644618273</v>
      </c>
      <c r="E126" s="17">
        <f t="shared" si="6"/>
        <v>38.8087421090801</v>
      </c>
      <c r="F126" s="2">
        <v>35.375599999999999</v>
      </c>
      <c r="G126" s="2" t="str">
        <f t="shared" si="4"/>
        <v>Pass</v>
      </c>
      <c r="Y126" s="2">
        <v>111</v>
      </c>
      <c r="Z126" s="2">
        <v>0.28179999999999999</v>
      </c>
      <c r="AA126" s="2">
        <v>0.29570000000000002</v>
      </c>
      <c r="AB126" s="2">
        <v>36.684699999999999</v>
      </c>
    </row>
    <row r="127" spans="2:28" x14ac:dyDescent="0.4">
      <c r="B127" s="11">
        <v>110</v>
      </c>
      <c r="C127" s="16">
        <f t="shared" si="5"/>
        <v>32.33645162632115</v>
      </c>
      <c r="D127" s="17">
        <f t="shared" si="7"/>
        <v>35.929390695912389</v>
      </c>
      <c r="E127" s="17">
        <f t="shared" si="6"/>
        <v>39.522329765503628</v>
      </c>
      <c r="F127" s="2">
        <v>36.036999999999999</v>
      </c>
      <c r="G127" s="2" t="str">
        <f t="shared" si="4"/>
        <v>Pass</v>
      </c>
      <c r="Y127" s="2">
        <v>112</v>
      </c>
      <c r="Z127" s="2">
        <v>0.28199999999999997</v>
      </c>
      <c r="AA127" s="2">
        <v>0.29599999999999999</v>
      </c>
      <c r="AB127" s="2">
        <v>37.346400000000003</v>
      </c>
    </row>
    <row r="128" spans="2:28" x14ac:dyDescent="0.4">
      <c r="B128" s="11">
        <v>111</v>
      </c>
      <c r="C128" s="16">
        <f t="shared" si="5"/>
        <v>32.925614943074088</v>
      </c>
      <c r="D128" s="17">
        <f t="shared" si="7"/>
        <v>36.584016603415655</v>
      </c>
      <c r="E128" s="17">
        <f t="shared" si="6"/>
        <v>40.242418263757223</v>
      </c>
      <c r="F128" s="2">
        <v>36.684699999999999</v>
      </c>
      <c r="G128" s="2" t="str">
        <f t="shared" si="4"/>
        <v>Pass</v>
      </c>
      <c r="Y128" s="2">
        <v>113</v>
      </c>
      <c r="Z128" s="2">
        <v>0.28220000000000001</v>
      </c>
      <c r="AA128" s="2">
        <v>0.29630000000000001</v>
      </c>
      <c r="AB128" s="2">
        <v>38.245100000000001</v>
      </c>
    </row>
    <row r="129" spans="2:28" x14ac:dyDescent="0.4">
      <c r="B129" s="11">
        <v>112</v>
      </c>
      <c r="C129" s="16">
        <f t="shared" si="5"/>
        <v>33.520097130415259</v>
      </c>
      <c r="D129" s="17">
        <f t="shared" si="7"/>
        <v>37.244552367128065</v>
      </c>
      <c r="E129" s="17">
        <f t="shared" si="6"/>
        <v>40.969007603840872</v>
      </c>
      <c r="F129" s="2">
        <v>37.346400000000003</v>
      </c>
      <c r="G129" s="2" t="str">
        <f t="shared" si="4"/>
        <v>Pass</v>
      </c>
      <c r="Y129" s="2">
        <v>114</v>
      </c>
      <c r="Z129" s="2">
        <v>0.28239999999999998</v>
      </c>
      <c r="AA129" s="2">
        <v>0.29659999999999997</v>
      </c>
      <c r="AB129" s="2">
        <v>38.9131</v>
      </c>
    </row>
    <row r="130" spans="2:28" x14ac:dyDescent="0.4">
      <c r="B130" s="11">
        <v>113</v>
      </c>
      <c r="C130" s="16">
        <f t="shared" si="5"/>
        <v>34.119898188344678</v>
      </c>
      <c r="D130" s="17">
        <f t="shared" si="7"/>
        <v>37.91099798704964</v>
      </c>
      <c r="E130" s="17">
        <f t="shared" si="6"/>
        <v>41.702097785754603</v>
      </c>
      <c r="F130" s="2">
        <v>38.245100000000001</v>
      </c>
      <c r="G130" s="2" t="str">
        <f t="shared" si="4"/>
        <v>Pass</v>
      </c>
      <c r="Y130" s="2">
        <v>115</v>
      </c>
      <c r="Z130" s="2">
        <v>0.28270000000000001</v>
      </c>
      <c r="AA130" s="2">
        <v>0.2969</v>
      </c>
      <c r="AB130" s="2">
        <v>39.8367</v>
      </c>
    </row>
    <row r="131" spans="2:28" x14ac:dyDescent="0.4">
      <c r="B131" s="11">
        <v>114</v>
      </c>
      <c r="C131" s="16">
        <f t="shared" si="5"/>
        <v>34.725018116862323</v>
      </c>
      <c r="D131" s="17">
        <f t="shared" si="7"/>
        <v>38.583353463180359</v>
      </c>
      <c r="E131" s="17">
        <f t="shared" si="6"/>
        <v>42.441688809498395</v>
      </c>
      <c r="F131" s="2">
        <v>38.9131</v>
      </c>
      <c r="G131" s="2" t="str">
        <f t="shared" si="4"/>
        <v>Pass</v>
      </c>
      <c r="Y131" s="2">
        <v>116</v>
      </c>
      <c r="Z131" s="2">
        <v>0.28299999999999997</v>
      </c>
      <c r="AA131" s="2">
        <v>0.29730000000000001</v>
      </c>
      <c r="AB131" s="2">
        <v>40.517699999999998</v>
      </c>
    </row>
    <row r="132" spans="2:28" x14ac:dyDescent="0.4">
      <c r="B132" s="11">
        <v>115</v>
      </c>
      <c r="C132" s="16">
        <f t="shared" si="5"/>
        <v>35.335456915968209</v>
      </c>
      <c r="D132" s="17">
        <f t="shared" si="7"/>
        <v>39.261618795520228</v>
      </c>
      <c r="E132" s="17">
        <f t="shared" si="6"/>
        <v>43.187780675072247</v>
      </c>
      <c r="F132" s="2">
        <v>39.8367</v>
      </c>
      <c r="G132" s="2" t="str">
        <f t="shared" si="4"/>
        <v>Pass</v>
      </c>
      <c r="Y132" s="2">
        <v>117</v>
      </c>
      <c r="Z132" s="2">
        <v>0.2838</v>
      </c>
      <c r="AA132" s="2">
        <v>0.29849999999999999</v>
      </c>
      <c r="AB132" s="2">
        <v>41.384900000000002</v>
      </c>
    </row>
    <row r="133" spans="2:28" x14ac:dyDescent="0.4">
      <c r="B133" s="11">
        <v>116</v>
      </c>
      <c r="C133" s="16">
        <f t="shared" si="5"/>
        <v>35.951214585662314</v>
      </c>
      <c r="D133" s="17">
        <f t="shared" si="7"/>
        <v>39.94579398406924</v>
      </c>
      <c r="E133" s="17">
        <f t="shared" si="6"/>
        <v>43.940373382476167</v>
      </c>
      <c r="F133" s="2">
        <v>40.517699999999998</v>
      </c>
      <c r="G133" s="2" t="str">
        <f t="shared" si="4"/>
        <v>Pass</v>
      </c>
      <c r="Y133" s="2">
        <v>118</v>
      </c>
      <c r="Z133" s="2">
        <v>0.28410000000000002</v>
      </c>
      <c r="AA133" s="2">
        <v>0.29859999999999998</v>
      </c>
      <c r="AB133" s="2">
        <v>42.0261</v>
      </c>
    </row>
    <row r="134" spans="2:28" x14ac:dyDescent="0.4">
      <c r="B134" s="11">
        <v>117</v>
      </c>
      <c r="C134" s="16">
        <f t="shared" si="5"/>
        <v>36.57229112594468</v>
      </c>
      <c r="D134" s="17">
        <f t="shared" si="7"/>
        <v>40.635879028827425</v>
      </c>
      <c r="E134" s="17">
        <f t="shared" si="6"/>
        <v>44.69946693171017</v>
      </c>
      <c r="F134" s="2">
        <v>41.384900000000002</v>
      </c>
      <c r="G134" s="2" t="str">
        <f t="shared" si="4"/>
        <v>Pass</v>
      </c>
      <c r="Y134" s="2">
        <v>119</v>
      </c>
      <c r="Z134" s="2">
        <v>0.28420000000000001</v>
      </c>
      <c r="AA134" s="2">
        <v>0.29880000000000001</v>
      </c>
      <c r="AB134" s="2">
        <v>42.7121</v>
      </c>
    </row>
    <row r="135" spans="2:28" x14ac:dyDescent="0.4">
      <c r="B135" s="11">
        <v>118</v>
      </c>
      <c r="C135" s="16">
        <f t="shared" si="5"/>
        <v>37.198686536815266</v>
      </c>
      <c r="D135" s="17">
        <f t="shared" si="7"/>
        <v>41.331873929794739</v>
      </c>
      <c r="E135" s="17">
        <f t="shared" si="6"/>
        <v>45.465061322774211</v>
      </c>
      <c r="F135" s="2">
        <v>42.0261</v>
      </c>
      <c r="G135" s="2" t="str">
        <f t="shared" si="4"/>
        <v>Pass</v>
      </c>
      <c r="Y135" s="2">
        <v>120</v>
      </c>
      <c r="Z135" s="2">
        <v>0.28449999999999998</v>
      </c>
      <c r="AA135" s="2">
        <v>0.2989</v>
      </c>
      <c r="AB135" s="2">
        <v>43.654800000000002</v>
      </c>
    </row>
    <row r="136" spans="2:28" x14ac:dyDescent="0.4">
      <c r="B136" s="11">
        <v>119</v>
      </c>
      <c r="C136" s="16">
        <f t="shared" si="5"/>
        <v>37.830400818274086</v>
      </c>
      <c r="D136" s="17">
        <f t="shared" si="7"/>
        <v>42.03377868697121</v>
      </c>
      <c r="E136" s="17">
        <f t="shared" si="6"/>
        <v>46.237156555668335</v>
      </c>
      <c r="F136" s="2">
        <v>42.7121</v>
      </c>
      <c r="G136" s="2" t="str">
        <f t="shared" si="4"/>
        <v>Pass</v>
      </c>
      <c r="Y136" s="2">
        <v>121</v>
      </c>
      <c r="Z136" s="2">
        <v>0.28460000000000002</v>
      </c>
      <c r="AA136" s="2">
        <v>0.29899999999999999</v>
      </c>
      <c r="AB136" s="2">
        <v>44.384599999999999</v>
      </c>
    </row>
    <row r="137" spans="2:28" x14ac:dyDescent="0.4">
      <c r="B137" s="11">
        <v>120</v>
      </c>
      <c r="C137" s="16">
        <f t="shared" si="5"/>
        <v>38.467433970321146</v>
      </c>
      <c r="D137" s="17">
        <f t="shared" si="7"/>
        <v>42.741593300356826</v>
      </c>
      <c r="E137" s="17">
        <f t="shared" si="6"/>
        <v>47.015752630392505</v>
      </c>
      <c r="F137" s="2">
        <v>43.654800000000002</v>
      </c>
      <c r="G137" s="2" t="str">
        <f t="shared" si="4"/>
        <v>Pass</v>
      </c>
      <c r="Y137" s="2">
        <v>122</v>
      </c>
      <c r="Z137" s="2">
        <v>0.2848</v>
      </c>
      <c r="AA137" s="2">
        <v>0.29920000000000002</v>
      </c>
      <c r="AB137" s="2">
        <v>45.386800000000001</v>
      </c>
    </row>
    <row r="138" spans="2:28" x14ac:dyDescent="0.4">
      <c r="B138" s="11">
        <v>121</v>
      </c>
      <c r="C138" s="16">
        <f t="shared" si="5"/>
        <v>39.109785992956446</v>
      </c>
      <c r="D138" s="17">
        <f t="shared" si="7"/>
        <v>43.455317769951606</v>
      </c>
      <c r="E138" s="17">
        <f t="shared" si="6"/>
        <v>47.800849546946765</v>
      </c>
      <c r="F138" s="2">
        <v>44.384599999999999</v>
      </c>
      <c r="G138" s="2" t="str">
        <f t="shared" si="4"/>
        <v>Pass</v>
      </c>
      <c r="Y138" s="2">
        <v>123</v>
      </c>
      <c r="Z138" s="2">
        <v>0.2833</v>
      </c>
      <c r="AA138" s="2">
        <v>0.29830000000000001</v>
      </c>
      <c r="AB138" s="2">
        <v>45.903199999999998</v>
      </c>
    </row>
    <row r="139" spans="2:28" x14ac:dyDescent="0.4">
      <c r="B139" s="11">
        <v>122</v>
      </c>
      <c r="C139" s="16">
        <f t="shared" si="5"/>
        <v>39.757456886179966</v>
      </c>
      <c r="D139" s="17">
        <f t="shared" si="7"/>
        <v>44.174952095755522</v>
      </c>
      <c r="E139" s="17">
        <f t="shared" si="6"/>
        <v>48.592447305331078</v>
      </c>
      <c r="F139" s="2">
        <v>45.386800000000001</v>
      </c>
      <c r="G139" s="2" t="str">
        <f t="shared" si="4"/>
        <v>Pass</v>
      </c>
      <c r="Y139" s="2">
        <v>124</v>
      </c>
      <c r="Z139" s="2">
        <v>0.28320000000000001</v>
      </c>
      <c r="AA139" s="2">
        <v>0.29759999999999998</v>
      </c>
      <c r="AB139" s="2">
        <v>46.930799999999998</v>
      </c>
    </row>
    <row r="140" spans="2:28" x14ac:dyDescent="0.4">
      <c r="B140" s="11">
        <v>123</v>
      </c>
      <c r="C140" s="16">
        <f t="shared" si="5"/>
        <v>40.410446649991727</v>
      </c>
      <c r="D140" s="17">
        <f t="shared" si="7"/>
        <v>44.900496277768589</v>
      </c>
      <c r="E140" s="17">
        <f t="shared" si="6"/>
        <v>49.390545905545451</v>
      </c>
      <c r="F140" s="2">
        <v>45.903199999999998</v>
      </c>
      <c r="G140" s="2" t="str">
        <f t="shared" si="4"/>
        <v>Pass</v>
      </c>
      <c r="Y140" s="2">
        <v>125</v>
      </c>
      <c r="Z140" s="2">
        <v>0.28360000000000002</v>
      </c>
      <c r="AA140" s="2">
        <v>0.29749999999999999</v>
      </c>
      <c r="AB140" s="2">
        <v>47.630899999999997</v>
      </c>
    </row>
    <row r="141" spans="2:28" x14ac:dyDescent="0.4">
      <c r="B141" s="11">
        <v>124</v>
      </c>
      <c r="C141" s="16">
        <f t="shared" si="5"/>
        <v>41.068755284391735</v>
      </c>
      <c r="D141" s="17">
        <f t="shared" si="7"/>
        <v>45.631950315990814</v>
      </c>
      <c r="E141" s="17">
        <f t="shared" si="6"/>
        <v>50.195145347589893</v>
      </c>
      <c r="F141" s="2">
        <v>46.930799999999998</v>
      </c>
      <c r="G141" s="2" t="str">
        <f t="shared" si="4"/>
        <v>Pass</v>
      </c>
      <c r="Y141" s="2">
        <v>126</v>
      </c>
      <c r="Z141" s="2">
        <v>0.28349999999999997</v>
      </c>
      <c r="AA141" s="2">
        <v>0.29799999999999999</v>
      </c>
      <c r="AB141" s="2">
        <v>48.686399999999999</v>
      </c>
    </row>
    <row r="142" spans="2:28" x14ac:dyDescent="0.4">
      <c r="B142" s="11">
        <v>125</v>
      </c>
      <c r="C142" s="16">
        <f t="shared" si="5"/>
        <v>41.732382789379969</v>
      </c>
      <c r="D142" s="17">
        <f t="shared" si="7"/>
        <v>46.369314210422189</v>
      </c>
      <c r="E142" s="17">
        <f t="shared" si="6"/>
        <v>51.006245631464409</v>
      </c>
      <c r="F142" s="2">
        <v>47.630899999999997</v>
      </c>
      <c r="G142" s="2" t="str">
        <f t="shared" si="4"/>
        <v>Pass</v>
      </c>
      <c r="Y142" s="2">
        <v>127</v>
      </c>
      <c r="Z142" s="2">
        <v>0.28360000000000002</v>
      </c>
      <c r="AA142" s="2">
        <v>0.29809999999999998</v>
      </c>
      <c r="AB142" s="2">
        <v>49.435899999999997</v>
      </c>
    </row>
    <row r="143" spans="2:28" x14ac:dyDescent="0.4">
      <c r="B143" s="11">
        <v>126</v>
      </c>
      <c r="C143" s="16">
        <f t="shared" si="5"/>
        <v>42.401329164956444</v>
      </c>
      <c r="D143" s="17">
        <f t="shared" si="7"/>
        <v>47.112587961062715</v>
      </c>
      <c r="E143" s="17">
        <f t="shared" si="6"/>
        <v>51.823846757168987</v>
      </c>
      <c r="F143" s="2">
        <v>48.686399999999999</v>
      </c>
      <c r="G143" s="2" t="str">
        <f t="shared" si="4"/>
        <v>Pass</v>
      </c>
      <c r="Y143" s="2">
        <v>128</v>
      </c>
      <c r="Z143" s="2">
        <v>0.28370000000000001</v>
      </c>
      <c r="AA143" s="2">
        <v>0.29830000000000001</v>
      </c>
      <c r="AB143" s="2">
        <v>50.473399999999998</v>
      </c>
    </row>
    <row r="144" spans="2:28" x14ac:dyDescent="0.4">
      <c r="B144" s="11">
        <v>127</v>
      </c>
      <c r="C144" s="16">
        <f t="shared" si="5"/>
        <v>43.075594411121145</v>
      </c>
      <c r="D144" s="17">
        <f t="shared" si="7"/>
        <v>47.861771567912385</v>
      </c>
      <c r="E144" s="17">
        <f t="shared" si="6"/>
        <v>52.647948724703625</v>
      </c>
      <c r="F144" s="2">
        <v>49.435899999999997</v>
      </c>
      <c r="G144" s="2" t="str">
        <f t="shared" si="4"/>
        <v>Pass</v>
      </c>
      <c r="Y144" s="2">
        <v>129</v>
      </c>
      <c r="Z144" s="2">
        <v>0.2838</v>
      </c>
      <c r="AA144" s="2">
        <v>0.29830000000000001</v>
      </c>
      <c r="AB144" s="2">
        <v>51.195900000000002</v>
      </c>
    </row>
    <row r="145" spans="2:28" x14ac:dyDescent="0.4">
      <c r="B145" s="11">
        <v>128</v>
      </c>
      <c r="C145" s="16">
        <f t="shared" si="5"/>
        <v>43.755178527874087</v>
      </c>
      <c r="D145" s="17">
        <f t="shared" si="7"/>
        <v>48.616865030971205</v>
      </c>
      <c r="E145" s="17">
        <f t="shared" si="6"/>
        <v>53.478551534068323</v>
      </c>
      <c r="F145" s="2">
        <v>50.473399999999998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0.28389999999999999</v>
      </c>
      <c r="AA145" s="2">
        <v>0.2984</v>
      </c>
      <c r="AB145" s="2">
        <v>51.9422</v>
      </c>
    </row>
    <row r="146" spans="2:28" x14ac:dyDescent="0.4">
      <c r="B146" s="11">
        <v>129</v>
      </c>
      <c r="C146" s="16">
        <f t="shared" ref="C146:C209" si="9">D146-D146*(C$14/100)</f>
        <v>44.440081515215255</v>
      </c>
      <c r="D146" s="17">
        <f t="shared" si="7"/>
        <v>49.377868350239176</v>
      </c>
      <c r="E146" s="17">
        <f t="shared" ref="E146:E209" si="10">D146+D146*(C$14/100)</f>
        <v>54.315655185263097</v>
      </c>
      <c r="F146" s="2">
        <v>51.195900000000002</v>
      </c>
      <c r="G146" s="2" t="str">
        <f t="shared" si="8"/>
        <v>Pass</v>
      </c>
      <c r="Y146" s="2">
        <v>131</v>
      </c>
      <c r="Z146" s="2">
        <v>0.28420000000000001</v>
      </c>
      <c r="AA146" s="2">
        <v>0.29859999999999998</v>
      </c>
      <c r="AB146" s="2">
        <v>52.948599999999999</v>
      </c>
    </row>
    <row r="147" spans="2:28" x14ac:dyDescent="0.4">
      <c r="B147" s="11">
        <v>130</v>
      </c>
      <c r="C147" s="16">
        <f t="shared" si="9"/>
        <v>45.130303373144663</v>
      </c>
      <c r="D147" s="17">
        <f t="shared" ref="D147:D210" si="11">D$272*((B147+F$17)/B$272)^C$13</f>
        <v>50.14478152571629</v>
      </c>
      <c r="E147" s="17">
        <f t="shared" si="10"/>
        <v>55.159259678287917</v>
      </c>
      <c r="F147" s="2">
        <v>51.9422</v>
      </c>
      <c r="G147" s="2" t="str">
        <f t="shared" si="8"/>
        <v>Pass</v>
      </c>
      <c r="Y147" s="2">
        <v>132</v>
      </c>
      <c r="Z147" s="2">
        <v>0.28439999999999999</v>
      </c>
      <c r="AA147" s="2">
        <v>0.29880000000000001</v>
      </c>
      <c r="AB147" s="2">
        <v>53.790399999999998</v>
      </c>
    </row>
    <row r="148" spans="2:28" x14ac:dyDescent="0.4">
      <c r="B148" s="11">
        <v>131</v>
      </c>
      <c r="C148" s="16">
        <f t="shared" si="9"/>
        <v>45.825844101662319</v>
      </c>
      <c r="D148" s="17">
        <f t="shared" si="11"/>
        <v>50.917604557402576</v>
      </c>
      <c r="E148" s="17">
        <f t="shared" si="10"/>
        <v>56.009365013142833</v>
      </c>
      <c r="F148" s="2">
        <v>52.948599999999999</v>
      </c>
      <c r="G148" s="2" t="str">
        <f t="shared" si="8"/>
        <v>Pass</v>
      </c>
      <c r="Y148" s="2">
        <v>133</v>
      </c>
      <c r="Z148" s="2">
        <v>0.28449999999999998</v>
      </c>
      <c r="AA148" s="2">
        <v>0.2989</v>
      </c>
      <c r="AB148" s="2">
        <v>54.804499999999997</v>
      </c>
    </row>
    <row r="149" spans="2:28" x14ac:dyDescent="0.4">
      <c r="B149" s="11">
        <v>132</v>
      </c>
      <c r="C149" s="16">
        <f t="shared" si="9"/>
        <v>46.526703700768195</v>
      </c>
      <c r="D149" s="17">
        <f t="shared" si="11"/>
        <v>51.696337445297992</v>
      </c>
      <c r="E149" s="17">
        <f t="shared" si="10"/>
        <v>56.865971189827789</v>
      </c>
      <c r="F149" s="2">
        <v>53.790399999999998</v>
      </c>
      <c r="G149" s="2" t="str">
        <f t="shared" si="8"/>
        <v>Pass</v>
      </c>
      <c r="Y149" s="2">
        <v>134</v>
      </c>
      <c r="Z149" s="2">
        <v>0.28399999999999997</v>
      </c>
      <c r="AA149" s="2">
        <v>0.2979</v>
      </c>
      <c r="AB149" s="2">
        <v>54.806399999999996</v>
      </c>
    </row>
    <row r="150" spans="2:28" x14ac:dyDescent="0.4">
      <c r="B150" s="11">
        <v>133</v>
      </c>
      <c r="C150" s="16">
        <f t="shared" si="9"/>
        <v>47.232882170462311</v>
      </c>
      <c r="D150" s="17">
        <f t="shared" si="11"/>
        <v>52.480980189402565</v>
      </c>
      <c r="E150" s="17">
        <f t="shared" si="10"/>
        <v>57.72907820834282</v>
      </c>
      <c r="F150" s="2">
        <v>54.804499999999997</v>
      </c>
      <c r="G150" s="2" t="str">
        <f t="shared" si="8"/>
        <v>Pass</v>
      </c>
      <c r="Y150" s="2">
        <v>135</v>
      </c>
      <c r="Z150" s="2">
        <v>0.28420000000000001</v>
      </c>
      <c r="AA150" s="2">
        <v>0.29799999999999999</v>
      </c>
      <c r="AB150" s="2">
        <v>55.634999999999998</v>
      </c>
    </row>
    <row r="151" spans="2:28" x14ac:dyDescent="0.4">
      <c r="B151" s="11">
        <v>134</v>
      </c>
      <c r="C151" s="16">
        <f t="shared" si="9"/>
        <v>47.944379510744653</v>
      </c>
      <c r="D151" s="17">
        <f t="shared" si="11"/>
        <v>53.271532789716282</v>
      </c>
      <c r="E151" s="17">
        <f t="shared" si="10"/>
        <v>58.598686068687911</v>
      </c>
      <c r="F151" s="2">
        <v>54.806399999999996</v>
      </c>
      <c r="G151" s="2" t="str">
        <f t="shared" si="8"/>
        <v>Pass</v>
      </c>
      <c r="Y151" s="2">
        <v>136</v>
      </c>
      <c r="Z151" s="2">
        <v>0.2843</v>
      </c>
      <c r="AA151" s="2">
        <v>0.29820000000000002</v>
      </c>
      <c r="AB151" s="2">
        <v>56.801499999999997</v>
      </c>
    </row>
    <row r="152" spans="2:28" x14ac:dyDescent="0.4">
      <c r="B152" s="11">
        <v>135</v>
      </c>
      <c r="C152" s="16">
        <f t="shared" si="9"/>
        <v>48.661195721615258</v>
      </c>
      <c r="D152" s="17">
        <f t="shared" si="11"/>
        <v>54.067995246239178</v>
      </c>
      <c r="E152" s="17">
        <f t="shared" si="10"/>
        <v>59.474794770863099</v>
      </c>
      <c r="F152" s="2">
        <v>55.634999999999998</v>
      </c>
      <c r="G152" s="2" t="str">
        <f t="shared" si="8"/>
        <v>Pass</v>
      </c>
      <c r="Y152" s="2">
        <v>137</v>
      </c>
      <c r="Z152" s="2">
        <v>0.28470000000000001</v>
      </c>
      <c r="AA152" s="2">
        <v>0.29799999999999999</v>
      </c>
      <c r="AB152" s="2">
        <v>57.631799999999998</v>
      </c>
    </row>
    <row r="153" spans="2:28" x14ac:dyDescent="0.4">
      <c r="B153" s="11">
        <v>136</v>
      </c>
      <c r="C153" s="16">
        <f t="shared" si="9"/>
        <v>49.383330803074088</v>
      </c>
      <c r="D153" s="17">
        <f t="shared" si="11"/>
        <v>54.870367558971211</v>
      </c>
      <c r="E153" s="17">
        <f t="shared" si="10"/>
        <v>60.357404314868333</v>
      </c>
      <c r="F153" s="2">
        <v>56.801499999999997</v>
      </c>
      <c r="G153" s="2" t="str">
        <f t="shared" si="8"/>
        <v>Pass</v>
      </c>
      <c r="Y153" s="2">
        <v>138</v>
      </c>
      <c r="Z153" s="2">
        <v>0.28460000000000002</v>
      </c>
      <c r="AA153" s="2">
        <v>0.29849999999999999</v>
      </c>
      <c r="AB153" s="2">
        <v>58.87</v>
      </c>
    </row>
    <row r="154" spans="2:28" x14ac:dyDescent="0.4">
      <c r="B154" s="11">
        <v>137</v>
      </c>
      <c r="C154" s="16">
        <f t="shared" si="9"/>
        <v>50.110784755121145</v>
      </c>
      <c r="D154" s="17">
        <f t="shared" si="11"/>
        <v>55.678649727912379</v>
      </c>
      <c r="E154" s="17">
        <f t="shared" si="10"/>
        <v>61.246514700703614</v>
      </c>
      <c r="F154" s="2">
        <v>57.631799999999998</v>
      </c>
      <c r="G154" s="2" t="str">
        <f t="shared" si="8"/>
        <v>Pass</v>
      </c>
      <c r="Y154" s="2">
        <v>139</v>
      </c>
      <c r="Z154" s="2">
        <v>0.28470000000000001</v>
      </c>
      <c r="AA154" s="2">
        <v>0.29980000000000001</v>
      </c>
      <c r="AB154" s="2">
        <v>59.436999999999998</v>
      </c>
    </row>
    <row r="155" spans="2:28" x14ac:dyDescent="0.4">
      <c r="B155" s="11">
        <v>138</v>
      </c>
      <c r="C155" s="16">
        <f t="shared" si="9"/>
        <v>50.843557577756428</v>
      </c>
      <c r="D155" s="17">
        <f t="shared" si="11"/>
        <v>56.492841753062699</v>
      </c>
      <c r="E155" s="17">
        <f t="shared" si="10"/>
        <v>62.142125928368969</v>
      </c>
      <c r="F155" s="2">
        <v>58.87</v>
      </c>
      <c r="G155" s="2" t="str">
        <f t="shared" si="8"/>
        <v>Pass</v>
      </c>
      <c r="Y155" s="2">
        <v>140</v>
      </c>
      <c r="Z155" s="2">
        <v>0.28489999999999999</v>
      </c>
      <c r="AA155" s="2">
        <v>0.3</v>
      </c>
      <c r="AB155" s="2">
        <v>60.578200000000002</v>
      </c>
    </row>
    <row r="156" spans="2:28" x14ac:dyDescent="0.4">
      <c r="B156" s="11">
        <v>139</v>
      </c>
      <c r="C156" s="16">
        <f t="shared" si="9"/>
        <v>51.581649270979959</v>
      </c>
      <c r="D156" s="17">
        <f t="shared" si="11"/>
        <v>57.312943634422176</v>
      </c>
      <c r="E156" s="17">
        <f t="shared" si="10"/>
        <v>63.044237997864393</v>
      </c>
      <c r="F156" s="2">
        <v>59.436999999999998</v>
      </c>
      <c r="G156" s="2" t="str">
        <f t="shared" si="8"/>
        <v>Pass</v>
      </c>
      <c r="Y156" s="2">
        <v>141</v>
      </c>
      <c r="Z156" s="2">
        <v>0.2848</v>
      </c>
      <c r="AA156" s="2">
        <v>0.29870000000000002</v>
      </c>
      <c r="AB156" s="2">
        <v>60.844000000000001</v>
      </c>
    </row>
    <row r="157" spans="2:28" x14ac:dyDescent="0.4">
      <c r="B157" s="11">
        <v>140</v>
      </c>
      <c r="C157" s="16">
        <f t="shared" si="9"/>
        <v>52.325059834791723</v>
      </c>
      <c r="D157" s="17">
        <f t="shared" si="11"/>
        <v>58.138955371990804</v>
      </c>
      <c r="E157" s="17">
        <f t="shared" si="10"/>
        <v>63.952850909189884</v>
      </c>
      <c r="F157" s="2">
        <v>60.578200000000002</v>
      </c>
      <c r="G157" s="2" t="str">
        <f t="shared" si="8"/>
        <v>Pass</v>
      </c>
      <c r="Y157" s="2">
        <v>142</v>
      </c>
      <c r="Z157" s="2">
        <v>0.28489999999999999</v>
      </c>
      <c r="AA157" s="2">
        <v>0.2989</v>
      </c>
      <c r="AB157" s="2">
        <v>61.738599999999998</v>
      </c>
    </row>
    <row r="158" spans="2:28" x14ac:dyDescent="0.4">
      <c r="B158" s="11">
        <v>141</v>
      </c>
      <c r="C158" s="16">
        <f t="shared" si="9"/>
        <v>53.073789269191721</v>
      </c>
      <c r="D158" s="17">
        <f t="shared" si="11"/>
        <v>58.970876965768575</v>
      </c>
      <c r="E158" s="17">
        <f t="shared" si="10"/>
        <v>64.867964662345429</v>
      </c>
      <c r="F158" s="2">
        <v>60.844000000000001</v>
      </c>
      <c r="G158" s="2" t="str">
        <f t="shared" si="8"/>
        <v>Pass</v>
      </c>
      <c r="Y158" s="2">
        <v>143</v>
      </c>
      <c r="Z158" s="2">
        <v>0.2838</v>
      </c>
      <c r="AA158" s="2">
        <v>0.29859999999999998</v>
      </c>
      <c r="AB158" s="2">
        <v>62.691800000000001</v>
      </c>
    </row>
    <row r="159" spans="2:28" x14ac:dyDescent="0.4">
      <c r="B159" s="11">
        <v>142</v>
      </c>
      <c r="C159" s="16">
        <f t="shared" si="9"/>
        <v>53.827837574179945</v>
      </c>
      <c r="D159" s="17">
        <f t="shared" si="11"/>
        <v>59.808708415755497</v>
      </c>
      <c r="E159" s="17">
        <f t="shared" si="10"/>
        <v>65.789579257331042</v>
      </c>
      <c r="F159" s="2">
        <v>61.738599999999998</v>
      </c>
      <c r="G159" s="2" t="str">
        <f t="shared" si="8"/>
        <v>Pass</v>
      </c>
      <c r="Y159" s="2">
        <v>144</v>
      </c>
      <c r="Z159" s="2">
        <v>0.28389999999999999</v>
      </c>
      <c r="AA159" s="2">
        <v>0.29870000000000002</v>
      </c>
      <c r="AB159" s="2">
        <v>63.559600000000003</v>
      </c>
    </row>
    <row r="160" spans="2:28" x14ac:dyDescent="0.4">
      <c r="B160" s="11">
        <v>143</v>
      </c>
      <c r="C160" s="16">
        <f t="shared" si="9"/>
        <v>54.587204749756445</v>
      </c>
      <c r="D160" s="17">
        <f t="shared" si="11"/>
        <v>60.652449721951605</v>
      </c>
      <c r="E160" s="17">
        <f t="shared" si="10"/>
        <v>66.717694694146772</v>
      </c>
      <c r="F160" s="2">
        <v>62.691800000000001</v>
      </c>
      <c r="G160" s="2" t="str">
        <f t="shared" si="8"/>
        <v>Pass</v>
      </c>
      <c r="Y160" s="2">
        <v>145</v>
      </c>
      <c r="Z160" s="2">
        <v>0.28410000000000002</v>
      </c>
      <c r="AA160" s="2">
        <v>0.2989</v>
      </c>
      <c r="AB160" s="2">
        <v>64.771900000000002</v>
      </c>
    </row>
    <row r="161" spans="2:28" x14ac:dyDescent="0.4">
      <c r="B161" s="11">
        <v>144</v>
      </c>
      <c r="C161" s="16">
        <f t="shared" si="9"/>
        <v>55.351890795921143</v>
      </c>
      <c r="D161" s="17">
        <f t="shared" si="11"/>
        <v>61.502100884356828</v>
      </c>
      <c r="E161" s="17">
        <f t="shared" si="10"/>
        <v>67.652310972792506</v>
      </c>
      <c r="F161" s="2">
        <v>63.559600000000003</v>
      </c>
      <c r="G161" s="2" t="str">
        <f t="shared" si="8"/>
        <v>Pass</v>
      </c>
      <c r="Y161" s="2">
        <v>146</v>
      </c>
      <c r="Z161" s="2">
        <v>0.2843</v>
      </c>
      <c r="AA161" s="2">
        <v>0.29749999999999999</v>
      </c>
      <c r="AB161" s="2">
        <v>65.033100000000005</v>
      </c>
    </row>
    <row r="162" spans="2:28" x14ac:dyDescent="0.4">
      <c r="B162" s="11">
        <v>145</v>
      </c>
      <c r="C162" s="16">
        <f t="shared" si="9"/>
        <v>56.121895712674075</v>
      </c>
      <c r="D162" s="17">
        <f t="shared" si="11"/>
        <v>62.357661902971195</v>
      </c>
      <c r="E162" s="17">
        <f t="shared" si="10"/>
        <v>68.593428093268315</v>
      </c>
      <c r="F162" s="2">
        <v>64.771900000000002</v>
      </c>
      <c r="G162" s="2" t="str">
        <f t="shared" si="8"/>
        <v>Pass</v>
      </c>
      <c r="Y162" s="2">
        <v>147</v>
      </c>
      <c r="Z162" s="2">
        <v>0.2843</v>
      </c>
      <c r="AA162" s="2">
        <v>0.29909999999999998</v>
      </c>
      <c r="AB162" s="2">
        <v>65.719099999999997</v>
      </c>
    </row>
    <row r="163" spans="2:28" x14ac:dyDescent="0.4">
      <c r="B163" s="11">
        <v>146</v>
      </c>
      <c r="C163" s="16">
        <f t="shared" si="9"/>
        <v>56.897219500015261</v>
      </c>
      <c r="D163" s="17">
        <f t="shared" si="11"/>
        <v>63.219132777794734</v>
      </c>
      <c r="E163" s="17">
        <f t="shared" si="10"/>
        <v>69.541046055574213</v>
      </c>
      <c r="F163" s="2">
        <v>65.033100000000005</v>
      </c>
      <c r="G163" s="2" t="str">
        <f t="shared" si="8"/>
        <v>Pass</v>
      </c>
      <c r="Y163" s="2">
        <v>148</v>
      </c>
      <c r="Z163" s="2">
        <v>0.2843</v>
      </c>
      <c r="AA163" s="2">
        <v>0.29930000000000001</v>
      </c>
      <c r="AB163" s="2">
        <v>66.620999999999995</v>
      </c>
    </row>
    <row r="164" spans="2:28" x14ac:dyDescent="0.4">
      <c r="B164" s="11">
        <v>147</v>
      </c>
      <c r="C164" s="16">
        <f t="shared" si="9"/>
        <v>57.677862157944666</v>
      </c>
      <c r="D164" s="17">
        <f t="shared" si="11"/>
        <v>64.086513508827409</v>
      </c>
      <c r="E164" s="17">
        <f t="shared" si="10"/>
        <v>70.495164859710144</v>
      </c>
      <c r="F164" s="2">
        <v>65.719099999999997</v>
      </c>
      <c r="G164" s="2" t="str">
        <f t="shared" si="8"/>
        <v>Pass</v>
      </c>
      <c r="Y164" s="2">
        <v>149</v>
      </c>
      <c r="Z164" s="2">
        <v>0.28449999999999998</v>
      </c>
      <c r="AA164" s="2">
        <v>0.29949999999999999</v>
      </c>
      <c r="AB164" s="2">
        <v>67.795599999999993</v>
      </c>
    </row>
    <row r="165" spans="2:28" x14ac:dyDescent="0.4">
      <c r="B165" s="11">
        <v>148</v>
      </c>
      <c r="C165" s="16">
        <f t="shared" si="9"/>
        <v>58.463823686462312</v>
      </c>
      <c r="D165" s="17">
        <f t="shared" si="11"/>
        <v>64.959804096069234</v>
      </c>
      <c r="E165" s="17">
        <f t="shared" si="10"/>
        <v>71.455784505676164</v>
      </c>
      <c r="F165" s="2">
        <v>66.620999999999995</v>
      </c>
      <c r="G165" s="2" t="str">
        <f t="shared" si="8"/>
        <v>Pass</v>
      </c>
      <c r="Y165" s="2">
        <v>150</v>
      </c>
      <c r="Z165" s="2">
        <v>0.28449999999999998</v>
      </c>
      <c r="AA165" s="2">
        <v>0.2994</v>
      </c>
      <c r="AB165" s="2">
        <v>68.703400000000002</v>
      </c>
    </row>
    <row r="166" spans="2:28" x14ac:dyDescent="0.4">
      <c r="B166" s="11">
        <v>149</v>
      </c>
      <c r="C166" s="16">
        <f t="shared" si="9"/>
        <v>59.255104085568192</v>
      </c>
      <c r="D166" s="17">
        <f t="shared" si="11"/>
        <v>65.839004539520218</v>
      </c>
      <c r="E166" s="17">
        <f t="shared" si="10"/>
        <v>72.422904993472244</v>
      </c>
      <c r="F166" s="2">
        <v>67.795599999999993</v>
      </c>
      <c r="G166" s="2" t="str">
        <f t="shared" si="8"/>
        <v>Pass</v>
      </c>
      <c r="Y166" s="2">
        <v>151</v>
      </c>
      <c r="Z166" s="2">
        <v>0.28399999999999997</v>
      </c>
      <c r="AA166" s="2">
        <v>0.29920000000000002</v>
      </c>
      <c r="AB166" s="2">
        <v>69.712199999999996</v>
      </c>
    </row>
    <row r="167" spans="2:28" x14ac:dyDescent="0.4">
      <c r="B167" s="11">
        <v>150</v>
      </c>
      <c r="C167" s="16">
        <f t="shared" si="9"/>
        <v>60.051703355262298</v>
      </c>
      <c r="D167" s="17">
        <f t="shared" si="11"/>
        <v>66.724114839180331</v>
      </c>
      <c r="E167" s="17">
        <f t="shared" si="10"/>
        <v>73.396526323098357</v>
      </c>
      <c r="F167" s="2">
        <v>68.703400000000002</v>
      </c>
      <c r="G167" s="2" t="str">
        <f t="shared" si="8"/>
        <v>Pass</v>
      </c>
      <c r="Y167" s="2">
        <v>152</v>
      </c>
      <c r="Z167" s="2">
        <v>0.28349999999999997</v>
      </c>
      <c r="AA167" s="2">
        <v>0.29709999999999998</v>
      </c>
      <c r="AB167" s="2">
        <v>70.0655</v>
      </c>
    </row>
    <row r="168" spans="2:28" x14ac:dyDescent="0.4">
      <c r="B168" s="11">
        <v>151</v>
      </c>
      <c r="C168" s="16">
        <f t="shared" si="9"/>
        <v>60.853621495544679</v>
      </c>
      <c r="D168" s="17">
        <f t="shared" si="11"/>
        <v>67.615134995049644</v>
      </c>
      <c r="E168" s="17">
        <f t="shared" si="10"/>
        <v>74.376648494554615</v>
      </c>
      <c r="F168" s="2">
        <v>69.712199999999996</v>
      </c>
      <c r="G168" s="2" t="str">
        <f t="shared" si="8"/>
        <v>Pass</v>
      </c>
      <c r="Y168" s="2">
        <v>153</v>
      </c>
      <c r="Z168" s="2">
        <v>0.28360000000000002</v>
      </c>
      <c r="AA168" s="2">
        <v>0.29730000000000001</v>
      </c>
      <c r="AB168" s="2">
        <v>70.999200000000002</v>
      </c>
    </row>
    <row r="169" spans="2:28" x14ac:dyDescent="0.4">
      <c r="B169" s="11">
        <v>152</v>
      </c>
      <c r="C169" s="16">
        <f t="shared" si="9"/>
        <v>61.660858506415252</v>
      </c>
      <c r="D169" s="17">
        <f t="shared" si="11"/>
        <v>68.512065007128058</v>
      </c>
      <c r="E169" s="17">
        <f t="shared" si="10"/>
        <v>75.363271507840864</v>
      </c>
      <c r="F169" s="2">
        <v>70.0655</v>
      </c>
      <c r="G169" s="2" t="str">
        <f t="shared" si="8"/>
        <v>Pass</v>
      </c>
      <c r="Y169" s="2">
        <v>154</v>
      </c>
      <c r="Z169" s="2">
        <v>0.28370000000000001</v>
      </c>
      <c r="AA169" s="2">
        <v>0.29730000000000001</v>
      </c>
      <c r="AB169" s="2">
        <v>72.203999999999994</v>
      </c>
    </row>
    <row r="170" spans="2:28" x14ac:dyDescent="0.4">
      <c r="B170" s="11">
        <v>153</v>
      </c>
      <c r="C170" s="16">
        <f t="shared" si="9"/>
        <v>62.47341438787408</v>
      </c>
      <c r="D170" s="17">
        <f t="shared" si="11"/>
        <v>69.414904875415644</v>
      </c>
      <c r="E170" s="17">
        <f t="shared" si="10"/>
        <v>76.356395362957215</v>
      </c>
      <c r="F170" s="2">
        <v>70.999200000000002</v>
      </c>
      <c r="G170" s="2" t="str">
        <f t="shared" si="8"/>
        <v>Pass</v>
      </c>
      <c r="Y170" s="2">
        <v>155</v>
      </c>
      <c r="Z170" s="2">
        <v>0.28310000000000002</v>
      </c>
      <c r="AA170" s="2">
        <v>0.29780000000000001</v>
      </c>
      <c r="AB170" s="2">
        <v>73.186999999999998</v>
      </c>
    </row>
    <row r="171" spans="2:28" x14ac:dyDescent="0.4">
      <c r="B171" s="11">
        <v>154</v>
      </c>
      <c r="C171" s="16">
        <f t="shared" si="9"/>
        <v>63.291289139921133</v>
      </c>
      <c r="D171" s="17">
        <f t="shared" si="11"/>
        <v>70.323654599912373</v>
      </c>
      <c r="E171" s="17">
        <f t="shared" si="10"/>
        <v>77.356020059903614</v>
      </c>
      <c r="F171" s="2">
        <v>72.203999999999994</v>
      </c>
      <c r="G171" s="2" t="str">
        <f t="shared" si="8"/>
        <v>Pass</v>
      </c>
      <c r="Y171" s="2">
        <v>156</v>
      </c>
      <c r="Z171" s="2">
        <v>0.28460000000000002</v>
      </c>
      <c r="AA171" s="2">
        <v>0.29970000000000002</v>
      </c>
      <c r="AB171" s="2">
        <v>74.233500000000006</v>
      </c>
    </row>
    <row r="172" spans="2:28" x14ac:dyDescent="0.4">
      <c r="B172" s="11">
        <v>155</v>
      </c>
      <c r="C172" s="16">
        <f t="shared" si="9"/>
        <v>64.114482762556435</v>
      </c>
      <c r="D172" s="17">
        <f t="shared" si="11"/>
        <v>71.238314180618261</v>
      </c>
      <c r="E172" s="17">
        <f t="shared" si="10"/>
        <v>78.362145598680087</v>
      </c>
      <c r="F172" s="2">
        <v>73.186999999999998</v>
      </c>
      <c r="G172" s="2" t="str">
        <f t="shared" si="8"/>
        <v>Pass</v>
      </c>
      <c r="Y172" s="2">
        <v>157</v>
      </c>
      <c r="Z172" s="2">
        <v>0.28399999999999997</v>
      </c>
      <c r="AA172" s="2">
        <v>0.29770000000000002</v>
      </c>
      <c r="AB172" s="2">
        <v>74.611099999999993</v>
      </c>
    </row>
    <row r="173" spans="2:28" x14ac:dyDescent="0.4">
      <c r="B173" s="11">
        <v>156</v>
      </c>
      <c r="C173" s="16">
        <f t="shared" si="9"/>
        <v>64.942995255779948</v>
      </c>
      <c r="D173" s="17">
        <f t="shared" si="11"/>
        <v>72.158883617533277</v>
      </c>
      <c r="E173" s="17">
        <f t="shared" si="10"/>
        <v>79.374771979286606</v>
      </c>
      <c r="F173" s="2">
        <v>74.233500000000006</v>
      </c>
      <c r="G173" s="2" t="str">
        <f t="shared" si="8"/>
        <v>Pass</v>
      </c>
      <c r="Y173" s="2">
        <v>158</v>
      </c>
      <c r="Z173" s="2">
        <v>0.28339999999999999</v>
      </c>
      <c r="AA173" s="2">
        <v>0.29820000000000002</v>
      </c>
      <c r="AB173" s="2">
        <v>75.331699999999998</v>
      </c>
    </row>
    <row r="174" spans="2:28" x14ac:dyDescent="0.4">
      <c r="B174" s="11">
        <v>157</v>
      </c>
      <c r="C174" s="16">
        <f t="shared" si="9"/>
        <v>65.776826619591716</v>
      </c>
      <c r="D174" s="17">
        <f t="shared" si="11"/>
        <v>73.085362910657466</v>
      </c>
      <c r="E174" s="17">
        <f t="shared" si="10"/>
        <v>80.393899201723215</v>
      </c>
      <c r="F174" s="2">
        <v>74.611099999999993</v>
      </c>
      <c r="G174" s="2" t="str">
        <f t="shared" si="8"/>
        <v>Pass</v>
      </c>
      <c r="Y174" s="2">
        <v>159</v>
      </c>
      <c r="Z174" s="2">
        <v>0.28370000000000001</v>
      </c>
      <c r="AA174" s="2">
        <v>0.29849999999999999</v>
      </c>
      <c r="AB174" s="2">
        <v>76.715800000000002</v>
      </c>
    </row>
    <row r="175" spans="2:28" x14ac:dyDescent="0.4">
      <c r="B175" s="11">
        <v>158</v>
      </c>
      <c r="C175" s="16">
        <f t="shared" si="9"/>
        <v>66.615976853991725</v>
      </c>
      <c r="D175" s="17">
        <f t="shared" si="11"/>
        <v>74.017752059990798</v>
      </c>
      <c r="E175" s="17">
        <f t="shared" si="10"/>
        <v>81.419527265989871</v>
      </c>
      <c r="F175" s="2">
        <v>75.331699999999998</v>
      </c>
      <c r="G175" s="2" t="str">
        <f t="shared" si="8"/>
        <v>Pass</v>
      </c>
      <c r="Y175" s="2">
        <v>160</v>
      </c>
      <c r="Z175" s="2">
        <v>0.2838</v>
      </c>
      <c r="AA175" s="2">
        <v>0.29870000000000002</v>
      </c>
      <c r="AB175" s="2">
        <v>77.6982</v>
      </c>
    </row>
    <row r="176" spans="2:28" x14ac:dyDescent="0.4">
      <c r="B176" s="11">
        <v>159</v>
      </c>
      <c r="C176" s="16">
        <f t="shared" si="9"/>
        <v>67.460445958979975</v>
      </c>
      <c r="D176" s="17">
        <f t="shared" si="11"/>
        <v>74.956051065533302</v>
      </c>
      <c r="E176" s="17">
        <f t="shared" si="10"/>
        <v>82.451656172086629</v>
      </c>
      <c r="F176" s="2">
        <v>76.715800000000002</v>
      </c>
      <c r="G176" s="2" t="str">
        <f t="shared" si="8"/>
        <v>Pass</v>
      </c>
      <c r="Y176" s="2">
        <v>161</v>
      </c>
      <c r="Z176" s="2">
        <v>0.28399999999999997</v>
      </c>
      <c r="AA176" s="2">
        <v>0.29749999999999999</v>
      </c>
      <c r="AB176" s="2">
        <v>77.988699999999994</v>
      </c>
    </row>
    <row r="177" spans="2:28" x14ac:dyDescent="0.4">
      <c r="B177" s="11">
        <v>160</v>
      </c>
      <c r="C177" s="16">
        <f t="shared" si="9"/>
        <v>68.310233934556436</v>
      </c>
      <c r="D177" s="17">
        <f t="shared" si="11"/>
        <v>75.900259927284921</v>
      </c>
      <c r="E177" s="17">
        <f t="shared" si="10"/>
        <v>83.490285920013406</v>
      </c>
      <c r="F177" s="2">
        <v>77.6982</v>
      </c>
      <c r="G177" s="2" t="str">
        <f t="shared" si="8"/>
        <v>Pass</v>
      </c>
      <c r="Y177" s="2">
        <v>162</v>
      </c>
      <c r="Z177" s="2">
        <v>0.28299999999999997</v>
      </c>
      <c r="AA177" s="2">
        <v>0.29709999999999998</v>
      </c>
      <c r="AB177" s="2">
        <v>78.931700000000006</v>
      </c>
    </row>
    <row r="178" spans="2:28" x14ac:dyDescent="0.4">
      <c r="B178" s="11">
        <v>161</v>
      </c>
      <c r="C178" s="16">
        <f t="shared" si="9"/>
        <v>69.165340780721138</v>
      </c>
      <c r="D178" s="17">
        <f t="shared" si="11"/>
        <v>76.850378645245712</v>
      </c>
      <c r="E178" s="17">
        <f t="shared" si="10"/>
        <v>84.535416509770286</v>
      </c>
      <c r="F178" s="2">
        <v>77.988699999999994</v>
      </c>
      <c r="G178" s="2" t="str">
        <f t="shared" si="8"/>
        <v>Pass</v>
      </c>
      <c r="Y178" s="2">
        <v>163</v>
      </c>
      <c r="Z178" s="2">
        <v>0.28320000000000001</v>
      </c>
      <c r="AA178" s="2">
        <v>0.29720000000000002</v>
      </c>
      <c r="AB178" s="2">
        <v>79.888800000000003</v>
      </c>
    </row>
    <row r="179" spans="2:28" x14ac:dyDescent="0.4">
      <c r="B179" s="11">
        <v>162</v>
      </c>
      <c r="C179" s="16">
        <f t="shared" si="9"/>
        <v>70.025766497474066</v>
      </c>
      <c r="D179" s="17">
        <f t="shared" si="11"/>
        <v>77.806407219415632</v>
      </c>
      <c r="E179" s="17">
        <f t="shared" si="10"/>
        <v>85.587047941357199</v>
      </c>
      <c r="F179" s="2">
        <v>78.931700000000006</v>
      </c>
      <c r="G179" s="2" t="str">
        <f t="shared" si="8"/>
        <v>Pass</v>
      </c>
      <c r="Y179" s="2">
        <v>164</v>
      </c>
      <c r="Z179" s="2">
        <v>0.28360000000000002</v>
      </c>
      <c r="AA179" s="2">
        <v>0.29899999999999999</v>
      </c>
      <c r="AB179" s="2">
        <v>81.127499999999998</v>
      </c>
    </row>
    <row r="180" spans="2:28" x14ac:dyDescent="0.4">
      <c r="B180" s="11">
        <v>163</v>
      </c>
      <c r="C180" s="16">
        <f t="shared" si="9"/>
        <v>70.891511084815249</v>
      </c>
      <c r="D180" s="17">
        <f t="shared" si="11"/>
        <v>78.768345649794725</v>
      </c>
      <c r="E180" s="17">
        <f t="shared" si="10"/>
        <v>86.6451802147742</v>
      </c>
      <c r="F180" s="2">
        <v>79.888800000000003</v>
      </c>
      <c r="G180" s="2" t="str">
        <f t="shared" si="8"/>
        <v>Pass</v>
      </c>
      <c r="Y180" s="2">
        <v>165</v>
      </c>
      <c r="Z180" s="2">
        <v>0.28410000000000002</v>
      </c>
      <c r="AA180" s="2">
        <v>0.29930000000000001</v>
      </c>
      <c r="AB180" s="2">
        <v>81.996499999999997</v>
      </c>
    </row>
    <row r="181" spans="2:28" x14ac:dyDescent="0.4">
      <c r="B181" s="11">
        <v>164</v>
      </c>
      <c r="C181" s="16">
        <f t="shared" si="9"/>
        <v>71.762574542744659</v>
      </c>
      <c r="D181" s="17">
        <f t="shared" si="11"/>
        <v>79.736193936382961</v>
      </c>
      <c r="E181" s="17">
        <f t="shared" si="10"/>
        <v>87.709813330021262</v>
      </c>
      <c r="F181" s="2">
        <v>81.127499999999998</v>
      </c>
      <c r="G181" s="2" t="str">
        <f t="shared" si="8"/>
        <v>Pass</v>
      </c>
      <c r="Y181" s="2">
        <v>166</v>
      </c>
      <c r="Z181" s="2">
        <v>0.28349999999999997</v>
      </c>
      <c r="AA181" s="2">
        <v>0.2974</v>
      </c>
      <c r="AB181" s="2">
        <v>82.416499999999999</v>
      </c>
    </row>
    <row r="182" spans="2:28" x14ac:dyDescent="0.4">
      <c r="B182" s="11">
        <v>165</v>
      </c>
      <c r="C182" s="16">
        <f t="shared" si="9"/>
        <v>72.638956871262309</v>
      </c>
      <c r="D182" s="17">
        <f t="shared" si="11"/>
        <v>80.70995207918034</v>
      </c>
      <c r="E182" s="17">
        <f t="shared" si="10"/>
        <v>88.780947287098371</v>
      </c>
      <c r="F182" s="2">
        <v>81.996499999999997</v>
      </c>
      <c r="G182" s="2" t="str">
        <f t="shared" si="8"/>
        <v>Pass</v>
      </c>
      <c r="Y182" s="2">
        <v>167</v>
      </c>
      <c r="Z182" s="2">
        <v>0.2838</v>
      </c>
      <c r="AA182" s="2">
        <v>0.29759999999999998</v>
      </c>
      <c r="AB182" s="2">
        <v>83.809100000000001</v>
      </c>
    </row>
    <row r="183" spans="2:28" x14ac:dyDescent="0.4">
      <c r="B183" s="11">
        <v>166</v>
      </c>
      <c r="C183" s="16">
        <f t="shared" si="9"/>
        <v>73.520658070368185</v>
      </c>
      <c r="D183" s="17">
        <f t="shared" si="11"/>
        <v>81.689620078186877</v>
      </c>
      <c r="E183" s="17">
        <f t="shared" si="10"/>
        <v>89.858582086005569</v>
      </c>
      <c r="F183" s="2">
        <v>82.416499999999999</v>
      </c>
      <c r="G183" s="2" t="str">
        <f t="shared" si="8"/>
        <v>Pass</v>
      </c>
      <c r="Y183" s="2">
        <v>168</v>
      </c>
      <c r="Z183" s="2">
        <v>0.28389999999999999</v>
      </c>
      <c r="AA183" s="2">
        <v>0.29780000000000001</v>
      </c>
      <c r="AB183" s="2">
        <v>84.885400000000004</v>
      </c>
    </row>
    <row r="184" spans="2:28" x14ac:dyDescent="0.4">
      <c r="B184" s="11">
        <v>167</v>
      </c>
      <c r="C184" s="16">
        <f t="shared" si="9"/>
        <v>74.40767814006233</v>
      </c>
      <c r="D184" s="17">
        <f t="shared" si="11"/>
        <v>82.675197933402586</v>
      </c>
      <c r="E184" s="17">
        <f t="shared" si="10"/>
        <v>90.942717726742842</v>
      </c>
      <c r="F184" s="2">
        <v>83.809100000000001</v>
      </c>
      <c r="G184" s="2" t="str">
        <f t="shared" si="8"/>
        <v>Pass</v>
      </c>
      <c r="Y184" s="2">
        <v>169</v>
      </c>
      <c r="Z184" s="2">
        <v>0.28370000000000001</v>
      </c>
      <c r="AA184" s="2">
        <v>0.29820000000000002</v>
      </c>
      <c r="AB184" s="2">
        <v>86.015900000000002</v>
      </c>
    </row>
    <row r="185" spans="2:28" x14ac:dyDescent="0.4">
      <c r="B185" s="11">
        <v>168</v>
      </c>
      <c r="C185" s="16">
        <f t="shared" si="9"/>
        <v>75.300017080344674</v>
      </c>
      <c r="D185" s="17">
        <f t="shared" si="11"/>
        <v>83.66668564482741</v>
      </c>
      <c r="E185" s="17">
        <f t="shared" si="10"/>
        <v>92.033354209310147</v>
      </c>
      <c r="F185" s="2">
        <v>84.885400000000004</v>
      </c>
      <c r="G185" s="2" t="str">
        <f t="shared" si="8"/>
        <v>Pass</v>
      </c>
      <c r="Y185" s="2">
        <v>170</v>
      </c>
      <c r="Z185" s="2">
        <v>0.28460000000000002</v>
      </c>
      <c r="AA185" s="2">
        <v>0.3</v>
      </c>
      <c r="AB185" s="2">
        <v>87.007199999999997</v>
      </c>
    </row>
    <row r="186" spans="2:28" x14ac:dyDescent="0.4">
      <c r="B186" s="11">
        <v>169</v>
      </c>
      <c r="C186" s="16">
        <f t="shared" si="9"/>
        <v>76.197674891215257</v>
      </c>
      <c r="D186" s="17">
        <f t="shared" si="11"/>
        <v>84.664083212461392</v>
      </c>
      <c r="E186" s="17">
        <f t="shared" si="10"/>
        <v>93.130491533707527</v>
      </c>
      <c r="F186" s="2">
        <v>86.015900000000002</v>
      </c>
      <c r="G186" s="2" t="str">
        <f t="shared" si="8"/>
        <v>Pass</v>
      </c>
      <c r="Y186" s="2">
        <v>171</v>
      </c>
      <c r="Z186" s="2">
        <v>0.28410000000000002</v>
      </c>
      <c r="AA186" s="2">
        <v>0.29820000000000002</v>
      </c>
      <c r="AB186" s="2">
        <v>87.284099999999995</v>
      </c>
    </row>
    <row r="187" spans="2:28" x14ac:dyDescent="0.4">
      <c r="B187" s="11">
        <v>170</v>
      </c>
      <c r="C187" s="16">
        <f t="shared" si="9"/>
        <v>77.100651572674082</v>
      </c>
      <c r="D187" s="17">
        <f t="shared" si="11"/>
        <v>85.667390636304532</v>
      </c>
      <c r="E187" s="17">
        <f t="shared" si="10"/>
        <v>94.234129699934982</v>
      </c>
      <c r="F187" s="2">
        <v>87.007199999999997</v>
      </c>
      <c r="G187" s="2" t="str">
        <f t="shared" si="8"/>
        <v>Pass</v>
      </c>
      <c r="Y187" s="2">
        <v>172</v>
      </c>
      <c r="Z187" s="2">
        <v>0.28389999999999999</v>
      </c>
      <c r="AA187" s="2">
        <v>0.29849999999999999</v>
      </c>
      <c r="AB187" s="2">
        <v>88.303799999999995</v>
      </c>
    </row>
    <row r="188" spans="2:28" x14ac:dyDescent="0.4">
      <c r="B188" s="11">
        <v>171</v>
      </c>
      <c r="C188" s="16">
        <f t="shared" si="9"/>
        <v>78.008947124721132</v>
      </c>
      <c r="D188" s="17">
        <f t="shared" si="11"/>
        <v>86.676607916356815</v>
      </c>
      <c r="E188" s="17">
        <f t="shared" si="10"/>
        <v>95.344268707992498</v>
      </c>
      <c r="F188" s="2">
        <v>87.284099999999995</v>
      </c>
      <c r="G188" s="2" t="str">
        <f t="shared" si="8"/>
        <v>Pass</v>
      </c>
      <c r="Y188" s="2">
        <v>173</v>
      </c>
      <c r="Z188" s="2">
        <v>0.28410000000000002</v>
      </c>
      <c r="AA188" s="2">
        <v>0.29859999999999998</v>
      </c>
      <c r="AB188" s="2">
        <v>89.364400000000003</v>
      </c>
    </row>
    <row r="189" spans="2:28" x14ac:dyDescent="0.4">
      <c r="B189" s="11">
        <v>172</v>
      </c>
      <c r="C189" s="16">
        <f t="shared" si="9"/>
        <v>78.922561547356423</v>
      </c>
      <c r="D189" s="17">
        <f t="shared" si="11"/>
        <v>87.691735052618256</v>
      </c>
      <c r="E189" s="17">
        <f t="shared" si="10"/>
        <v>96.460908557880089</v>
      </c>
      <c r="F189" s="2">
        <v>88.303799999999995</v>
      </c>
      <c r="G189" s="2" t="str">
        <f t="shared" si="8"/>
        <v>Pass</v>
      </c>
      <c r="Y189" s="2">
        <v>174</v>
      </c>
      <c r="Z189" s="2">
        <v>0.2843</v>
      </c>
      <c r="AA189" s="2">
        <v>0.29880000000000001</v>
      </c>
      <c r="AB189" s="2">
        <v>90.938599999999994</v>
      </c>
    </row>
    <row r="190" spans="2:28" x14ac:dyDescent="0.4">
      <c r="B190" s="11">
        <v>173</v>
      </c>
      <c r="C190" s="16">
        <f t="shared" si="9"/>
        <v>79.841494840579955</v>
      </c>
      <c r="D190" s="17">
        <f t="shared" si="11"/>
        <v>88.71277204508884</v>
      </c>
      <c r="E190" s="17">
        <f t="shared" si="10"/>
        <v>97.584049249597726</v>
      </c>
      <c r="F190" s="2">
        <v>89.364400000000003</v>
      </c>
      <c r="G190" s="2" t="str">
        <f t="shared" si="8"/>
        <v>Pass</v>
      </c>
      <c r="Y190" s="2">
        <v>175</v>
      </c>
      <c r="Z190" s="2">
        <v>0.28439999999999999</v>
      </c>
      <c r="AA190" s="2">
        <v>0.2989</v>
      </c>
      <c r="AB190" s="2">
        <v>91.998400000000004</v>
      </c>
    </row>
    <row r="191" spans="2:28" x14ac:dyDescent="0.4">
      <c r="B191" s="11">
        <v>174</v>
      </c>
      <c r="C191" s="16">
        <f t="shared" si="9"/>
        <v>80.765747004391713</v>
      </c>
      <c r="D191" s="17">
        <f t="shared" si="11"/>
        <v>89.739718893768568</v>
      </c>
      <c r="E191" s="17">
        <f t="shared" si="10"/>
        <v>98.713690783145424</v>
      </c>
      <c r="F191" s="2">
        <v>90.938599999999994</v>
      </c>
      <c r="G191" s="2" t="str">
        <f t="shared" si="8"/>
        <v>Pass</v>
      </c>
      <c r="Y191" s="2">
        <v>176</v>
      </c>
      <c r="Z191" s="2">
        <v>0.2833</v>
      </c>
      <c r="AA191" s="2">
        <v>0.2974</v>
      </c>
      <c r="AB191" s="2">
        <v>92.0398</v>
      </c>
    </row>
    <row r="192" spans="2:28" x14ac:dyDescent="0.4">
      <c r="B192" s="11">
        <v>175</v>
      </c>
      <c r="C192" s="16">
        <f t="shared" si="9"/>
        <v>81.69531803879174</v>
      </c>
      <c r="D192" s="17">
        <f t="shared" si="11"/>
        <v>90.772575598657482</v>
      </c>
      <c r="E192" s="17">
        <f t="shared" si="10"/>
        <v>99.849833158523225</v>
      </c>
      <c r="F192" s="2">
        <v>91.998400000000004</v>
      </c>
      <c r="G192" s="2" t="str">
        <f t="shared" si="8"/>
        <v>Pass</v>
      </c>
      <c r="Y192" s="2">
        <v>177</v>
      </c>
      <c r="Z192" s="2">
        <v>0.28370000000000001</v>
      </c>
      <c r="AA192" s="2">
        <v>0.29770000000000002</v>
      </c>
      <c r="AB192" s="2">
        <v>93.632199999999997</v>
      </c>
    </row>
    <row r="193" spans="2:28" x14ac:dyDescent="0.4">
      <c r="B193" s="11">
        <v>176</v>
      </c>
      <c r="C193" s="16">
        <f t="shared" si="9"/>
        <v>82.630207943779965</v>
      </c>
      <c r="D193" s="17">
        <f t="shared" si="11"/>
        <v>91.811342159755512</v>
      </c>
      <c r="E193" s="17">
        <f t="shared" si="10"/>
        <v>100.99247637573106</v>
      </c>
      <c r="F193" s="2">
        <v>92.0398</v>
      </c>
      <c r="G193" s="2" t="str">
        <f t="shared" si="8"/>
        <v>Pass</v>
      </c>
      <c r="Y193" s="2">
        <v>178</v>
      </c>
      <c r="Z193" s="2">
        <v>0.28399999999999997</v>
      </c>
      <c r="AA193" s="2">
        <v>0.29799999999999999</v>
      </c>
      <c r="AB193" s="2">
        <v>94.829099999999997</v>
      </c>
    </row>
    <row r="194" spans="2:28" x14ac:dyDescent="0.4">
      <c r="B194" s="11">
        <v>177</v>
      </c>
      <c r="C194" s="16">
        <f t="shared" si="9"/>
        <v>83.57041671935643</v>
      </c>
      <c r="D194" s="17">
        <f t="shared" si="11"/>
        <v>92.856018577062699</v>
      </c>
      <c r="E194" s="17">
        <f t="shared" si="10"/>
        <v>102.14162043476897</v>
      </c>
      <c r="F194" s="2">
        <v>93.632199999999997</v>
      </c>
      <c r="G194" s="2" t="str">
        <f t="shared" si="8"/>
        <v>Pass</v>
      </c>
      <c r="Y194" s="2">
        <v>179</v>
      </c>
      <c r="Z194" s="2">
        <v>0.28420000000000001</v>
      </c>
      <c r="AA194" s="2">
        <v>0.29920000000000002</v>
      </c>
      <c r="AB194" s="2">
        <v>95.950800000000001</v>
      </c>
    </row>
    <row r="195" spans="2:28" x14ac:dyDescent="0.4">
      <c r="B195" s="11">
        <v>178</v>
      </c>
      <c r="C195" s="16">
        <f t="shared" si="9"/>
        <v>84.515944365521136</v>
      </c>
      <c r="D195" s="17">
        <f t="shared" si="11"/>
        <v>93.906604850579043</v>
      </c>
      <c r="E195" s="17">
        <f t="shared" si="10"/>
        <v>103.29726533563695</v>
      </c>
      <c r="F195" s="2">
        <v>94.829099999999997</v>
      </c>
      <c r="G195" s="2" t="str">
        <f t="shared" si="8"/>
        <v>Pass</v>
      </c>
      <c r="Y195" s="2">
        <v>180</v>
      </c>
      <c r="Z195" s="2">
        <v>0.2843</v>
      </c>
      <c r="AA195" s="2">
        <v>0.29830000000000001</v>
      </c>
      <c r="AB195" s="2">
        <v>96.285799999999995</v>
      </c>
    </row>
    <row r="196" spans="2:28" x14ac:dyDescent="0.4">
      <c r="B196" s="11">
        <v>179</v>
      </c>
      <c r="C196" s="16">
        <f t="shared" si="9"/>
        <v>85.466790882274083</v>
      </c>
      <c r="D196" s="17">
        <f t="shared" si="11"/>
        <v>94.963100980304532</v>
      </c>
      <c r="E196" s="17">
        <f t="shared" si="10"/>
        <v>104.45941107833498</v>
      </c>
      <c r="F196" s="2">
        <v>95.950800000000001</v>
      </c>
      <c r="G196" s="2" t="str">
        <f t="shared" si="8"/>
        <v>Pass</v>
      </c>
      <c r="Y196" s="2">
        <v>181</v>
      </c>
      <c r="Z196" s="2">
        <v>0.28439999999999999</v>
      </c>
      <c r="AA196" s="2">
        <v>0.29849999999999999</v>
      </c>
      <c r="AB196" s="2">
        <v>97.346800000000002</v>
      </c>
    </row>
    <row r="197" spans="2:28" x14ac:dyDescent="0.4">
      <c r="B197" s="11">
        <v>180</v>
      </c>
      <c r="C197" s="16">
        <f t="shared" si="9"/>
        <v>86.422956269615241</v>
      </c>
      <c r="D197" s="17">
        <f t="shared" si="11"/>
        <v>96.025506966239163</v>
      </c>
      <c r="E197" s="17">
        <f t="shared" si="10"/>
        <v>105.62805766286309</v>
      </c>
      <c r="F197" s="2">
        <v>96.285799999999995</v>
      </c>
      <c r="G197" s="2" t="str">
        <f t="shared" si="8"/>
        <v>Pass</v>
      </c>
      <c r="Y197" s="2">
        <v>182</v>
      </c>
      <c r="Z197" s="2">
        <v>0.28420000000000001</v>
      </c>
      <c r="AA197" s="2">
        <v>0.29880000000000001</v>
      </c>
      <c r="AB197" s="2">
        <v>98.498199999999997</v>
      </c>
    </row>
    <row r="198" spans="2:28" x14ac:dyDescent="0.4">
      <c r="B198" s="11">
        <v>181</v>
      </c>
      <c r="C198" s="16">
        <f t="shared" si="9"/>
        <v>87.384440527544655</v>
      </c>
      <c r="D198" s="17">
        <f t="shared" si="11"/>
        <v>97.093822808382953</v>
      </c>
      <c r="E198" s="17">
        <f t="shared" si="10"/>
        <v>106.80320508922125</v>
      </c>
      <c r="F198" s="2">
        <v>97.346800000000002</v>
      </c>
      <c r="G198" s="2" t="str">
        <f t="shared" si="8"/>
        <v>Pass</v>
      </c>
      <c r="Y198" s="2">
        <v>183</v>
      </c>
      <c r="Z198" s="2">
        <v>0.28439999999999999</v>
      </c>
      <c r="AA198" s="2">
        <v>0.2989</v>
      </c>
      <c r="AB198" s="2">
        <v>99.659700000000001</v>
      </c>
    </row>
    <row r="199" spans="2:28" x14ac:dyDescent="0.4">
      <c r="B199" s="11">
        <v>182</v>
      </c>
      <c r="C199" s="16">
        <f t="shared" si="9"/>
        <v>88.351243656062294</v>
      </c>
      <c r="D199" s="17">
        <f t="shared" si="11"/>
        <v>98.168048506735886</v>
      </c>
      <c r="E199" s="17">
        <f t="shared" si="10"/>
        <v>107.98485335740948</v>
      </c>
      <c r="F199" s="2">
        <v>98.498199999999997</v>
      </c>
      <c r="G199" s="2" t="str">
        <f t="shared" si="8"/>
        <v>Pass</v>
      </c>
      <c r="Y199" s="2">
        <v>184</v>
      </c>
      <c r="Z199" s="2">
        <v>0.2843</v>
      </c>
      <c r="AA199" s="2">
        <v>0.29920000000000002</v>
      </c>
      <c r="AB199" s="2">
        <v>101.1472</v>
      </c>
    </row>
    <row r="200" spans="2:28" x14ac:dyDescent="0.4">
      <c r="B200" s="11">
        <v>183</v>
      </c>
      <c r="C200" s="16">
        <f t="shared" si="9"/>
        <v>89.323365655168217</v>
      </c>
      <c r="D200" s="17">
        <f t="shared" si="11"/>
        <v>99.248184061298019</v>
      </c>
      <c r="E200" s="17">
        <f t="shared" si="10"/>
        <v>109.17300246742782</v>
      </c>
      <c r="F200" s="2">
        <v>99.659700000000001</v>
      </c>
      <c r="G200" s="2" t="str">
        <f t="shared" si="8"/>
        <v>Pass</v>
      </c>
      <c r="Y200" s="2">
        <v>185</v>
      </c>
      <c r="Z200" s="2">
        <v>0.28339999999999999</v>
      </c>
      <c r="AA200" s="2">
        <v>0.29770000000000002</v>
      </c>
      <c r="AB200" s="2">
        <v>101.23390000000001</v>
      </c>
    </row>
    <row r="201" spans="2:28" x14ac:dyDescent="0.4">
      <c r="B201" s="11">
        <v>184</v>
      </c>
      <c r="C201" s="16">
        <f t="shared" si="9"/>
        <v>90.300806524862324</v>
      </c>
      <c r="D201" s="17">
        <f t="shared" si="11"/>
        <v>100.33422947206925</v>
      </c>
      <c r="E201" s="17">
        <f t="shared" si="10"/>
        <v>110.36765241927618</v>
      </c>
      <c r="F201" s="2">
        <v>101.1472</v>
      </c>
      <c r="G201" s="2" t="str">
        <f t="shared" si="8"/>
        <v>Pass</v>
      </c>
      <c r="Y201" s="2">
        <v>186</v>
      </c>
      <c r="Z201" s="2">
        <v>0.28320000000000001</v>
      </c>
      <c r="AA201" s="2">
        <v>0.29780000000000001</v>
      </c>
      <c r="AB201" s="2">
        <v>102.30500000000001</v>
      </c>
    </row>
    <row r="202" spans="2:28" x14ac:dyDescent="0.4">
      <c r="B202" s="11">
        <v>185</v>
      </c>
      <c r="C202" s="16">
        <f t="shared" si="9"/>
        <v>91.283566265144671</v>
      </c>
      <c r="D202" s="17">
        <f t="shared" si="11"/>
        <v>101.42618473904963</v>
      </c>
      <c r="E202" s="17">
        <f t="shared" si="10"/>
        <v>111.56880321295459</v>
      </c>
      <c r="F202" s="2">
        <v>101.23390000000001</v>
      </c>
      <c r="G202" s="2" t="str">
        <f t="shared" si="8"/>
        <v>Pass</v>
      </c>
      <c r="Y202" s="2">
        <v>187</v>
      </c>
      <c r="Z202" s="2">
        <v>0.28339999999999999</v>
      </c>
      <c r="AA202" s="2">
        <v>0.29799999999999999</v>
      </c>
      <c r="AB202" s="2">
        <v>103.9015</v>
      </c>
    </row>
    <row r="203" spans="2:28" x14ac:dyDescent="0.4">
      <c r="B203" s="11">
        <v>186</v>
      </c>
      <c r="C203" s="16">
        <f t="shared" si="9"/>
        <v>92.271644876015259</v>
      </c>
      <c r="D203" s="17">
        <f t="shared" si="11"/>
        <v>102.52404986223918</v>
      </c>
      <c r="E203" s="17">
        <f t="shared" si="10"/>
        <v>112.7764548484631</v>
      </c>
      <c r="F203" s="2">
        <v>102.30500000000001</v>
      </c>
      <c r="G203" s="2" t="str">
        <f t="shared" si="8"/>
        <v>Pass</v>
      </c>
      <c r="Y203" s="2">
        <v>188</v>
      </c>
      <c r="Z203" s="2">
        <v>0.28310000000000002</v>
      </c>
      <c r="AA203" s="2">
        <v>0.29820000000000002</v>
      </c>
      <c r="AB203" s="2">
        <v>104.61499999999999</v>
      </c>
    </row>
    <row r="204" spans="2:28" x14ac:dyDescent="0.4">
      <c r="B204" s="11">
        <v>187</v>
      </c>
      <c r="C204" s="16">
        <f t="shared" si="9"/>
        <v>93.265042357474073</v>
      </c>
      <c r="D204" s="17">
        <f t="shared" si="11"/>
        <v>103.62782484163786</v>
      </c>
      <c r="E204" s="17">
        <f t="shared" si="10"/>
        <v>113.99060732580165</v>
      </c>
      <c r="F204" s="2">
        <v>103.9015</v>
      </c>
      <c r="G204" s="2" t="str">
        <f t="shared" si="8"/>
        <v>Pass</v>
      </c>
      <c r="Y204" s="2">
        <v>189</v>
      </c>
      <c r="Z204" s="2">
        <v>0.28260000000000002</v>
      </c>
      <c r="AA204" s="2">
        <v>0.29649999999999999</v>
      </c>
      <c r="AB204" s="2">
        <v>104.99809999999999</v>
      </c>
    </row>
    <row r="205" spans="2:28" x14ac:dyDescent="0.4">
      <c r="B205" s="11">
        <v>188</v>
      </c>
      <c r="C205" s="16">
        <f t="shared" si="9"/>
        <v>94.263758709521127</v>
      </c>
      <c r="D205" s="17">
        <f t="shared" si="11"/>
        <v>104.7375096772457</v>
      </c>
      <c r="E205" s="17">
        <f t="shared" si="10"/>
        <v>115.21126064497027</v>
      </c>
      <c r="F205" s="2">
        <v>104.61499999999999</v>
      </c>
      <c r="G205" s="2" t="str">
        <f t="shared" si="8"/>
        <v>Pass</v>
      </c>
      <c r="Y205" s="2">
        <v>190</v>
      </c>
      <c r="Z205" s="2">
        <v>0.28370000000000001</v>
      </c>
      <c r="AA205" s="2">
        <v>0.2984</v>
      </c>
      <c r="AB205" s="2">
        <v>106.62269999999999</v>
      </c>
    </row>
    <row r="206" spans="2:28" x14ac:dyDescent="0.4">
      <c r="B206" s="11">
        <v>189</v>
      </c>
      <c r="C206" s="16">
        <f t="shared" si="9"/>
        <v>95.267793932156422</v>
      </c>
      <c r="D206" s="17">
        <f t="shared" si="11"/>
        <v>105.85310436906269</v>
      </c>
      <c r="E206" s="17">
        <f t="shared" si="10"/>
        <v>116.43841480596896</v>
      </c>
      <c r="F206" s="2">
        <v>104.99809999999999</v>
      </c>
      <c r="G206" s="2" t="str">
        <f t="shared" si="8"/>
        <v>Pass</v>
      </c>
      <c r="Y206" s="2">
        <v>191</v>
      </c>
      <c r="Z206" s="2">
        <v>0.28339999999999999</v>
      </c>
      <c r="AA206" s="2">
        <v>0.29849999999999999</v>
      </c>
      <c r="AB206" s="2">
        <v>107.33369999999999</v>
      </c>
    </row>
    <row r="207" spans="2:28" x14ac:dyDescent="0.4">
      <c r="B207" s="11">
        <v>190</v>
      </c>
      <c r="C207" s="16">
        <f t="shared" si="9"/>
        <v>96.277148025379958</v>
      </c>
      <c r="D207" s="17">
        <f t="shared" si="11"/>
        <v>106.97460891708884</v>
      </c>
      <c r="E207" s="17">
        <f t="shared" si="10"/>
        <v>117.67206980879773</v>
      </c>
      <c r="F207" s="2">
        <v>106.62269999999999</v>
      </c>
      <c r="G207" s="2" t="str">
        <f t="shared" si="8"/>
        <v>Pass</v>
      </c>
      <c r="Y207" s="2">
        <v>192</v>
      </c>
      <c r="Z207" s="2">
        <v>0.2838</v>
      </c>
      <c r="AA207" s="2">
        <v>0.29870000000000002</v>
      </c>
      <c r="AB207" s="2">
        <v>109.0291</v>
      </c>
    </row>
    <row r="208" spans="2:28" x14ac:dyDescent="0.4">
      <c r="B208" s="11">
        <v>191</v>
      </c>
      <c r="C208" s="16">
        <f t="shared" si="9"/>
        <v>97.29182098919172</v>
      </c>
      <c r="D208" s="17">
        <f t="shared" si="11"/>
        <v>108.10202332132414</v>
      </c>
      <c r="E208" s="17">
        <f t="shared" si="10"/>
        <v>118.91222565345656</v>
      </c>
      <c r="F208" s="2">
        <v>107.33369999999999</v>
      </c>
      <c r="G208" s="2" t="str">
        <f t="shared" si="8"/>
        <v>Pass</v>
      </c>
      <c r="Y208" s="2">
        <v>193</v>
      </c>
      <c r="Z208" s="2">
        <v>0.28360000000000002</v>
      </c>
      <c r="AA208" s="2">
        <v>0.29720000000000002</v>
      </c>
      <c r="AB208" s="2">
        <v>109.488</v>
      </c>
    </row>
    <row r="209" spans="2:28" x14ac:dyDescent="0.4">
      <c r="B209" s="11">
        <v>192</v>
      </c>
      <c r="C209" s="16">
        <f t="shared" si="9"/>
        <v>98.311812823591723</v>
      </c>
      <c r="D209" s="17">
        <f t="shared" si="11"/>
        <v>109.23534758176858</v>
      </c>
      <c r="E209" s="17">
        <f t="shared" si="10"/>
        <v>120.15888233994544</v>
      </c>
      <c r="F209" s="2">
        <v>109.0291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0.28339999999999999</v>
      </c>
      <c r="AA209" s="2">
        <v>0.2974</v>
      </c>
      <c r="AB209" s="2">
        <v>110.3663</v>
      </c>
    </row>
    <row r="210" spans="2:28" x14ac:dyDescent="0.4">
      <c r="B210" s="11">
        <v>193</v>
      </c>
      <c r="C210" s="16">
        <f t="shared" ref="C210:C272" si="13">D210-D210*(C$14/100)</f>
        <v>99.337123528579966</v>
      </c>
      <c r="D210" s="17">
        <f t="shared" si="11"/>
        <v>110.37458169842219</v>
      </c>
      <c r="E210" s="17">
        <f t="shared" ref="E210:E272" si="14">D210+D210*(C$14/100)</f>
        <v>121.41203986826442</v>
      </c>
      <c r="F210" s="2">
        <v>109.488</v>
      </c>
      <c r="G210" s="2" t="str">
        <f t="shared" si="12"/>
        <v>Pass</v>
      </c>
      <c r="Y210" s="2">
        <v>195</v>
      </c>
      <c r="Z210" s="2">
        <v>0.28349999999999997</v>
      </c>
      <c r="AA210" s="2">
        <v>0.29759999999999998</v>
      </c>
      <c r="AB210" s="2">
        <v>112.01739999999999</v>
      </c>
    </row>
    <row r="211" spans="2:28" x14ac:dyDescent="0.4">
      <c r="B211" s="11">
        <v>194</v>
      </c>
      <c r="C211" s="16">
        <f t="shared" si="13"/>
        <v>100.36775310415644</v>
      </c>
      <c r="D211" s="17">
        <f t="shared" ref="D211:D271" si="15">D$272*((B211+F$17)/B$272)^C$13</f>
        <v>111.51972567128493</v>
      </c>
      <c r="E211" s="17">
        <f t="shared" si="14"/>
        <v>122.67169823841343</v>
      </c>
      <c r="F211" s="2">
        <v>110.3663</v>
      </c>
      <c r="G211" s="2" t="str">
        <f t="shared" si="12"/>
        <v>Pass</v>
      </c>
      <c r="Y211" s="2">
        <v>196</v>
      </c>
      <c r="Z211" s="2">
        <v>0.28360000000000002</v>
      </c>
      <c r="AA211" s="2">
        <v>0.29770000000000002</v>
      </c>
      <c r="AB211" s="2">
        <v>113.2092</v>
      </c>
    </row>
    <row r="212" spans="2:28" x14ac:dyDescent="0.4">
      <c r="B212" s="11">
        <v>195</v>
      </c>
      <c r="C212" s="16">
        <f t="shared" si="13"/>
        <v>101.40370155032113</v>
      </c>
      <c r="D212" s="17">
        <f t="shared" si="15"/>
        <v>112.67077950035682</v>
      </c>
      <c r="E212" s="17">
        <f t="shared" si="14"/>
        <v>123.9378574503925</v>
      </c>
      <c r="F212" s="2">
        <v>112.01739999999999</v>
      </c>
      <c r="G212" s="2" t="str">
        <f t="shared" si="12"/>
        <v>Pass</v>
      </c>
      <c r="Y212" s="2">
        <v>197</v>
      </c>
      <c r="Z212" s="2">
        <v>0.28370000000000001</v>
      </c>
      <c r="AA212" s="2">
        <v>0.29780000000000001</v>
      </c>
      <c r="AB212" s="2">
        <v>114.7829</v>
      </c>
    </row>
    <row r="213" spans="2:28" x14ac:dyDescent="0.4">
      <c r="B213" s="11">
        <v>196</v>
      </c>
      <c r="C213" s="16">
        <f t="shared" si="13"/>
        <v>102.44496886707407</v>
      </c>
      <c r="D213" s="17">
        <f t="shared" si="15"/>
        <v>113.82774318563786</v>
      </c>
      <c r="E213" s="17">
        <f t="shared" si="14"/>
        <v>125.21051750420165</v>
      </c>
      <c r="F213" s="2">
        <v>113.2092</v>
      </c>
      <c r="G213" s="2" t="str">
        <f t="shared" si="12"/>
        <v>Pass</v>
      </c>
      <c r="Y213" s="2">
        <v>198</v>
      </c>
      <c r="Z213" s="2">
        <v>0.28270000000000001</v>
      </c>
      <c r="AA213" s="2">
        <v>0.2964</v>
      </c>
      <c r="AB213" s="2">
        <v>114.80289999999999</v>
      </c>
    </row>
    <row r="214" spans="2:28" x14ac:dyDescent="0.4">
      <c r="B214" s="11">
        <v>197</v>
      </c>
      <c r="C214" s="16">
        <f t="shared" si="13"/>
        <v>103.49155505441524</v>
      </c>
      <c r="D214" s="17">
        <f t="shared" si="15"/>
        <v>114.99061672712806</v>
      </c>
      <c r="E214" s="17">
        <f t="shared" si="14"/>
        <v>126.48967839984087</v>
      </c>
      <c r="F214" s="2">
        <v>114.7829</v>
      </c>
      <c r="G214" s="2" t="str">
        <f t="shared" si="12"/>
        <v>Pass</v>
      </c>
      <c r="Y214" s="2">
        <v>199</v>
      </c>
      <c r="Z214" s="2">
        <v>0.2828</v>
      </c>
      <c r="AA214" s="2">
        <v>0.29649999999999999</v>
      </c>
      <c r="AB214" s="2">
        <v>116.0994</v>
      </c>
    </row>
    <row r="215" spans="2:28" x14ac:dyDescent="0.4">
      <c r="B215" s="11">
        <v>198</v>
      </c>
      <c r="C215" s="16">
        <f t="shared" si="13"/>
        <v>104.54346011234466</v>
      </c>
      <c r="D215" s="17">
        <f t="shared" si="15"/>
        <v>116.1594001248274</v>
      </c>
      <c r="E215" s="17">
        <f t="shared" si="14"/>
        <v>127.77534013731014</v>
      </c>
      <c r="F215" s="2">
        <v>114.80289999999999</v>
      </c>
      <c r="G215" s="2" t="str">
        <f t="shared" si="12"/>
        <v>Pass</v>
      </c>
      <c r="Y215" s="2">
        <v>200</v>
      </c>
      <c r="Z215" s="2">
        <v>0.28299999999999997</v>
      </c>
      <c r="AA215" s="2">
        <v>0.29670000000000002</v>
      </c>
      <c r="AB215" s="2">
        <v>117.8036</v>
      </c>
    </row>
    <row r="216" spans="2:28" x14ac:dyDescent="0.4">
      <c r="B216" s="11">
        <v>199</v>
      </c>
      <c r="C216" s="16">
        <f t="shared" si="13"/>
        <v>105.60068404086233</v>
      </c>
      <c r="D216" s="17">
        <f t="shared" si="15"/>
        <v>117.33409337873593</v>
      </c>
      <c r="E216" s="17">
        <f t="shared" si="14"/>
        <v>129.06750271660951</v>
      </c>
      <c r="F216" s="2">
        <v>116.0994</v>
      </c>
      <c r="G216" s="2" t="str">
        <f t="shared" si="12"/>
        <v>Pass</v>
      </c>
      <c r="Y216" s="2">
        <v>201</v>
      </c>
      <c r="Z216" s="2">
        <v>0.2828</v>
      </c>
      <c r="AA216" s="2">
        <v>0.2969</v>
      </c>
      <c r="AB216" s="2">
        <v>119.0448</v>
      </c>
    </row>
    <row r="217" spans="2:28" x14ac:dyDescent="0.4">
      <c r="B217" s="11">
        <v>200</v>
      </c>
      <c r="C217" s="16">
        <f t="shared" si="13"/>
        <v>106.66322683996822</v>
      </c>
      <c r="D217" s="17">
        <f t="shared" si="15"/>
        <v>118.51469648885357</v>
      </c>
      <c r="E217" s="17">
        <f t="shared" si="14"/>
        <v>130.36616613773893</v>
      </c>
      <c r="F217" s="2">
        <v>117.8036</v>
      </c>
      <c r="G217" s="2" t="str">
        <f t="shared" si="12"/>
        <v>Pass</v>
      </c>
      <c r="Y217" s="2">
        <v>202</v>
      </c>
      <c r="Z217" s="2">
        <v>0.28289999999999998</v>
      </c>
      <c r="AA217" s="2">
        <v>0.29699999999999999</v>
      </c>
      <c r="AB217" s="2">
        <v>120.1549</v>
      </c>
    </row>
    <row r="218" spans="2:28" x14ac:dyDescent="0.4">
      <c r="B218" s="11">
        <v>201</v>
      </c>
      <c r="C218" s="16">
        <f t="shared" si="13"/>
        <v>107.73108850966231</v>
      </c>
      <c r="D218" s="17">
        <f t="shared" si="15"/>
        <v>119.70120945518035</v>
      </c>
      <c r="E218" s="17">
        <f t="shared" si="14"/>
        <v>131.67133040069839</v>
      </c>
      <c r="F218" s="2">
        <v>119.0448</v>
      </c>
      <c r="G218" s="2" t="str">
        <f t="shared" si="12"/>
        <v>Pass</v>
      </c>
      <c r="Y218" s="2">
        <v>203</v>
      </c>
      <c r="Z218" s="2">
        <v>0.2833</v>
      </c>
      <c r="AA218" s="2">
        <v>0.2969</v>
      </c>
      <c r="AB218" s="2">
        <v>120.614</v>
      </c>
    </row>
    <row r="219" spans="2:28" x14ac:dyDescent="0.4">
      <c r="B219" s="11">
        <v>202</v>
      </c>
      <c r="C219" s="16">
        <f t="shared" si="13"/>
        <v>108.80426904994466</v>
      </c>
      <c r="D219" s="17">
        <f t="shared" si="15"/>
        <v>120.89363227771629</v>
      </c>
      <c r="E219" s="17">
        <f t="shared" si="14"/>
        <v>132.98299550548793</v>
      </c>
      <c r="F219" s="2">
        <v>120.1549</v>
      </c>
      <c r="G219" s="2" t="str">
        <f t="shared" si="12"/>
        <v>Pass</v>
      </c>
      <c r="Y219" s="2">
        <v>204</v>
      </c>
      <c r="Z219" s="2">
        <v>0.28310000000000002</v>
      </c>
      <c r="AA219" s="2">
        <v>0.29699999999999999</v>
      </c>
      <c r="AB219" s="2">
        <v>121.4939</v>
      </c>
    </row>
    <row r="220" spans="2:28" x14ac:dyDescent="0.4">
      <c r="B220" s="11">
        <v>203</v>
      </c>
      <c r="C220" s="16">
        <f t="shared" si="13"/>
        <v>109.88276846081526</v>
      </c>
      <c r="D220" s="17">
        <f t="shared" si="15"/>
        <v>122.0919649564614</v>
      </c>
      <c r="E220" s="17">
        <f t="shared" si="14"/>
        <v>134.30116145210752</v>
      </c>
      <c r="F220" s="2">
        <v>120.614</v>
      </c>
      <c r="G220" s="2" t="str">
        <f t="shared" si="12"/>
        <v>Pass</v>
      </c>
      <c r="Y220" s="2">
        <v>205</v>
      </c>
      <c r="Z220" s="2">
        <v>0.28320000000000001</v>
      </c>
      <c r="AA220" s="2">
        <v>0.29709999999999998</v>
      </c>
      <c r="AB220" s="2">
        <v>123.0677</v>
      </c>
    </row>
    <row r="221" spans="2:28" x14ac:dyDescent="0.4">
      <c r="B221" s="11">
        <v>204</v>
      </c>
      <c r="C221" s="16">
        <f t="shared" si="13"/>
        <v>110.96658674227407</v>
      </c>
      <c r="D221" s="17">
        <f t="shared" si="15"/>
        <v>123.29620749141564</v>
      </c>
      <c r="E221" s="17">
        <f t="shared" si="14"/>
        <v>135.62582824055721</v>
      </c>
      <c r="F221" s="2">
        <v>121.4939</v>
      </c>
      <c r="G221" s="2" t="str">
        <f t="shared" si="12"/>
        <v>Pass</v>
      </c>
      <c r="Y221" s="2">
        <v>206</v>
      </c>
      <c r="Z221" s="2">
        <v>0.2833</v>
      </c>
      <c r="AA221" s="2">
        <v>0.29720000000000002</v>
      </c>
      <c r="AB221" s="2">
        <v>124.2872</v>
      </c>
    </row>
    <row r="222" spans="2:28" x14ac:dyDescent="0.4">
      <c r="B222" s="11">
        <v>205</v>
      </c>
      <c r="C222" s="16">
        <f t="shared" si="13"/>
        <v>112.05572389432112</v>
      </c>
      <c r="D222" s="17">
        <f t="shared" si="15"/>
        <v>124.50635988257902</v>
      </c>
      <c r="E222" s="17">
        <f t="shared" si="14"/>
        <v>136.95699587083692</v>
      </c>
      <c r="F222" s="2">
        <v>123.0677</v>
      </c>
      <c r="G222" s="2" t="str">
        <f t="shared" si="12"/>
        <v>Pass</v>
      </c>
      <c r="Y222" s="2">
        <v>207</v>
      </c>
      <c r="Z222" s="2">
        <v>0.28349999999999997</v>
      </c>
      <c r="AA222" s="2">
        <v>0.2974</v>
      </c>
      <c r="AB222" s="2">
        <v>125.97929999999999</v>
      </c>
    </row>
    <row r="223" spans="2:28" x14ac:dyDescent="0.4">
      <c r="B223" s="11">
        <v>206</v>
      </c>
      <c r="C223" s="16">
        <f t="shared" si="13"/>
        <v>113.1501799169564</v>
      </c>
      <c r="D223" s="17">
        <f t="shared" si="15"/>
        <v>125.72242212995157</v>
      </c>
      <c r="E223" s="17">
        <f t="shared" si="14"/>
        <v>138.29466434294673</v>
      </c>
      <c r="F223" s="2">
        <v>124.2872</v>
      </c>
      <c r="G223" s="2" t="str">
        <f t="shared" si="12"/>
        <v>Pass</v>
      </c>
      <c r="Y223" s="2">
        <v>208</v>
      </c>
      <c r="Z223" s="2">
        <v>0.28249999999999997</v>
      </c>
      <c r="AA223" s="2">
        <v>0.29609999999999997</v>
      </c>
      <c r="AB223" s="2">
        <v>126.0582</v>
      </c>
    </row>
    <row r="224" spans="2:28" x14ac:dyDescent="0.4">
      <c r="B224" s="11">
        <v>207</v>
      </c>
      <c r="C224" s="16">
        <f t="shared" si="13"/>
        <v>114.24995481017997</v>
      </c>
      <c r="D224" s="17">
        <f t="shared" si="15"/>
        <v>126.9443942335333</v>
      </c>
      <c r="E224" s="17">
        <f t="shared" si="14"/>
        <v>139.63883365688662</v>
      </c>
      <c r="F224" s="2">
        <v>125.97929999999999</v>
      </c>
      <c r="G224" s="2" t="str">
        <f t="shared" si="12"/>
        <v>Pass</v>
      </c>
      <c r="Y224" s="2">
        <v>209</v>
      </c>
      <c r="Z224" s="2">
        <v>0.28260000000000002</v>
      </c>
      <c r="AA224" s="2">
        <v>0.29620000000000002</v>
      </c>
      <c r="AB224" s="2">
        <v>127.3373</v>
      </c>
    </row>
    <row r="225" spans="2:28" x14ac:dyDescent="0.4">
      <c r="B225" s="11">
        <v>208</v>
      </c>
      <c r="C225" s="16">
        <f t="shared" si="13"/>
        <v>115.35504857399172</v>
      </c>
      <c r="D225" s="17">
        <f t="shared" si="15"/>
        <v>128.17227619332414</v>
      </c>
      <c r="E225" s="17">
        <f t="shared" si="14"/>
        <v>140.98950381265655</v>
      </c>
      <c r="F225" s="2">
        <v>126.0582</v>
      </c>
      <c r="G225" s="2" t="str">
        <f t="shared" si="12"/>
        <v>Pass</v>
      </c>
      <c r="Y225" s="2">
        <v>210</v>
      </c>
      <c r="Z225" s="2">
        <v>0.28260000000000002</v>
      </c>
      <c r="AA225" s="2">
        <v>0.2959</v>
      </c>
      <c r="AB225" s="2">
        <v>128.9889</v>
      </c>
    </row>
    <row r="226" spans="2:28" x14ac:dyDescent="0.4">
      <c r="B226" s="11">
        <v>209</v>
      </c>
      <c r="C226" s="16">
        <f t="shared" si="13"/>
        <v>116.46546120839173</v>
      </c>
      <c r="D226" s="17">
        <f t="shared" si="15"/>
        <v>129.40606800932414</v>
      </c>
      <c r="E226" s="17">
        <f t="shared" si="14"/>
        <v>142.34667481025656</v>
      </c>
      <c r="F226" s="2">
        <v>127.3373</v>
      </c>
      <c r="G226" s="2" t="str">
        <f t="shared" si="12"/>
        <v>Pass</v>
      </c>
      <c r="Y226" s="2">
        <v>211</v>
      </c>
      <c r="Z226" s="2">
        <v>0.28249999999999997</v>
      </c>
      <c r="AA226" s="2">
        <v>0.29570000000000002</v>
      </c>
      <c r="AB226" s="2">
        <v>130.30410000000001</v>
      </c>
    </row>
    <row r="227" spans="2:28" x14ac:dyDescent="0.4">
      <c r="B227" s="11">
        <v>210</v>
      </c>
      <c r="C227" s="16">
        <f t="shared" si="13"/>
        <v>117.58119271337996</v>
      </c>
      <c r="D227" s="17">
        <f t="shared" si="15"/>
        <v>130.6457696815333</v>
      </c>
      <c r="E227" s="17">
        <f t="shared" si="14"/>
        <v>143.71034664968661</v>
      </c>
      <c r="F227" s="2">
        <v>128.9889</v>
      </c>
      <c r="G227" s="2" t="str">
        <f t="shared" si="12"/>
        <v>Pass</v>
      </c>
      <c r="Y227" s="2">
        <v>212</v>
      </c>
      <c r="Z227" s="2">
        <v>0.2828</v>
      </c>
      <c r="AA227" s="2">
        <v>0.29599999999999999</v>
      </c>
      <c r="AB227" s="2">
        <v>132.0874</v>
      </c>
    </row>
    <row r="228" spans="2:28" x14ac:dyDescent="0.4">
      <c r="B228" s="11">
        <v>211</v>
      </c>
      <c r="C228" s="16">
        <f t="shared" si="13"/>
        <v>118.70224308895644</v>
      </c>
      <c r="D228" s="17">
        <f t="shared" si="15"/>
        <v>131.89138120995159</v>
      </c>
      <c r="E228" s="17">
        <f t="shared" si="14"/>
        <v>145.08051933094674</v>
      </c>
      <c r="F228" s="2">
        <v>130.30410000000001</v>
      </c>
      <c r="G228" s="2" t="str">
        <f t="shared" si="12"/>
        <v>Pass</v>
      </c>
      <c r="Y228" s="2">
        <v>213</v>
      </c>
      <c r="Z228" s="2">
        <v>0.28220000000000001</v>
      </c>
      <c r="AA228" s="2">
        <v>0.29559999999999997</v>
      </c>
      <c r="AB228" s="2">
        <v>133.0462</v>
      </c>
    </row>
    <row r="229" spans="2:28" x14ac:dyDescent="0.4">
      <c r="B229" s="11">
        <v>212</v>
      </c>
      <c r="C229" s="16">
        <f t="shared" si="13"/>
        <v>119.82861233512115</v>
      </c>
      <c r="D229" s="17">
        <f t="shared" si="15"/>
        <v>133.14290259457906</v>
      </c>
      <c r="E229" s="17">
        <f t="shared" si="14"/>
        <v>146.45719285403698</v>
      </c>
      <c r="F229" s="2">
        <v>132.0874</v>
      </c>
      <c r="G229" s="2" t="str">
        <f t="shared" si="12"/>
        <v>Pass</v>
      </c>
      <c r="Y229" s="2">
        <v>214</v>
      </c>
      <c r="Z229" s="2">
        <v>0.28220000000000001</v>
      </c>
      <c r="AA229" s="2">
        <v>0.29480000000000001</v>
      </c>
      <c r="AB229" s="2">
        <v>133.41380000000001</v>
      </c>
    </row>
    <row r="230" spans="2:28" x14ac:dyDescent="0.4">
      <c r="B230" s="11">
        <v>213</v>
      </c>
      <c r="C230" s="16">
        <f t="shared" si="13"/>
        <v>120.96030045187408</v>
      </c>
      <c r="D230" s="17">
        <f t="shared" si="15"/>
        <v>134.40033383541564</v>
      </c>
      <c r="E230" s="17">
        <f t="shared" si="14"/>
        <v>147.8403672189572</v>
      </c>
      <c r="F230" s="2">
        <v>133.0462</v>
      </c>
      <c r="G230" s="2" t="str">
        <f t="shared" si="12"/>
        <v>Pass</v>
      </c>
      <c r="Y230" s="2">
        <v>215</v>
      </c>
      <c r="Z230" s="2">
        <v>0.28239999999999998</v>
      </c>
      <c r="AA230" s="2">
        <v>0.29499999999999998</v>
      </c>
      <c r="AB230" s="2">
        <v>135.22399999999999</v>
      </c>
    </row>
    <row r="231" spans="2:28" x14ac:dyDescent="0.4">
      <c r="B231" s="11">
        <v>214</v>
      </c>
      <c r="C231" s="16">
        <f t="shared" si="13"/>
        <v>122.09730743921523</v>
      </c>
      <c r="D231" s="17">
        <f t="shared" si="15"/>
        <v>135.66367493246136</v>
      </c>
      <c r="E231" s="17">
        <f t="shared" si="14"/>
        <v>149.2300424257075</v>
      </c>
      <c r="F231" s="2">
        <v>133.41380000000001</v>
      </c>
      <c r="G231" s="2" t="str">
        <f t="shared" si="12"/>
        <v>Pass</v>
      </c>
      <c r="Y231" s="2">
        <v>216</v>
      </c>
      <c r="Z231" s="2">
        <v>0.28249999999999997</v>
      </c>
      <c r="AA231" s="2">
        <v>0.29509999999999997</v>
      </c>
      <c r="AB231" s="2">
        <v>136.536</v>
      </c>
    </row>
    <row r="232" spans="2:28" x14ac:dyDescent="0.4">
      <c r="B232" s="11">
        <v>215</v>
      </c>
      <c r="C232" s="16">
        <f t="shared" si="13"/>
        <v>123.23963329714465</v>
      </c>
      <c r="D232" s="17">
        <f t="shared" si="15"/>
        <v>136.93292588571629</v>
      </c>
      <c r="E232" s="17">
        <f t="shared" si="14"/>
        <v>150.62621847428792</v>
      </c>
      <c r="F232" s="2">
        <v>135.22399999999999</v>
      </c>
      <c r="G232" s="2" t="str">
        <f t="shared" si="12"/>
        <v>Pass</v>
      </c>
      <c r="Y232" s="2">
        <v>217</v>
      </c>
      <c r="Z232" s="2">
        <v>0.28239999999999998</v>
      </c>
      <c r="AA232" s="2">
        <v>0.2954</v>
      </c>
      <c r="AB232" s="2">
        <v>137.89789999999999</v>
      </c>
    </row>
    <row r="233" spans="2:28" x14ac:dyDescent="0.4">
      <c r="B233" s="11">
        <v>216</v>
      </c>
      <c r="C233" s="16">
        <f t="shared" si="13"/>
        <v>124.38727802566231</v>
      </c>
      <c r="D233" s="17">
        <f t="shared" si="15"/>
        <v>138.20808669518036</v>
      </c>
      <c r="E233" s="17">
        <f t="shared" si="14"/>
        <v>152.0288953646984</v>
      </c>
      <c r="F233" s="2">
        <v>136.536</v>
      </c>
      <c r="G233" s="2" t="str">
        <f t="shared" si="12"/>
        <v>Pass</v>
      </c>
      <c r="Y233" s="2">
        <v>218</v>
      </c>
      <c r="Z233" s="2">
        <v>0.28249999999999997</v>
      </c>
      <c r="AA233" s="2">
        <v>0.29549999999999998</v>
      </c>
      <c r="AB233" s="2">
        <v>139.22810000000001</v>
      </c>
    </row>
    <row r="234" spans="2:28" x14ac:dyDescent="0.4">
      <c r="B234" s="11">
        <v>217</v>
      </c>
      <c r="C234" s="16">
        <f t="shared" si="13"/>
        <v>125.54024162476819</v>
      </c>
      <c r="D234" s="17">
        <f t="shared" si="15"/>
        <v>139.48915736085354</v>
      </c>
      <c r="E234" s="17">
        <f t="shared" si="14"/>
        <v>153.43807309693889</v>
      </c>
      <c r="F234" s="2">
        <v>137.89789999999999</v>
      </c>
      <c r="G234" s="2" t="str">
        <f t="shared" si="12"/>
        <v>Pass</v>
      </c>
      <c r="Y234" s="2">
        <v>219</v>
      </c>
      <c r="Z234" s="2">
        <v>0.28260000000000002</v>
      </c>
      <c r="AA234" s="2">
        <v>0.29549999999999998</v>
      </c>
      <c r="AB234" s="2">
        <v>141.0189</v>
      </c>
    </row>
    <row r="235" spans="2:28" x14ac:dyDescent="0.4">
      <c r="B235" s="11">
        <v>218</v>
      </c>
      <c r="C235" s="16">
        <f t="shared" si="13"/>
        <v>126.6985240944623</v>
      </c>
      <c r="D235" s="17">
        <f t="shared" si="15"/>
        <v>140.7761378827359</v>
      </c>
      <c r="E235" s="17">
        <f t="shared" si="14"/>
        <v>154.85375167100949</v>
      </c>
      <c r="F235" s="2">
        <v>139.22810000000001</v>
      </c>
      <c r="G235" s="2" t="str">
        <f t="shared" si="12"/>
        <v>Pass</v>
      </c>
      <c r="Y235" s="2">
        <v>220</v>
      </c>
      <c r="Z235" s="2">
        <v>0.28260000000000002</v>
      </c>
      <c r="AA235" s="2">
        <v>0.29559999999999997</v>
      </c>
      <c r="AB235" s="2">
        <v>142.37110000000001</v>
      </c>
    </row>
    <row r="236" spans="2:28" x14ac:dyDescent="0.4">
      <c r="B236" s="11">
        <v>219</v>
      </c>
      <c r="C236" s="16">
        <f t="shared" si="13"/>
        <v>127.86212543474466</v>
      </c>
      <c r="D236" s="17">
        <f t="shared" si="15"/>
        <v>142.06902826082739</v>
      </c>
      <c r="E236" s="17">
        <f t="shared" si="14"/>
        <v>156.27593108691013</v>
      </c>
      <c r="F236" s="2">
        <v>141.0189</v>
      </c>
      <c r="G236" s="2" t="str">
        <f t="shared" si="12"/>
        <v>Pass</v>
      </c>
      <c r="Y236" s="2">
        <v>221</v>
      </c>
      <c r="Z236" s="2">
        <v>0.28299999999999997</v>
      </c>
      <c r="AA236" s="2">
        <v>0.29549999999999998</v>
      </c>
      <c r="AB236" s="2">
        <v>142.76929999999999</v>
      </c>
    </row>
    <row r="237" spans="2:28" x14ac:dyDescent="0.4">
      <c r="B237" s="11">
        <v>220</v>
      </c>
      <c r="C237" s="16">
        <f t="shared" si="13"/>
        <v>129.03104564561525</v>
      </c>
      <c r="D237" s="17">
        <f t="shared" si="15"/>
        <v>143.36782849512807</v>
      </c>
      <c r="E237" s="17">
        <f t="shared" si="14"/>
        <v>157.70461134464088</v>
      </c>
      <c r="F237" s="2">
        <v>142.37110000000001</v>
      </c>
      <c r="G237" s="2" t="str">
        <f t="shared" si="12"/>
        <v>Pass</v>
      </c>
      <c r="Y237" s="2">
        <v>222</v>
      </c>
      <c r="Z237" s="2">
        <v>0.2828</v>
      </c>
      <c r="AA237" s="2">
        <v>0.29580000000000001</v>
      </c>
      <c r="AB237" s="2">
        <v>144.24709999999999</v>
      </c>
    </row>
    <row r="238" spans="2:28" x14ac:dyDescent="0.4">
      <c r="B238" s="11">
        <v>221</v>
      </c>
      <c r="C238" s="16">
        <f t="shared" si="13"/>
        <v>130.20528472707406</v>
      </c>
      <c r="D238" s="17">
        <f t="shared" si="15"/>
        <v>144.67253858563785</v>
      </c>
      <c r="E238" s="17">
        <f t="shared" si="14"/>
        <v>159.13979244420165</v>
      </c>
      <c r="F238" s="2">
        <v>142.76929999999999</v>
      </c>
      <c r="G238" s="2" t="str">
        <f t="shared" si="12"/>
        <v>Pass</v>
      </c>
      <c r="Y238" s="2">
        <v>223</v>
      </c>
      <c r="Z238" s="2">
        <v>0.28299999999999997</v>
      </c>
      <c r="AA238" s="2">
        <v>0.29609999999999997</v>
      </c>
      <c r="AB238" s="2">
        <v>145.60669999999999</v>
      </c>
    </row>
    <row r="239" spans="2:28" x14ac:dyDescent="0.4">
      <c r="B239" s="11">
        <v>222</v>
      </c>
      <c r="C239" s="16">
        <f t="shared" si="13"/>
        <v>131.38484267912114</v>
      </c>
      <c r="D239" s="17">
        <f t="shared" si="15"/>
        <v>145.98315853235681</v>
      </c>
      <c r="E239" s="17">
        <f t="shared" si="14"/>
        <v>160.58147438559249</v>
      </c>
      <c r="F239" s="2">
        <v>144.24709999999999</v>
      </c>
      <c r="G239" s="2" t="str">
        <f t="shared" si="12"/>
        <v>Pass</v>
      </c>
      <c r="Y239" s="2">
        <v>224</v>
      </c>
      <c r="Z239" s="2">
        <v>0.2833</v>
      </c>
      <c r="AA239" s="2">
        <v>0.29649999999999999</v>
      </c>
      <c r="AB239" s="2">
        <v>147.35480000000001</v>
      </c>
    </row>
    <row r="240" spans="2:28" x14ac:dyDescent="0.4">
      <c r="B240" s="11">
        <v>223</v>
      </c>
      <c r="C240" s="16">
        <f t="shared" si="13"/>
        <v>132.56971950175645</v>
      </c>
      <c r="D240" s="17">
        <f t="shared" si="15"/>
        <v>147.29968833528494</v>
      </c>
      <c r="E240" s="17">
        <f t="shared" si="14"/>
        <v>162.02965716881343</v>
      </c>
      <c r="F240" s="2">
        <v>145.60669999999999</v>
      </c>
      <c r="G240" s="2" t="str">
        <f t="shared" si="12"/>
        <v>Pass</v>
      </c>
      <c r="Y240" s="2">
        <v>225</v>
      </c>
      <c r="Z240" s="2">
        <v>0.2833</v>
      </c>
      <c r="AA240" s="2">
        <v>0.29649999999999999</v>
      </c>
      <c r="AB240" s="2">
        <v>148.7526</v>
      </c>
    </row>
    <row r="241" spans="2:28" x14ac:dyDescent="0.4">
      <c r="B241" s="11">
        <v>224</v>
      </c>
      <c r="C241" s="16">
        <f t="shared" si="13"/>
        <v>133.75991519497995</v>
      </c>
      <c r="D241" s="17">
        <f t="shared" si="15"/>
        <v>148.62212799442219</v>
      </c>
      <c r="E241" s="17">
        <f t="shared" si="14"/>
        <v>163.48434079386442</v>
      </c>
      <c r="F241" s="2">
        <v>147.35480000000001</v>
      </c>
      <c r="G241" s="2" t="str">
        <f t="shared" si="12"/>
        <v>Pass</v>
      </c>
      <c r="Y241" s="2">
        <v>226</v>
      </c>
      <c r="Z241" s="2">
        <v>0.2833</v>
      </c>
      <c r="AA241" s="2">
        <v>0.29659999999999997</v>
      </c>
      <c r="AB241" s="2">
        <v>150.15389999999999</v>
      </c>
    </row>
    <row r="242" spans="2:28" x14ac:dyDescent="0.4">
      <c r="B242" s="11">
        <v>225</v>
      </c>
      <c r="C242" s="16">
        <f t="shared" si="13"/>
        <v>134.95542975879175</v>
      </c>
      <c r="D242" s="17">
        <f t="shared" si="15"/>
        <v>149.9504775097686</v>
      </c>
      <c r="E242" s="17">
        <f t="shared" si="14"/>
        <v>164.94552526074546</v>
      </c>
      <c r="F242" s="2">
        <v>148.7526</v>
      </c>
      <c r="G242" s="2" t="str">
        <f t="shared" si="12"/>
        <v>Pass</v>
      </c>
      <c r="Y242" s="2">
        <v>227</v>
      </c>
      <c r="Z242" s="2">
        <v>0.28249999999999997</v>
      </c>
      <c r="AA242" s="2">
        <v>0.29620000000000002</v>
      </c>
      <c r="AB242" s="2">
        <v>151.65469999999999</v>
      </c>
    </row>
    <row r="243" spans="2:28" x14ac:dyDescent="0.4">
      <c r="B243" s="11">
        <v>226</v>
      </c>
      <c r="C243" s="16">
        <f t="shared" si="13"/>
        <v>136.15626319319173</v>
      </c>
      <c r="D243" s="17">
        <f t="shared" si="15"/>
        <v>151.28473688132414</v>
      </c>
      <c r="E243" s="17">
        <f t="shared" si="14"/>
        <v>166.41321056945654</v>
      </c>
      <c r="F243" s="2">
        <v>150.15389999999999</v>
      </c>
      <c r="G243" s="2" t="str">
        <f t="shared" si="12"/>
        <v>Pass</v>
      </c>
      <c r="Y243" s="2">
        <v>228</v>
      </c>
      <c r="Z243" s="2">
        <v>0.28249999999999997</v>
      </c>
      <c r="AA243" s="2">
        <v>0.2954</v>
      </c>
      <c r="AB243" s="2">
        <v>152.06030000000001</v>
      </c>
    </row>
    <row r="244" spans="2:28" x14ac:dyDescent="0.4">
      <c r="B244" s="11">
        <v>227</v>
      </c>
      <c r="C244" s="16">
        <f t="shared" si="13"/>
        <v>137.36241549817996</v>
      </c>
      <c r="D244" s="17">
        <f t="shared" si="15"/>
        <v>152.62490610908884</v>
      </c>
      <c r="E244" s="17">
        <f t="shared" si="14"/>
        <v>167.88739671999772</v>
      </c>
      <c r="F244" s="2">
        <v>151.65469999999999</v>
      </c>
      <c r="G244" s="2" t="str">
        <f t="shared" si="12"/>
        <v>Pass</v>
      </c>
      <c r="Y244" s="2">
        <v>229</v>
      </c>
      <c r="Z244" s="2">
        <v>0.28260000000000002</v>
      </c>
      <c r="AA244" s="2">
        <v>0.2954</v>
      </c>
      <c r="AB244" s="2">
        <v>153.44059999999999</v>
      </c>
    </row>
    <row r="245" spans="2:28" x14ac:dyDescent="0.4">
      <c r="B245" s="11">
        <v>228</v>
      </c>
      <c r="C245" s="16">
        <f t="shared" si="13"/>
        <v>138.57388667375642</v>
      </c>
      <c r="D245" s="17">
        <f t="shared" si="15"/>
        <v>153.97098519306269</v>
      </c>
      <c r="E245" s="17">
        <f t="shared" si="14"/>
        <v>169.36808371236896</v>
      </c>
      <c r="F245" s="2">
        <v>152.06030000000001</v>
      </c>
      <c r="G245" s="2" t="str">
        <f t="shared" si="12"/>
        <v>Pass</v>
      </c>
      <c r="Y245" s="2">
        <v>230</v>
      </c>
      <c r="Z245" s="2">
        <v>0.28270000000000001</v>
      </c>
      <c r="AA245" s="2">
        <v>0.29559999999999997</v>
      </c>
      <c r="AB245" s="2">
        <v>155.3192</v>
      </c>
    </row>
    <row r="246" spans="2:28" x14ac:dyDescent="0.4">
      <c r="B246" s="11">
        <v>229</v>
      </c>
      <c r="C246" s="16">
        <f t="shared" si="13"/>
        <v>139.79067671992112</v>
      </c>
      <c r="D246" s="17">
        <f t="shared" si="15"/>
        <v>155.32297413324568</v>
      </c>
      <c r="E246" s="17">
        <f t="shared" si="14"/>
        <v>170.85527154657024</v>
      </c>
      <c r="F246" s="2">
        <v>153.44059999999999</v>
      </c>
      <c r="G246" s="2" t="str">
        <f t="shared" si="12"/>
        <v>Pass</v>
      </c>
      <c r="Y246" s="2">
        <v>231</v>
      </c>
      <c r="Z246" s="2">
        <v>0.28270000000000001</v>
      </c>
      <c r="AA246" s="2">
        <v>0.29570000000000002</v>
      </c>
      <c r="AB246" s="2">
        <v>156.7123</v>
      </c>
    </row>
    <row r="247" spans="2:28" x14ac:dyDescent="0.4">
      <c r="B247" s="11">
        <v>230</v>
      </c>
      <c r="C247" s="16">
        <f t="shared" si="13"/>
        <v>141.01278563667407</v>
      </c>
      <c r="D247" s="17">
        <f t="shared" si="15"/>
        <v>156.68087292963784</v>
      </c>
      <c r="E247" s="17">
        <f t="shared" si="14"/>
        <v>172.34896022260162</v>
      </c>
      <c r="F247" s="2">
        <v>155.3192</v>
      </c>
      <c r="G247" s="2" t="str">
        <f t="shared" si="12"/>
        <v>Pass</v>
      </c>
      <c r="Y247" s="2">
        <v>232</v>
      </c>
      <c r="Z247" s="2">
        <v>0.28249999999999997</v>
      </c>
      <c r="AA247" s="2">
        <v>0.29580000000000001</v>
      </c>
      <c r="AB247" s="2">
        <v>158.1729</v>
      </c>
    </row>
    <row r="248" spans="2:28" x14ac:dyDescent="0.4">
      <c r="B248" s="11">
        <v>231</v>
      </c>
      <c r="C248" s="16">
        <f t="shared" si="13"/>
        <v>142.24021342401525</v>
      </c>
      <c r="D248" s="17">
        <f t="shared" si="15"/>
        <v>158.04468158223918</v>
      </c>
      <c r="E248" s="17">
        <f t="shared" si="14"/>
        <v>173.8491497404631</v>
      </c>
      <c r="F248" s="2">
        <v>156.7123</v>
      </c>
      <c r="G248" s="2" t="str">
        <f t="shared" si="12"/>
        <v>Pass</v>
      </c>
      <c r="Y248" s="2">
        <v>233</v>
      </c>
      <c r="Z248" s="2">
        <v>0.2823</v>
      </c>
      <c r="AA248" s="2">
        <v>0.2954</v>
      </c>
      <c r="AB248" s="2">
        <v>159.67349999999999</v>
      </c>
    </row>
    <row r="249" spans="2:28" x14ac:dyDescent="0.4">
      <c r="B249" s="11">
        <v>232</v>
      </c>
      <c r="C249" s="16">
        <f t="shared" si="13"/>
        <v>143.47296008194468</v>
      </c>
      <c r="D249" s="17">
        <f t="shared" si="15"/>
        <v>159.41440009104963</v>
      </c>
      <c r="E249" s="17">
        <f t="shared" si="14"/>
        <v>175.35584010015458</v>
      </c>
      <c r="F249" s="2">
        <v>158.1729</v>
      </c>
      <c r="G249" s="2" t="str">
        <f t="shared" si="12"/>
        <v>Pass</v>
      </c>
      <c r="Y249" s="2">
        <v>234</v>
      </c>
      <c r="Z249" s="2">
        <v>0.28249999999999997</v>
      </c>
      <c r="AA249" s="2">
        <v>0.29549999999999998</v>
      </c>
      <c r="AB249" s="2">
        <v>161.59049999999999</v>
      </c>
    </row>
    <row r="250" spans="2:28" x14ac:dyDescent="0.4">
      <c r="B250" s="11">
        <v>233</v>
      </c>
      <c r="C250" s="16">
        <f t="shared" si="13"/>
        <v>144.71102561046231</v>
      </c>
      <c r="D250" s="17">
        <f t="shared" si="15"/>
        <v>160.79002845606925</v>
      </c>
      <c r="E250" s="17">
        <f t="shared" si="14"/>
        <v>176.86903130167619</v>
      </c>
      <c r="F250" s="2">
        <v>159.67349999999999</v>
      </c>
      <c r="G250" s="2" t="str">
        <f t="shared" si="12"/>
        <v>Pass</v>
      </c>
      <c r="Y250" s="2">
        <v>235</v>
      </c>
      <c r="Z250" s="2">
        <v>0.28270000000000001</v>
      </c>
      <c r="AA250" s="2">
        <v>0.29559999999999997</v>
      </c>
      <c r="AB250" s="2">
        <v>163.04499999999999</v>
      </c>
    </row>
    <row r="251" spans="2:28" x14ac:dyDescent="0.4">
      <c r="B251" s="11">
        <v>234</v>
      </c>
      <c r="C251" s="16">
        <f t="shared" si="13"/>
        <v>145.95441000956819</v>
      </c>
      <c r="D251" s="17">
        <f t="shared" si="15"/>
        <v>162.17156667729799</v>
      </c>
      <c r="E251" s="17">
        <f t="shared" si="14"/>
        <v>178.38872334502778</v>
      </c>
      <c r="F251" s="2">
        <v>161.59049999999999</v>
      </c>
      <c r="G251" s="2" t="str">
        <f t="shared" si="12"/>
        <v>Pass</v>
      </c>
      <c r="Y251" s="2">
        <v>236</v>
      </c>
      <c r="Z251" s="2">
        <v>0.28170000000000001</v>
      </c>
      <c r="AA251" s="2">
        <v>0.29449999999999998</v>
      </c>
      <c r="AB251" s="2">
        <v>163.5823</v>
      </c>
    </row>
    <row r="252" spans="2:28" x14ac:dyDescent="0.4">
      <c r="B252" s="11">
        <v>235</v>
      </c>
      <c r="C252" s="16">
        <f t="shared" si="13"/>
        <v>147.20311327926231</v>
      </c>
      <c r="D252" s="17">
        <f t="shared" si="15"/>
        <v>163.5590147547359</v>
      </c>
      <c r="E252" s="17">
        <f t="shared" si="14"/>
        <v>179.91491623020949</v>
      </c>
      <c r="F252" s="2">
        <v>163.04499999999999</v>
      </c>
      <c r="G252" s="2" t="str">
        <f t="shared" si="12"/>
        <v>Pass</v>
      </c>
      <c r="Y252" s="2">
        <v>237</v>
      </c>
      <c r="Z252" s="2">
        <v>0.28179999999999999</v>
      </c>
      <c r="AA252" s="2">
        <v>0.29449999999999998</v>
      </c>
      <c r="AB252" s="2">
        <v>165.0352</v>
      </c>
    </row>
    <row r="253" spans="2:28" x14ac:dyDescent="0.4">
      <c r="B253" s="11">
        <v>236</v>
      </c>
      <c r="C253" s="16">
        <f t="shared" si="13"/>
        <v>148.45713541954467</v>
      </c>
      <c r="D253" s="17">
        <f t="shared" si="15"/>
        <v>164.95237268838295</v>
      </c>
      <c r="E253" s="17">
        <f t="shared" si="14"/>
        <v>181.44760995722123</v>
      </c>
      <c r="F253" s="2">
        <v>163.5823</v>
      </c>
      <c r="G253" s="2" t="str">
        <f t="shared" si="12"/>
        <v>Pass</v>
      </c>
      <c r="Y253" s="2">
        <v>238</v>
      </c>
      <c r="Z253" s="2">
        <v>0.28189999999999998</v>
      </c>
      <c r="AA253" s="2">
        <v>0.29470000000000002</v>
      </c>
      <c r="AB253" s="2">
        <v>166.4803</v>
      </c>
    </row>
    <row r="254" spans="2:28" x14ac:dyDescent="0.4">
      <c r="B254" s="11">
        <v>237</v>
      </c>
      <c r="C254" s="16">
        <f t="shared" si="13"/>
        <v>149.71647643041527</v>
      </c>
      <c r="D254" s="17">
        <f t="shared" si="15"/>
        <v>166.35164047823918</v>
      </c>
      <c r="E254" s="17">
        <f t="shared" si="14"/>
        <v>182.98680452606308</v>
      </c>
      <c r="F254" s="2">
        <v>165.0352</v>
      </c>
      <c r="G254" s="2" t="str">
        <f t="shared" si="12"/>
        <v>Pass</v>
      </c>
      <c r="Y254" s="2">
        <v>239</v>
      </c>
      <c r="Z254" s="2">
        <v>0.28199999999999997</v>
      </c>
      <c r="AA254" s="2">
        <v>0.29449999999999998</v>
      </c>
      <c r="AB254" s="2">
        <v>168.46260000000001</v>
      </c>
    </row>
    <row r="255" spans="2:28" x14ac:dyDescent="0.4">
      <c r="B255" s="11">
        <v>238</v>
      </c>
      <c r="C255" s="16">
        <f t="shared" si="13"/>
        <v>150.98113631187405</v>
      </c>
      <c r="D255" s="17">
        <f t="shared" si="15"/>
        <v>167.75681812430452</v>
      </c>
      <c r="E255" s="17">
        <f t="shared" si="14"/>
        <v>184.53249993673498</v>
      </c>
      <c r="F255" s="2">
        <v>166.4803</v>
      </c>
      <c r="G255" s="2" t="str">
        <f t="shared" si="12"/>
        <v>Pass</v>
      </c>
      <c r="Y255" s="2">
        <v>240</v>
      </c>
      <c r="Z255" s="2">
        <v>0.28199999999999997</v>
      </c>
      <c r="AA255" s="2">
        <v>0.2944</v>
      </c>
      <c r="AB255" s="2">
        <v>169.91470000000001</v>
      </c>
    </row>
    <row r="256" spans="2:28" x14ac:dyDescent="0.4">
      <c r="B256" s="11">
        <v>239</v>
      </c>
      <c r="C256" s="16">
        <f t="shared" si="13"/>
        <v>152.25111506392116</v>
      </c>
      <c r="D256" s="17">
        <f t="shared" si="15"/>
        <v>169.16790562657906</v>
      </c>
      <c r="E256" s="17">
        <f t="shared" si="14"/>
        <v>186.08469618923695</v>
      </c>
      <c r="F256" s="2">
        <v>168.46260000000001</v>
      </c>
      <c r="G256" s="2" t="str">
        <f t="shared" si="12"/>
        <v>Pass</v>
      </c>
      <c r="Y256" s="2">
        <v>241</v>
      </c>
      <c r="Z256" s="2">
        <v>0.28170000000000001</v>
      </c>
      <c r="AA256" s="2">
        <v>0.29420000000000002</v>
      </c>
      <c r="AB256" s="2">
        <v>171.369</v>
      </c>
    </row>
    <row r="257" spans="2:28" x14ac:dyDescent="0.4">
      <c r="B257" s="11">
        <v>240</v>
      </c>
      <c r="C257" s="16">
        <f t="shared" si="13"/>
        <v>153.52641268655645</v>
      </c>
      <c r="D257" s="17">
        <f t="shared" si="15"/>
        <v>170.58490298506271</v>
      </c>
      <c r="E257" s="17">
        <f t="shared" si="14"/>
        <v>187.64339328356897</v>
      </c>
      <c r="F257" s="2">
        <v>169.91470000000001</v>
      </c>
      <c r="G257" s="2" t="str">
        <f t="shared" si="12"/>
        <v>Pass</v>
      </c>
      <c r="Y257" s="2">
        <v>242</v>
      </c>
      <c r="Z257" s="2">
        <v>0.28179999999999999</v>
      </c>
      <c r="AA257" s="2">
        <v>0.29449999999999998</v>
      </c>
      <c r="AB257" s="2">
        <v>172.77279999999999</v>
      </c>
    </row>
    <row r="258" spans="2:28" x14ac:dyDescent="0.4">
      <c r="B258" s="11">
        <v>241</v>
      </c>
      <c r="C258" s="16">
        <f t="shared" si="13"/>
        <v>154.80702917977996</v>
      </c>
      <c r="D258" s="17">
        <f t="shared" si="15"/>
        <v>172.00781019975551</v>
      </c>
      <c r="E258" s="17">
        <f t="shared" si="14"/>
        <v>189.20859121973106</v>
      </c>
      <c r="F258" s="2">
        <v>171.369</v>
      </c>
      <c r="G258" s="2" t="str">
        <f t="shared" si="12"/>
        <v>Pass</v>
      </c>
      <c r="Y258" s="2">
        <v>243</v>
      </c>
      <c r="Z258" s="2">
        <v>0.28199999999999997</v>
      </c>
      <c r="AA258" s="2">
        <v>0.29470000000000002</v>
      </c>
      <c r="AB258" s="2">
        <v>174.71700000000001</v>
      </c>
    </row>
    <row r="259" spans="2:28" x14ac:dyDescent="0.4">
      <c r="B259" s="11">
        <v>242</v>
      </c>
      <c r="C259" s="16">
        <f t="shared" si="13"/>
        <v>156.09296454359173</v>
      </c>
      <c r="D259" s="17">
        <f t="shared" si="15"/>
        <v>173.43662727065748</v>
      </c>
      <c r="E259" s="17">
        <f t="shared" si="14"/>
        <v>190.78028999772323</v>
      </c>
      <c r="F259" s="2">
        <v>172.77279999999999</v>
      </c>
      <c r="G259" s="2" t="str">
        <f t="shared" si="12"/>
        <v>Pass</v>
      </c>
      <c r="Y259" s="2">
        <v>244</v>
      </c>
      <c r="Z259" s="2">
        <v>0.28210000000000002</v>
      </c>
      <c r="AA259" s="2">
        <v>0.29420000000000002</v>
      </c>
      <c r="AB259" s="2">
        <v>175.11670000000001</v>
      </c>
    </row>
    <row r="260" spans="2:28" x14ac:dyDescent="0.4">
      <c r="B260" s="11">
        <v>243</v>
      </c>
      <c r="C260" s="16">
        <f t="shared" si="13"/>
        <v>157.38421877799172</v>
      </c>
      <c r="D260" s="17">
        <f t="shared" si="15"/>
        <v>174.87135419776857</v>
      </c>
      <c r="E260" s="17">
        <f t="shared" si="14"/>
        <v>192.35848961754542</v>
      </c>
      <c r="F260" s="2">
        <v>174.71700000000001</v>
      </c>
      <c r="G260" s="2" t="str">
        <f t="shared" si="12"/>
        <v>Pass</v>
      </c>
      <c r="Y260" s="2">
        <v>245</v>
      </c>
      <c r="Z260" s="2">
        <v>0.2823</v>
      </c>
      <c r="AA260" s="2">
        <v>0.2944</v>
      </c>
      <c r="AB260" s="2">
        <v>176.5849</v>
      </c>
    </row>
    <row r="261" spans="2:28" x14ac:dyDescent="0.4">
      <c r="B261" s="11">
        <v>244</v>
      </c>
      <c r="C261" s="16">
        <f t="shared" si="13"/>
        <v>158.68079188297997</v>
      </c>
      <c r="D261" s="17">
        <f t="shared" si="15"/>
        <v>176.31199098108885</v>
      </c>
      <c r="E261" s="17">
        <f t="shared" si="14"/>
        <v>193.94319007919773</v>
      </c>
      <c r="F261" s="2">
        <v>175.11670000000001</v>
      </c>
      <c r="G261" s="2" t="str">
        <f t="shared" si="12"/>
        <v>Pass</v>
      </c>
      <c r="Y261" s="2">
        <v>246</v>
      </c>
      <c r="Z261" s="2">
        <v>0.2823</v>
      </c>
      <c r="AA261" s="2">
        <v>0.2949</v>
      </c>
      <c r="AB261" s="2">
        <v>178.15360000000001</v>
      </c>
    </row>
    <row r="262" spans="2:28" x14ac:dyDescent="0.4">
      <c r="B262" s="11">
        <v>245</v>
      </c>
      <c r="C262" s="16">
        <f t="shared" si="13"/>
        <v>159.98268385855641</v>
      </c>
      <c r="D262" s="17">
        <f t="shared" si="15"/>
        <v>177.75853762061823</v>
      </c>
      <c r="E262" s="17">
        <f t="shared" si="14"/>
        <v>195.53439138268004</v>
      </c>
      <c r="F262" s="2">
        <v>176.5849</v>
      </c>
      <c r="G262" s="2" t="str">
        <f t="shared" si="12"/>
        <v>Pass</v>
      </c>
      <c r="Y262" s="2">
        <v>247</v>
      </c>
      <c r="Z262" s="2">
        <v>0.28249999999999997</v>
      </c>
      <c r="AA262" s="2">
        <v>0.29509999999999997</v>
      </c>
      <c r="AB262" s="2">
        <v>179.5692</v>
      </c>
    </row>
    <row r="263" spans="2:28" x14ac:dyDescent="0.4">
      <c r="B263" s="11">
        <v>246</v>
      </c>
      <c r="C263" s="16">
        <f t="shared" si="13"/>
        <v>161.28989470472112</v>
      </c>
      <c r="D263" s="17">
        <f t="shared" si="15"/>
        <v>179.2109941163568</v>
      </c>
      <c r="E263" s="17">
        <f t="shared" si="14"/>
        <v>197.13209352799248</v>
      </c>
      <c r="F263" s="2">
        <v>178.15360000000001</v>
      </c>
      <c r="G263" s="2" t="str">
        <f t="shared" si="12"/>
        <v>Pass</v>
      </c>
      <c r="Y263" s="2">
        <v>248</v>
      </c>
      <c r="Z263" s="2">
        <v>0.2828</v>
      </c>
      <c r="AA263" s="2">
        <v>0.29559999999999997</v>
      </c>
      <c r="AB263" s="2">
        <v>181.4794</v>
      </c>
    </row>
    <row r="264" spans="2:28" x14ac:dyDescent="0.4">
      <c r="B264" s="11">
        <v>247</v>
      </c>
      <c r="C264" s="16">
        <f t="shared" si="13"/>
        <v>162.6024244214741</v>
      </c>
      <c r="D264" s="17">
        <f t="shared" si="15"/>
        <v>180.66936046830455</v>
      </c>
      <c r="E264" s="17">
        <f t="shared" si="14"/>
        <v>198.736296515135</v>
      </c>
      <c r="F264" s="2">
        <v>179.5692</v>
      </c>
      <c r="G264" s="2" t="str">
        <f t="shared" si="12"/>
        <v>Pass</v>
      </c>
      <c r="Y264" s="2">
        <v>249</v>
      </c>
      <c r="Z264" s="2">
        <v>0.28310000000000002</v>
      </c>
      <c r="AA264" s="2">
        <v>0.29599999999999999</v>
      </c>
      <c r="AB264" s="2">
        <v>183.01519999999999</v>
      </c>
    </row>
    <row r="265" spans="2:28" x14ac:dyDescent="0.4">
      <c r="B265" s="11">
        <v>248</v>
      </c>
      <c r="C265" s="16">
        <f t="shared" si="13"/>
        <v>163.92027300881526</v>
      </c>
      <c r="D265" s="17">
        <f t="shared" si="15"/>
        <v>182.13363667646141</v>
      </c>
      <c r="E265" s="17">
        <f t="shared" si="14"/>
        <v>200.34700034410756</v>
      </c>
      <c r="F265" s="2">
        <v>181.4794</v>
      </c>
      <c r="G265" s="2" t="str">
        <f t="shared" si="12"/>
        <v>Pass</v>
      </c>
      <c r="Y265" s="2">
        <v>250</v>
      </c>
      <c r="Z265" s="2">
        <v>0.28339999999999999</v>
      </c>
      <c r="AA265" s="2">
        <v>0.29659999999999997</v>
      </c>
      <c r="AB265" s="2">
        <v>185.06469999999999</v>
      </c>
    </row>
    <row r="266" spans="2:28" x14ac:dyDescent="0.4">
      <c r="B266" s="11">
        <v>249</v>
      </c>
      <c r="C266" s="16">
        <f t="shared" si="13"/>
        <v>165.24344046674466</v>
      </c>
      <c r="D266" s="17">
        <f t="shared" si="15"/>
        <v>183.60382274082741</v>
      </c>
      <c r="E266" s="17">
        <f t="shared" si="14"/>
        <v>201.96420501491016</v>
      </c>
      <c r="F266" s="2">
        <v>183.01519999999999</v>
      </c>
      <c r="G266" s="2" t="str">
        <f t="shared" si="12"/>
        <v>Pass</v>
      </c>
      <c r="Y266" s="2">
        <v>251</v>
      </c>
      <c r="Z266" s="2">
        <v>0.28299999999999997</v>
      </c>
      <c r="AA266" s="2">
        <v>0.29659999999999997</v>
      </c>
      <c r="AB266" s="2">
        <v>186.09270000000001</v>
      </c>
    </row>
    <row r="267" spans="2:28" x14ac:dyDescent="0.4">
      <c r="B267" s="11">
        <v>250</v>
      </c>
      <c r="C267" s="16">
        <f t="shared" si="13"/>
        <v>166.57192679526233</v>
      </c>
      <c r="D267" s="17">
        <f t="shared" si="15"/>
        <v>185.07991866140259</v>
      </c>
      <c r="E267" s="17">
        <f t="shared" si="14"/>
        <v>203.58791052754285</v>
      </c>
      <c r="F267" s="2">
        <v>185.06469999999999</v>
      </c>
      <c r="G267" s="2" t="str">
        <f t="shared" si="12"/>
        <v>Pass</v>
      </c>
      <c r="Y267" s="2">
        <v>252</v>
      </c>
      <c r="Z267" s="2">
        <v>0.2833</v>
      </c>
      <c r="AA267" s="2">
        <v>0.29720000000000002</v>
      </c>
      <c r="AB267" s="2">
        <v>188.0968</v>
      </c>
    </row>
    <row r="268" spans="2:28" x14ac:dyDescent="0.4">
      <c r="B268" s="11">
        <v>251</v>
      </c>
      <c r="C268" s="16">
        <f t="shared" si="13"/>
        <v>167.90573199436818</v>
      </c>
      <c r="D268" s="17">
        <f t="shared" si="15"/>
        <v>186.56192443818688</v>
      </c>
      <c r="E268" s="17">
        <f t="shared" si="14"/>
        <v>205.21811688200557</v>
      </c>
      <c r="F268" s="2">
        <v>186.09270000000001</v>
      </c>
      <c r="G268" s="2" t="str">
        <f t="shared" si="12"/>
        <v>Pass</v>
      </c>
      <c r="Y268" s="2">
        <v>253</v>
      </c>
      <c r="Z268" s="2">
        <v>0.28360000000000002</v>
      </c>
      <c r="AA268" s="2">
        <v>0.29770000000000002</v>
      </c>
      <c r="AB268" s="2">
        <v>189.69569999999999</v>
      </c>
    </row>
    <row r="269" spans="2:28" x14ac:dyDescent="0.4">
      <c r="B269" s="11">
        <v>252</v>
      </c>
      <c r="C269" s="16">
        <f t="shared" si="13"/>
        <v>169.2448560640623</v>
      </c>
      <c r="D269" s="17">
        <f t="shared" si="15"/>
        <v>188.04984007118034</v>
      </c>
      <c r="E269" s="17">
        <f t="shared" si="14"/>
        <v>206.85482407829838</v>
      </c>
      <c r="F269" s="2">
        <v>188.0968</v>
      </c>
      <c r="G269" s="2" t="str">
        <f t="shared" si="12"/>
        <v>Pass</v>
      </c>
      <c r="Y269" s="2">
        <v>254</v>
      </c>
      <c r="Z269" s="2">
        <v>0.28389999999999999</v>
      </c>
      <c r="AA269" s="2">
        <v>0.29820000000000002</v>
      </c>
      <c r="AB269" s="2">
        <v>191.70740000000001</v>
      </c>
    </row>
    <row r="270" spans="2:28" x14ac:dyDescent="0.4">
      <c r="B270" s="11">
        <v>253</v>
      </c>
      <c r="C270" s="16">
        <f t="shared" si="13"/>
        <v>170.58929900434464</v>
      </c>
      <c r="D270" s="17">
        <f t="shared" si="15"/>
        <v>189.54366556038295</v>
      </c>
      <c r="E270" s="17">
        <f t="shared" si="14"/>
        <v>208.49803211642126</v>
      </c>
      <c r="F270" s="2">
        <v>189.69569999999999</v>
      </c>
      <c r="G270" s="2" t="str">
        <f t="shared" si="12"/>
        <v>Pass</v>
      </c>
      <c r="Y270" s="2">
        <v>255</v>
      </c>
      <c r="Z270" s="2">
        <v>0.2843</v>
      </c>
      <c r="AA270" s="2">
        <v>0.29830000000000001</v>
      </c>
      <c r="AB270" s="2">
        <v>192.14420000000001</v>
      </c>
    </row>
    <row r="271" spans="2:28" x14ac:dyDescent="0.4">
      <c r="B271" s="11">
        <v>254</v>
      </c>
      <c r="C271" s="16">
        <f t="shared" si="13"/>
        <v>171.93906081521524</v>
      </c>
      <c r="D271" s="17">
        <f t="shared" si="15"/>
        <v>191.04340090579473</v>
      </c>
      <c r="E271" s="17">
        <f t="shared" si="14"/>
        <v>210.14774099637421</v>
      </c>
      <c r="F271" s="2">
        <v>191.70740000000001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24</v>
      </c>
    </row>
    <row r="272" spans="2:28" x14ac:dyDescent="0.4">
      <c r="B272" s="11">
        <v>255</v>
      </c>
      <c r="C272" s="16">
        <f t="shared" si="13"/>
        <v>172.92977999999999</v>
      </c>
      <c r="D272" s="18">
        <f>C12</f>
        <v>192.14420000000001</v>
      </c>
      <c r="E272" s="17">
        <f t="shared" si="14"/>
        <v>211.35862000000003</v>
      </c>
      <c r="F272" s="2">
        <v>192.14420000000001</v>
      </c>
      <c r="G272" s="2" t="str">
        <f t="shared" si="12"/>
        <v>Pass</v>
      </c>
    </row>
  </sheetData>
  <protectedRanges>
    <protectedRange password="EBF1" sqref="C2:D2 C4:D4" name="範圍1_2"/>
    <protectedRange password="EBF1" sqref="C11:C13" name="範圍1_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204F-9490-4FE3-B1B8-0CF429DE2FEF}">
  <dimension ref="B2:AB272"/>
  <sheetViews>
    <sheetView tabSelected="1" zoomScale="55" zoomScaleNormal="55" workbookViewId="0">
      <selection activeCell="AG15" sqref="AG15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45736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0.26300000000000001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192.12479999999999</v>
      </c>
      <c r="D12" s="4" t="s">
        <v>9</v>
      </c>
      <c r="E12" s="4"/>
      <c r="Y12" s="9" t="s">
        <v>27</v>
      </c>
    </row>
    <row r="13" spans="2:28" x14ac:dyDescent="0.4">
      <c r="B13" s="1" t="s">
        <v>11</v>
      </c>
      <c r="C13" s="8">
        <v>2.2000000000000002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0.25990000000000002</v>
      </c>
      <c r="AA15" s="2">
        <v>0.28210000000000002</v>
      </c>
      <c r="AB15" s="2">
        <v>0.26300000000000001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0.2752</v>
      </c>
      <c r="AA16" s="2">
        <v>0.28220000000000001</v>
      </c>
      <c r="AB16" s="2">
        <v>0.27210000000000001</v>
      </c>
    </row>
    <row r="17" spans="2:28" ht="17.5" thickTop="1" x14ac:dyDescent="0.4">
      <c r="B17" s="11">
        <v>0</v>
      </c>
      <c r="C17" s="16">
        <f>D17-D17*(C$14/100)</f>
        <v>4.6487927761644633E-5</v>
      </c>
      <c r="D17" s="17">
        <f>D$272*((B17+F$17)/B$272)^C$13</f>
        <v>5.1653253068494039E-5</v>
      </c>
      <c r="E17" s="17">
        <f>D17+D17*(C$14/100)</f>
        <v>5.6818578375343445E-5</v>
      </c>
      <c r="F17" s="2">
        <v>0.26300000000000001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0.27600000000000002</v>
      </c>
      <c r="AA17" s="2">
        <v>0.2823</v>
      </c>
      <c r="AB17" s="2">
        <v>0.27300000000000002</v>
      </c>
    </row>
    <row r="18" spans="2:28" x14ac:dyDescent="0.4">
      <c r="B18" s="11">
        <v>1</v>
      </c>
      <c r="C18" s="16">
        <f t="shared" ref="C18:C81" si="1">D18-D18*(C$14/100)</f>
        <v>1.4673202533171056E-3</v>
      </c>
      <c r="D18" s="17">
        <f>D$272*((B18+F$17)/B$272)^C$13</f>
        <v>1.6303558370190062E-3</v>
      </c>
      <c r="E18" s="17">
        <f t="shared" ref="E18:E81" si="2">D18+D18*(C$14/100)</f>
        <v>1.7933914207209068E-3</v>
      </c>
      <c r="F18" s="2">
        <v>0.27210000000000001</v>
      </c>
      <c r="G18" s="2" t="str">
        <f t="shared" si="0"/>
        <v>Fail</v>
      </c>
      <c r="Y18" s="2">
        <v>3</v>
      </c>
      <c r="Z18" s="2">
        <v>0.2737</v>
      </c>
      <c r="AA18" s="2">
        <v>0.28510000000000002</v>
      </c>
      <c r="AB18" s="2">
        <v>0.28510000000000002</v>
      </c>
    </row>
    <row r="19" spans="2:28" x14ac:dyDescent="0.4">
      <c r="B19" s="11">
        <v>2</v>
      </c>
      <c r="C19" s="16">
        <f t="shared" si="1"/>
        <v>5.2935078273816036E-3</v>
      </c>
      <c r="D19" s="17">
        <f t="shared" ref="D19:D82" si="3">D$272*((B19+F$17)/B$272)^C$13</f>
        <v>5.881675363757337E-3</v>
      </c>
      <c r="E19" s="17">
        <f t="shared" si="2"/>
        <v>6.4698429001330705E-3</v>
      </c>
      <c r="F19" s="2">
        <v>0.27300000000000002</v>
      </c>
      <c r="G19" s="2" t="str">
        <f t="shared" si="0"/>
        <v>Fail</v>
      </c>
      <c r="Y19" s="2">
        <v>4</v>
      </c>
      <c r="Z19" s="2">
        <v>0.27810000000000001</v>
      </c>
      <c r="AA19" s="2">
        <v>0.28420000000000001</v>
      </c>
      <c r="AB19" s="2">
        <v>0.28570000000000001</v>
      </c>
    </row>
    <row r="20" spans="2:28" x14ac:dyDescent="0.4">
      <c r="B20" s="11">
        <v>3</v>
      </c>
      <c r="C20" s="16">
        <f t="shared" si="1"/>
        <v>1.1841183279268131E-2</v>
      </c>
      <c r="D20" s="17">
        <f t="shared" si="3"/>
        <v>1.3156870310297924E-2</v>
      </c>
      <c r="E20" s="17">
        <f t="shared" si="2"/>
        <v>1.4472557341327717E-2</v>
      </c>
      <c r="F20" s="2">
        <v>0.28510000000000002</v>
      </c>
      <c r="G20" s="2" t="str">
        <f t="shared" si="0"/>
        <v>Fail</v>
      </c>
      <c r="Y20" s="2">
        <v>5</v>
      </c>
      <c r="Z20" s="2">
        <v>0.27579999999999999</v>
      </c>
      <c r="AA20" s="2">
        <v>0.28420000000000001</v>
      </c>
      <c r="AB20" s="2">
        <v>0.30170000000000002</v>
      </c>
    </row>
    <row r="21" spans="2:28" x14ac:dyDescent="0.4">
      <c r="B21" s="11">
        <v>4</v>
      </c>
      <c r="C21" s="16">
        <f t="shared" si="1"/>
        <v>2.1321181771999695E-2</v>
      </c>
      <c r="D21" s="17">
        <f t="shared" si="3"/>
        <v>2.369020196888855E-2</v>
      </c>
      <c r="E21" s="17">
        <f t="shared" si="2"/>
        <v>2.6059222165777406E-2</v>
      </c>
      <c r="F21" s="2">
        <v>0.28570000000000001</v>
      </c>
      <c r="G21" s="2" t="str">
        <f t="shared" si="0"/>
        <v>Fail</v>
      </c>
      <c r="Y21" s="2">
        <v>6</v>
      </c>
      <c r="Z21" s="2">
        <v>0.27360000000000001</v>
      </c>
      <c r="AA21" s="2">
        <v>0.28460000000000002</v>
      </c>
      <c r="AB21" s="2">
        <v>0.31630000000000003</v>
      </c>
    </row>
    <row r="22" spans="2:28" x14ac:dyDescent="0.4">
      <c r="B22" s="11">
        <v>5</v>
      </c>
      <c r="C22" s="16">
        <f t="shared" si="1"/>
        <v>3.3896195429253186E-2</v>
      </c>
      <c r="D22" s="17">
        <f t="shared" si="3"/>
        <v>3.7662439365836874E-2</v>
      </c>
      <c r="E22" s="17">
        <f t="shared" si="2"/>
        <v>4.1428683302420562E-2</v>
      </c>
      <c r="F22" s="2">
        <v>0.30170000000000002</v>
      </c>
      <c r="G22" s="2" t="str">
        <f t="shared" si="0"/>
        <v>Fail</v>
      </c>
      <c r="Y22" s="2">
        <v>7</v>
      </c>
      <c r="Z22" s="2">
        <v>0.27660000000000001</v>
      </c>
      <c r="AA22" s="2">
        <v>0.28360000000000002</v>
      </c>
      <c r="AB22" s="2">
        <v>0.31630000000000003</v>
      </c>
    </row>
    <row r="23" spans="2:28" x14ac:dyDescent="0.4">
      <c r="B23" s="11">
        <v>6</v>
      </c>
      <c r="C23" s="16">
        <f t="shared" si="1"/>
        <v>4.9700281279818348E-2</v>
      </c>
      <c r="D23" s="17">
        <f t="shared" si="3"/>
        <v>5.5222534755353721E-2</v>
      </c>
      <c r="E23" s="17">
        <f t="shared" si="2"/>
        <v>6.0744788230889094E-2</v>
      </c>
      <c r="F23" s="2">
        <v>0.31630000000000003</v>
      </c>
      <c r="G23" s="2" t="str">
        <f t="shared" si="0"/>
        <v>Fail</v>
      </c>
      <c r="Y23" s="2">
        <v>8</v>
      </c>
      <c r="Z23" s="2">
        <v>0.27360000000000001</v>
      </c>
      <c r="AA23" s="2">
        <v>0.2838</v>
      </c>
      <c r="AB23" s="2">
        <v>0.33429999999999999</v>
      </c>
    </row>
    <row r="24" spans="2:28" x14ac:dyDescent="0.4">
      <c r="B24" s="11">
        <v>7</v>
      </c>
      <c r="C24" s="16">
        <f t="shared" si="1"/>
        <v>6.8848239269362566E-2</v>
      </c>
      <c r="D24" s="17">
        <f t="shared" si="3"/>
        <v>7.6498043632625065E-2</v>
      </c>
      <c r="E24" s="17">
        <f t="shared" si="2"/>
        <v>8.4147847995887565E-2</v>
      </c>
      <c r="F24" s="2">
        <v>0.31630000000000003</v>
      </c>
      <c r="G24" s="2" t="str">
        <f t="shared" si="0"/>
        <v>Fail</v>
      </c>
      <c r="Y24" s="2">
        <v>9</v>
      </c>
      <c r="Z24" s="2">
        <v>0.27389999999999998</v>
      </c>
      <c r="AA24" s="2">
        <v>0.28620000000000001</v>
      </c>
      <c r="AB24" s="2">
        <v>0.3609</v>
      </c>
    </row>
    <row r="25" spans="2:28" x14ac:dyDescent="0.4">
      <c r="B25" s="11">
        <v>8</v>
      </c>
      <c r="C25" s="16">
        <f t="shared" si="1"/>
        <v>9.1440922116735657E-2</v>
      </c>
      <c r="D25" s="17">
        <f t="shared" si="3"/>
        <v>0.10160102457415073</v>
      </c>
      <c r="E25" s="17">
        <f t="shared" si="2"/>
        <v>0.11176112703156579</v>
      </c>
      <c r="F25" s="2">
        <v>0.33429999999999999</v>
      </c>
      <c r="G25" s="2" t="str">
        <f t="shared" si="0"/>
        <v>Fail</v>
      </c>
      <c r="Y25" s="2">
        <v>10</v>
      </c>
      <c r="Z25" s="2">
        <v>0.26840000000000003</v>
      </c>
      <c r="AA25" s="2">
        <v>0.27760000000000001</v>
      </c>
      <c r="AB25" s="2">
        <v>0.36849999999999999</v>
      </c>
    </row>
    <row r="26" spans="2:28" x14ac:dyDescent="0.4">
      <c r="B26" s="11">
        <v>9</v>
      </c>
      <c r="C26" s="16">
        <f t="shared" si="1"/>
        <v>0.11756856078312691</v>
      </c>
      <c r="D26" s="17">
        <f t="shared" si="3"/>
        <v>0.13063173420347435</v>
      </c>
      <c r="E26" s="17">
        <f t="shared" si="2"/>
        <v>0.14369490762382178</v>
      </c>
      <c r="F26" s="2">
        <v>0.3609</v>
      </c>
      <c r="G26" s="2" t="str">
        <f t="shared" si="0"/>
        <v>Fail</v>
      </c>
      <c r="Y26" s="2">
        <v>11</v>
      </c>
      <c r="Z26" s="2">
        <v>0.27260000000000001</v>
      </c>
      <c r="AA26" s="2">
        <v>0.28860000000000002</v>
      </c>
      <c r="AB26" s="2">
        <v>0.39340000000000003</v>
      </c>
    </row>
    <row r="27" spans="2:28" x14ac:dyDescent="0.4">
      <c r="B27" s="11">
        <v>10</v>
      </c>
      <c r="C27" s="16">
        <f t="shared" si="1"/>
        <v>0.14731299679877544</v>
      </c>
      <c r="D27" s="17">
        <f t="shared" si="3"/>
        <v>0.16368110755419493</v>
      </c>
      <c r="E27" s="17">
        <f t="shared" si="2"/>
        <v>0.18004921830961443</v>
      </c>
      <c r="F27" s="2">
        <v>0.36849999999999999</v>
      </c>
      <c r="G27" s="2" t="str">
        <f t="shared" si="0"/>
        <v>Fail</v>
      </c>
      <c r="Y27" s="2">
        <v>12</v>
      </c>
      <c r="Z27" s="2">
        <v>0.26779999999999998</v>
      </c>
      <c r="AA27" s="2">
        <v>0.28820000000000001</v>
      </c>
      <c r="AB27" s="2">
        <v>0.42630000000000001</v>
      </c>
    </row>
    <row r="28" spans="2:28" x14ac:dyDescent="0.4">
      <c r="B28" s="11">
        <v>11</v>
      </c>
      <c r="C28" s="16">
        <f t="shared" si="1"/>
        <v>0.18074925917060453</v>
      </c>
      <c r="D28" s="17">
        <f t="shared" si="3"/>
        <v>0.20083251018956058</v>
      </c>
      <c r="E28" s="17">
        <f t="shared" si="2"/>
        <v>0.22091576120851664</v>
      </c>
      <c r="F28" s="2">
        <v>0.39340000000000003</v>
      </c>
      <c r="G28" s="2" t="str">
        <f t="shared" si="0"/>
        <v>Fail</v>
      </c>
      <c r="Y28" s="2">
        <v>13</v>
      </c>
      <c r="Z28" s="2">
        <v>0.26900000000000002</v>
      </c>
      <c r="AA28" s="2">
        <v>0.28689999999999999</v>
      </c>
      <c r="AB28" s="2">
        <v>0.46179999999999999</v>
      </c>
    </row>
    <row r="29" spans="2:28" x14ac:dyDescent="0.4">
      <c r="B29" s="11">
        <v>12</v>
      </c>
      <c r="C29" s="16">
        <f t="shared" si="1"/>
        <v>0.21794672281432148</v>
      </c>
      <c r="D29" s="17">
        <f t="shared" si="3"/>
        <v>0.24216302534924611</v>
      </c>
      <c r="E29" s="17">
        <f t="shared" si="2"/>
        <v>0.26637932788417074</v>
      </c>
      <c r="F29" s="2">
        <v>0.42630000000000001</v>
      </c>
      <c r="G29" s="2" t="str">
        <f t="shared" si="0"/>
        <v>Fail</v>
      </c>
      <c r="Y29" s="2">
        <v>14</v>
      </c>
      <c r="Z29" s="2">
        <v>0.26960000000000001</v>
      </c>
      <c r="AA29" s="2">
        <v>0.27700000000000002</v>
      </c>
      <c r="AB29" s="2">
        <v>0.47199999999999998</v>
      </c>
    </row>
    <row r="30" spans="2:28" x14ac:dyDescent="0.4">
      <c r="B30" s="11">
        <v>13</v>
      </c>
      <c r="C30" s="16">
        <f t="shared" si="1"/>
        <v>0.258969986455104</v>
      </c>
      <c r="D30" s="17">
        <f t="shared" si="3"/>
        <v>0.28774442939456002</v>
      </c>
      <c r="E30" s="17">
        <f t="shared" si="2"/>
        <v>0.31651887233401604</v>
      </c>
      <c r="F30" s="2">
        <v>0.46179999999999999</v>
      </c>
      <c r="G30" s="2" t="str">
        <f t="shared" si="0"/>
        <v>Fail</v>
      </c>
      <c r="Y30" s="2">
        <v>15</v>
      </c>
      <c r="Z30" s="2">
        <v>0.2651</v>
      </c>
      <c r="AA30" s="2">
        <v>0.27889999999999998</v>
      </c>
      <c r="AB30" s="2">
        <v>0.53039999999999998</v>
      </c>
    </row>
    <row r="31" spans="2:28" x14ac:dyDescent="0.4">
      <c r="B31" s="11">
        <v>14</v>
      </c>
      <c r="C31" s="16">
        <f t="shared" si="1"/>
        <v>0.30387955499871444</v>
      </c>
      <c r="D31" s="17">
        <f t="shared" si="3"/>
        <v>0.33764394999857161</v>
      </c>
      <c r="E31" s="17">
        <f t="shared" si="2"/>
        <v>0.37140834499842879</v>
      </c>
      <c r="F31" s="2">
        <v>0.47199999999999998</v>
      </c>
      <c r="G31" s="2" t="str">
        <f t="shared" si="0"/>
        <v>Fail</v>
      </c>
      <c r="Y31" s="2">
        <v>16</v>
      </c>
      <c r="Z31" s="2">
        <v>0.26340000000000002</v>
      </c>
      <c r="AA31" s="2">
        <v>0.28129999999999999</v>
      </c>
      <c r="AB31" s="2">
        <v>0.58150000000000002</v>
      </c>
    </row>
    <row r="32" spans="2:28" x14ac:dyDescent="0.4">
      <c r="B32" s="11">
        <v>15</v>
      </c>
      <c r="C32" s="16">
        <f t="shared" si="1"/>
        <v>0.35273238120001371</v>
      </c>
      <c r="D32" s="17">
        <f t="shared" si="3"/>
        <v>0.39192486800001525</v>
      </c>
      <c r="E32" s="17">
        <f t="shared" si="2"/>
        <v>0.43111735480001678</v>
      </c>
      <c r="F32" s="2">
        <v>0.53039999999999998</v>
      </c>
      <c r="G32" s="2" t="str">
        <f t="shared" si="0"/>
        <v>Fail</v>
      </c>
      <c r="Y32" s="2">
        <v>17</v>
      </c>
      <c r="Z32" s="2">
        <v>0.26429999999999998</v>
      </c>
      <c r="AA32" s="2">
        <v>0.28189999999999998</v>
      </c>
      <c r="AB32" s="2">
        <v>0.65369999999999995</v>
      </c>
    </row>
    <row r="33" spans="2:28" x14ac:dyDescent="0.4">
      <c r="B33" s="11">
        <v>16</v>
      </c>
      <c r="C33" s="16">
        <f t="shared" si="1"/>
        <v>0.40558230334825546</v>
      </c>
      <c r="D33" s="17">
        <f t="shared" si="3"/>
        <v>0.45064700372028382</v>
      </c>
      <c r="E33" s="17">
        <f t="shared" si="2"/>
        <v>0.49571170409231219</v>
      </c>
      <c r="F33" s="2">
        <v>0.58150000000000002</v>
      </c>
      <c r="G33" s="2" t="str">
        <f t="shared" si="0"/>
        <v>Fail</v>
      </c>
      <c r="Y33" s="2">
        <v>18</v>
      </c>
      <c r="Z33" s="2">
        <v>0.26200000000000001</v>
      </c>
      <c r="AA33" s="2">
        <v>0.2757</v>
      </c>
      <c r="AB33" s="2">
        <v>0.6552</v>
      </c>
    </row>
    <row r="34" spans="2:28" x14ac:dyDescent="0.4">
      <c r="B34" s="11">
        <v>17</v>
      </c>
      <c r="C34" s="16">
        <f t="shared" si="1"/>
        <v>0.46248040434946375</v>
      </c>
      <c r="D34" s="17">
        <f t="shared" si="3"/>
        <v>0.5138671159438486</v>
      </c>
      <c r="E34" s="17">
        <f t="shared" si="2"/>
        <v>0.5652538275382335</v>
      </c>
      <c r="F34" s="2">
        <v>0.65369999999999995</v>
      </c>
      <c r="G34" s="2" t="str">
        <f t="shared" si="0"/>
        <v>Fail</v>
      </c>
      <c r="Y34" s="2">
        <v>19</v>
      </c>
      <c r="Z34" s="2">
        <v>0.26419999999999999</v>
      </c>
      <c r="AA34" s="2">
        <v>0.27679999999999999</v>
      </c>
      <c r="AB34" s="2">
        <v>0.71709999999999996</v>
      </c>
    </row>
    <row r="35" spans="2:28" x14ac:dyDescent="0.4">
      <c r="B35" s="11">
        <v>18</v>
      </c>
      <c r="C35" s="16">
        <f t="shared" si="1"/>
        <v>0.52347531022627591</v>
      </c>
      <c r="D35" s="17">
        <f t="shared" si="3"/>
        <v>0.581639233584751</v>
      </c>
      <c r="E35" s="17">
        <f t="shared" si="2"/>
        <v>0.63980315694322609</v>
      </c>
      <c r="F35" s="2">
        <v>0.6552</v>
      </c>
      <c r="G35" s="2" t="str">
        <f t="shared" si="0"/>
        <v>Fail</v>
      </c>
      <c r="Y35" s="2">
        <v>20</v>
      </c>
      <c r="Z35" s="2">
        <v>0.26729999999999998</v>
      </c>
      <c r="AA35" s="2">
        <v>0.28199999999999997</v>
      </c>
      <c r="AB35" s="2">
        <v>0.81730000000000003</v>
      </c>
    </row>
    <row r="36" spans="2:28" x14ac:dyDescent="0.4">
      <c r="B36" s="11">
        <v>19</v>
      </c>
      <c r="C36" s="16">
        <f t="shared" si="1"/>
        <v>0.58861344112978187</v>
      </c>
      <c r="D36" s="17">
        <f t="shared" si="3"/>
        <v>0.65401493458864657</v>
      </c>
      <c r="E36" s="17">
        <f t="shared" si="2"/>
        <v>0.71941642804751127</v>
      </c>
      <c r="F36" s="2">
        <v>0.71709999999999996</v>
      </c>
      <c r="G36" s="2" t="str">
        <f t="shared" si="0"/>
        <v>Pass</v>
      </c>
      <c r="Y36" s="2">
        <v>21</v>
      </c>
      <c r="Z36" s="2">
        <v>0.26929999999999998</v>
      </c>
      <c r="AA36" s="2">
        <v>0.2853</v>
      </c>
      <c r="AB36" s="2">
        <v>0.89039999999999997</v>
      </c>
    </row>
    <row r="37" spans="2:28" x14ac:dyDescent="0.4">
      <c r="B37" s="11">
        <v>20</v>
      </c>
      <c r="C37" s="16">
        <f t="shared" si="1"/>
        <v>0.65793922457259379</v>
      </c>
      <c r="D37" s="17">
        <f t="shared" si="3"/>
        <v>0.73104358285843751</v>
      </c>
      <c r="E37" s="17">
        <f t="shared" si="2"/>
        <v>0.80414794114428123</v>
      </c>
      <c r="F37" s="2">
        <v>0.81730000000000003</v>
      </c>
      <c r="G37" s="2" t="str">
        <f t="shared" si="0"/>
        <v>Fail</v>
      </c>
      <c r="Y37" s="2">
        <v>22</v>
      </c>
      <c r="Z37" s="2">
        <v>0.26469999999999999</v>
      </c>
      <c r="AA37" s="2">
        <v>0.28720000000000001</v>
      </c>
      <c r="AB37" s="2">
        <v>0.97409999999999997</v>
      </c>
    </row>
    <row r="38" spans="2:28" x14ac:dyDescent="0.4">
      <c r="B38" s="11">
        <v>21</v>
      </c>
      <c r="C38" s="16">
        <f t="shared" si="1"/>
        <v>0.7314952782112053</v>
      </c>
      <c r="D38" s="17">
        <f t="shared" si="3"/>
        <v>0.81277253134578364</v>
      </c>
      <c r="E38" s="17">
        <f t="shared" si="2"/>
        <v>0.89404978448036199</v>
      </c>
      <c r="F38" s="2">
        <v>0.89039999999999997</v>
      </c>
      <c r="G38" s="2" t="str">
        <f t="shared" si="0"/>
        <v>Pass</v>
      </c>
      <c r="Y38" s="2">
        <v>23</v>
      </c>
      <c r="Z38" s="2">
        <v>0.26719999999999999</v>
      </c>
      <c r="AA38" s="2">
        <v>0.29149999999999998</v>
      </c>
      <c r="AB38" s="2">
        <v>1.0610999999999999</v>
      </c>
    </row>
    <row r="39" spans="2:28" x14ac:dyDescent="0.4">
      <c r="B39" s="11">
        <v>22</v>
      </c>
      <c r="C39" s="16">
        <f t="shared" si="1"/>
        <v>0.80932256779635303</v>
      </c>
      <c r="D39" s="17">
        <f t="shared" si="3"/>
        <v>0.89924729755150334</v>
      </c>
      <c r="E39" s="17">
        <f t="shared" si="2"/>
        <v>0.98917202730665366</v>
      </c>
      <c r="F39" s="2">
        <v>0.97409999999999997</v>
      </c>
      <c r="G39" s="2" t="str">
        <f t="shared" si="0"/>
        <v>Pass</v>
      </c>
      <c r="Y39" s="2">
        <v>24</v>
      </c>
      <c r="Z39" s="2">
        <v>0.27160000000000001</v>
      </c>
      <c r="AA39" s="2">
        <v>0.2928</v>
      </c>
      <c r="AB39" s="2">
        <v>1.1579999999999999</v>
      </c>
    </row>
    <row r="40" spans="2:28" x14ac:dyDescent="0.4">
      <c r="B40" s="11">
        <v>23</v>
      </c>
      <c r="C40" s="16">
        <f t="shared" si="1"/>
        <v>0.89146054466040592</v>
      </c>
      <c r="D40" s="17">
        <f t="shared" si="3"/>
        <v>0.99051171628933987</v>
      </c>
      <c r="E40" s="17">
        <f t="shared" si="2"/>
        <v>1.0895628879182739</v>
      </c>
      <c r="F40" s="2">
        <v>1.0610999999999999</v>
      </c>
      <c r="G40" s="2" t="str">
        <f t="shared" si="0"/>
        <v>Pass</v>
      </c>
      <c r="Y40" s="2">
        <v>25</v>
      </c>
      <c r="Z40" s="2">
        <v>0.27339999999999998</v>
      </c>
      <c r="AA40" s="2">
        <v>0.29360000000000003</v>
      </c>
      <c r="AB40" s="2">
        <v>1.2355</v>
      </c>
    </row>
    <row r="41" spans="2:28" x14ac:dyDescent="0.4">
      <c r="B41" s="11">
        <v>24</v>
      </c>
      <c r="C41" s="16">
        <f t="shared" si="1"/>
        <v>0.97794726618232442</v>
      </c>
      <c r="D41" s="17">
        <f t="shared" si="3"/>
        <v>1.086608073535916</v>
      </c>
      <c r="E41" s="17">
        <f t="shared" si="2"/>
        <v>1.1952688808895076</v>
      </c>
      <c r="F41" s="2">
        <v>1.1579999999999999</v>
      </c>
      <c r="G41" s="2" t="str">
        <f t="shared" si="0"/>
        <v>Pass</v>
      </c>
      <c r="Y41" s="2">
        <v>26</v>
      </c>
      <c r="Z41" s="2">
        <v>0.27600000000000002</v>
      </c>
      <c r="AA41" s="2">
        <v>0.29580000000000001</v>
      </c>
      <c r="AB41" s="2">
        <v>1.3398000000000001</v>
      </c>
    </row>
    <row r="42" spans="2:28" x14ac:dyDescent="0.4">
      <c r="B42" s="11">
        <v>25</v>
      </c>
      <c r="C42" s="16">
        <f t="shared" si="1"/>
        <v>1.0688195019706335</v>
      </c>
      <c r="D42" s="17">
        <f t="shared" si="3"/>
        <v>1.187577224411815</v>
      </c>
      <c r="E42" s="17">
        <f t="shared" si="2"/>
        <v>1.3063349468529966</v>
      </c>
      <c r="F42" s="2">
        <v>1.2355</v>
      </c>
      <c r="G42" s="2" t="str">
        <f t="shared" si="0"/>
        <v>Pass</v>
      </c>
      <c r="Y42" s="2">
        <v>27</v>
      </c>
      <c r="Z42" s="2">
        <v>0.27489999999999998</v>
      </c>
      <c r="AA42" s="2">
        <v>0.29870000000000002</v>
      </c>
      <c r="AB42" s="2">
        <v>1.4081999999999999</v>
      </c>
    </row>
    <row r="43" spans="2:28" x14ac:dyDescent="0.4">
      <c r="B43" s="11">
        <v>26</v>
      </c>
      <c r="C43" s="16">
        <f t="shared" si="1"/>
        <v>1.1641128279700006</v>
      </c>
      <c r="D43" s="17">
        <f t="shared" si="3"/>
        <v>1.2934586977444451</v>
      </c>
      <c r="E43" s="17">
        <f t="shared" si="2"/>
        <v>1.4228045675188896</v>
      </c>
      <c r="F43" s="2">
        <v>1.3398000000000001</v>
      </c>
      <c r="G43" s="2" t="str">
        <f t="shared" si="0"/>
        <v>Pass</v>
      </c>
      <c r="Y43" s="2">
        <v>28</v>
      </c>
      <c r="Z43" s="2">
        <v>0.27160000000000001</v>
      </c>
      <c r="AA43" s="2">
        <v>0.29320000000000002</v>
      </c>
      <c r="AB43" s="2">
        <v>1.5245</v>
      </c>
    </row>
    <row r="44" spans="2:28" x14ac:dyDescent="0.4">
      <c r="B44" s="11">
        <v>27</v>
      </c>
      <c r="C44" s="16">
        <f t="shared" si="1"/>
        <v>1.2638617102833813</v>
      </c>
      <c r="D44" s="17">
        <f t="shared" si="3"/>
        <v>1.4042907892037571</v>
      </c>
      <c r="E44" s="17">
        <f t="shared" si="2"/>
        <v>1.5447198681241328</v>
      </c>
      <c r="F44" s="2">
        <v>1.4081999999999999</v>
      </c>
      <c r="G44" s="2" t="str">
        <f t="shared" si="0"/>
        <v>Pass</v>
      </c>
      <c r="Y44" s="2">
        <v>29</v>
      </c>
      <c r="Z44" s="2">
        <v>0.27289999999999998</v>
      </c>
      <c r="AA44" s="2">
        <v>0.29330000000000001</v>
      </c>
      <c r="AB44" s="2">
        <v>1.6073</v>
      </c>
    </row>
    <row r="45" spans="2:28" x14ac:dyDescent="0.4">
      <c r="B45" s="11">
        <v>28</v>
      </c>
      <c r="C45" s="16">
        <f t="shared" si="1"/>
        <v>1.3680995801783198</v>
      </c>
      <c r="D45" s="17">
        <f t="shared" si="3"/>
        <v>1.5201106446425776</v>
      </c>
      <c r="E45" s="17">
        <f t="shared" si="2"/>
        <v>1.6721217091068354</v>
      </c>
      <c r="F45" s="2">
        <v>1.5245</v>
      </c>
      <c r="G45" s="2" t="str">
        <f t="shared" si="0"/>
        <v>Pass</v>
      </c>
      <c r="Y45" s="2">
        <v>30</v>
      </c>
      <c r="Z45" s="2">
        <v>0.27</v>
      </c>
      <c r="AA45" s="2">
        <v>0.29339999999999999</v>
      </c>
      <c r="AB45" s="2">
        <v>1.7103999999999999</v>
      </c>
    </row>
    <row r="46" spans="2:28" x14ac:dyDescent="0.4">
      <c r="B46" s="11">
        <v>29</v>
      </c>
      <c r="C46" s="16">
        <f t="shared" si="1"/>
        <v>1.4768589014906222</v>
      </c>
      <c r="D46" s="17">
        <f t="shared" si="3"/>
        <v>1.6409543349895803</v>
      </c>
      <c r="E46" s="17">
        <f t="shared" si="2"/>
        <v>1.8050497684885385</v>
      </c>
      <c r="F46" s="2">
        <v>1.6073</v>
      </c>
      <c r="G46" s="2" t="str">
        <f t="shared" si="0"/>
        <v>Pass</v>
      </c>
      <c r="Y46" s="2">
        <v>31</v>
      </c>
      <c r="Z46" s="2">
        <v>0.27179999999999999</v>
      </c>
      <c r="AA46" s="2">
        <v>0.29360000000000003</v>
      </c>
      <c r="AB46" s="2">
        <v>1.7986</v>
      </c>
    </row>
    <row r="47" spans="2:28" x14ac:dyDescent="0.4">
      <c r="B47" s="11">
        <v>30</v>
      </c>
      <c r="C47" s="16">
        <f t="shared" si="1"/>
        <v>1.5901712314349898</v>
      </c>
      <c r="D47" s="17">
        <f t="shared" si="3"/>
        <v>1.7668569238166554</v>
      </c>
      <c r="E47" s="17">
        <f t="shared" si="2"/>
        <v>1.9435426161983209</v>
      </c>
      <c r="F47" s="2">
        <v>1.7103999999999999</v>
      </c>
      <c r="G47" s="2" t="str">
        <f t="shared" si="0"/>
        <v>Pass</v>
      </c>
      <c r="Y47" s="2">
        <v>32</v>
      </c>
      <c r="Z47" s="2">
        <v>0.27260000000000001</v>
      </c>
      <c r="AA47" s="2">
        <v>0.29520000000000002</v>
      </c>
      <c r="AB47" s="2">
        <v>1.9348000000000001</v>
      </c>
    </row>
    <row r="48" spans="2:28" x14ac:dyDescent="0.4">
      <c r="B48" s="11">
        <v>31</v>
      </c>
      <c r="C48" s="16">
        <f t="shared" si="1"/>
        <v>1.7080672756685513</v>
      </c>
      <c r="D48" s="17">
        <f t="shared" si="3"/>
        <v>1.8978525285206125</v>
      </c>
      <c r="E48" s="17">
        <f t="shared" si="2"/>
        <v>2.0876377813726736</v>
      </c>
      <c r="F48" s="2">
        <v>1.7986</v>
      </c>
      <c r="G48" s="2" t="str">
        <f t="shared" si="0"/>
        <v>Pass</v>
      </c>
      <c r="Y48" s="2">
        <v>33</v>
      </c>
      <c r="Z48" s="2">
        <v>0.27</v>
      </c>
      <c r="AA48" s="2">
        <v>0.29720000000000002</v>
      </c>
      <c r="AB48" s="2">
        <v>2.0131000000000001</v>
      </c>
    </row>
    <row r="49" spans="2:28" x14ac:dyDescent="0.4">
      <c r="B49" s="11">
        <v>32</v>
      </c>
      <c r="C49" s="16">
        <f t="shared" si="1"/>
        <v>1.830576938320565</v>
      </c>
      <c r="D49" s="17">
        <f t="shared" si="3"/>
        <v>2.0339743759117388</v>
      </c>
      <c r="E49" s="17">
        <f t="shared" si="2"/>
        <v>2.2373718135029126</v>
      </c>
      <c r="F49" s="2">
        <v>1.9348000000000001</v>
      </c>
      <c r="G49" s="2" t="str">
        <f t="shared" si="0"/>
        <v>Pass</v>
      </c>
      <c r="Y49" s="2">
        <v>34</v>
      </c>
      <c r="Z49" s="2">
        <v>0.26950000000000002</v>
      </c>
      <c r="AA49" s="2">
        <v>0.29070000000000001</v>
      </c>
      <c r="AB49" s="2">
        <v>2.1597</v>
      </c>
    </row>
    <row r="50" spans="2:28" x14ac:dyDescent="0.4">
      <c r="B50" s="11">
        <v>33</v>
      </c>
      <c r="C50" s="16">
        <f t="shared" si="1"/>
        <v>1.9577293675932228</v>
      </c>
      <c r="D50" s="17">
        <f t="shared" si="3"/>
        <v>2.1752548528813587</v>
      </c>
      <c r="E50" s="17">
        <f t="shared" si="2"/>
        <v>2.3927803381694943</v>
      </c>
      <c r="F50" s="2">
        <v>2.0131000000000001</v>
      </c>
      <c r="G50" s="2" t="str">
        <f t="shared" si="0"/>
        <v>Pass</v>
      </c>
      <c r="Y50" s="2">
        <v>35</v>
      </c>
      <c r="Z50" s="2">
        <v>0.26860000000000001</v>
      </c>
      <c r="AA50" s="2">
        <v>0.28449999999999998</v>
      </c>
      <c r="AB50" s="2">
        <v>2.3407</v>
      </c>
    </row>
    <row r="51" spans="2:28" x14ac:dyDescent="0.4">
      <c r="B51" s="11">
        <v>34</v>
      </c>
      <c r="C51" s="16">
        <f t="shared" si="1"/>
        <v>2.0895529974494984</v>
      </c>
      <c r="D51" s="17">
        <f t="shared" si="3"/>
        <v>2.3217255527216651</v>
      </c>
      <c r="E51" s="17">
        <f t="shared" si="2"/>
        <v>2.5538981079938319</v>
      </c>
      <c r="F51" s="2">
        <v>2.1597</v>
      </c>
      <c r="G51" s="2" t="str">
        <f t="shared" si="0"/>
        <v>Pass</v>
      </c>
      <c r="Y51" s="2">
        <v>36</v>
      </c>
      <c r="Z51" s="2">
        <v>0.27</v>
      </c>
      <c r="AA51" s="2">
        <v>0.2863</v>
      </c>
      <c r="AB51" s="2">
        <v>2.4655</v>
      </c>
    </row>
    <row r="52" spans="2:28" x14ac:dyDescent="0.4">
      <c r="B52" s="11">
        <v>35</v>
      </c>
      <c r="C52" s="16">
        <f t="shared" si="1"/>
        <v>2.2260755858302472</v>
      </c>
      <c r="D52" s="17">
        <f t="shared" si="3"/>
        <v>2.4734173175891638</v>
      </c>
      <c r="E52" s="17">
        <f t="shared" si="2"/>
        <v>2.7207590493480804</v>
      </c>
      <c r="F52" s="2">
        <v>2.3407</v>
      </c>
      <c r="G52" s="2" t="str">
        <f t="shared" si="0"/>
        <v>Pass</v>
      </c>
      <c r="Y52" s="2">
        <v>37</v>
      </c>
      <c r="Z52" s="2">
        <v>0.27050000000000002</v>
      </c>
      <c r="AA52" s="2">
        <v>0.28560000000000002</v>
      </c>
      <c r="AB52" s="2">
        <v>2.6187999999999998</v>
      </c>
    </row>
    <row r="53" spans="2:28" x14ac:dyDescent="0.4">
      <c r="B53" s="11">
        <v>36</v>
      </c>
      <c r="C53" s="16">
        <f t="shared" si="1"/>
        <v>2.3673242497815159</v>
      </c>
      <c r="D53" s="17">
        <f t="shared" si="3"/>
        <v>2.6303602775350177</v>
      </c>
      <c r="E53" s="17">
        <f t="shared" si="2"/>
        <v>2.8933963052885194</v>
      </c>
      <c r="F53" s="2">
        <v>2.4655</v>
      </c>
      <c r="G53" s="2" t="str">
        <f t="shared" si="0"/>
        <v>Pass</v>
      </c>
      <c r="Y53" s="2">
        <v>38</v>
      </c>
      <c r="Z53" s="2">
        <v>0.26579999999999998</v>
      </c>
      <c r="AA53" s="2">
        <v>0.28739999999999999</v>
      </c>
      <c r="AB53" s="2">
        <v>2.6907000000000001</v>
      </c>
    </row>
    <row r="54" spans="2:28" x14ac:dyDescent="0.4">
      <c r="B54" s="11">
        <v>37</v>
      </c>
      <c r="C54" s="16">
        <f t="shared" si="1"/>
        <v>2.5133254978215938</v>
      </c>
      <c r="D54" s="17">
        <f t="shared" si="3"/>
        <v>2.7925838864684374</v>
      </c>
      <c r="E54" s="17">
        <f t="shared" si="2"/>
        <v>3.071842275115281</v>
      </c>
      <c r="F54" s="2">
        <v>2.6187999999999998</v>
      </c>
      <c r="G54" s="2" t="str">
        <f t="shared" si="0"/>
        <v>Pass</v>
      </c>
      <c r="Y54" s="2">
        <v>39</v>
      </c>
      <c r="Z54" s="2">
        <v>0.2671</v>
      </c>
      <c r="AA54" s="2">
        <v>0.29260000000000003</v>
      </c>
      <c r="AB54" s="2">
        <v>2.8662000000000001</v>
      </c>
    </row>
    <row r="55" spans="2:28" x14ac:dyDescent="0.4">
      <c r="B55" s="11">
        <v>38</v>
      </c>
      <c r="C55" s="16">
        <f t="shared" si="1"/>
        <v>2.664105259834237</v>
      </c>
      <c r="D55" s="17">
        <f t="shared" si="3"/>
        <v>2.9601169553713742</v>
      </c>
      <c r="E55" s="17">
        <f t="shared" si="2"/>
        <v>3.2561286509085114</v>
      </c>
      <c r="F55" s="2">
        <v>2.6907000000000001</v>
      </c>
      <c r="G55" s="2" t="str">
        <f t="shared" si="0"/>
        <v>Pass</v>
      </c>
      <c r="Y55" s="2">
        <v>40</v>
      </c>
      <c r="Z55" s="2">
        <v>0.2676</v>
      </c>
      <c r="AA55" s="2">
        <v>0.29409999999999997</v>
      </c>
      <c r="AB55" s="2">
        <v>3.0158999999999998</v>
      </c>
    </row>
    <row r="56" spans="2:28" x14ac:dyDescent="0.4">
      <c r="B56" s="11">
        <v>39</v>
      </c>
      <c r="C56" s="16">
        <f t="shared" si="1"/>
        <v>2.8196889147378412</v>
      </c>
      <c r="D56" s="17">
        <f t="shared" si="3"/>
        <v>3.132987683042046</v>
      </c>
      <c r="E56" s="17">
        <f t="shared" si="2"/>
        <v>3.4462864513462508</v>
      </c>
      <c r="F56" s="2">
        <v>2.8662000000000001</v>
      </c>
      <c r="G56" s="2" t="str">
        <f t="shared" si="0"/>
        <v>Pass</v>
      </c>
      <c r="Y56" s="2">
        <v>41</v>
      </c>
      <c r="Z56" s="2">
        <v>0.27</v>
      </c>
      <c r="AA56" s="2">
        <v>0.29609999999999997</v>
      </c>
      <c r="AB56" s="2">
        <v>3.2092999999999998</v>
      </c>
    </row>
    <row r="57" spans="2:28" x14ac:dyDescent="0.4">
      <c r="B57" s="11">
        <v>40</v>
      </c>
      <c r="C57" s="16">
        <f t="shared" si="1"/>
        <v>2.9801013161494145</v>
      </c>
      <c r="D57" s="17">
        <f t="shared" si="3"/>
        <v>3.3112236846104603</v>
      </c>
      <c r="E57" s="17">
        <f t="shared" si="2"/>
        <v>3.6423460530715062</v>
      </c>
      <c r="F57" s="2">
        <v>3.0158999999999998</v>
      </c>
      <c r="G57" s="2" t="str">
        <f t="shared" si="0"/>
        <v>Pass</v>
      </c>
      <c r="Y57" s="2">
        <v>42</v>
      </c>
      <c r="Z57" s="2">
        <v>0.26900000000000002</v>
      </c>
      <c r="AA57" s="2">
        <v>0.29020000000000001</v>
      </c>
      <c r="AB57" s="2">
        <v>3.3963999999999999</v>
      </c>
    </row>
    <row r="58" spans="2:28" x14ac:dyDescent="0.4">
      <c r="B58" s="11">
        <v>41</v>
      </c>
      <c r="C58" s="16">
        <f t="shared" si="1"/>
        <v>3.1453668162355584</v>
      </c>
      <c r="D58" s="17">
        <f t="shared" si="3"/>
        <v>3.4948520180395093</v>
      </c>
      <c r="E58" s="17">
        <f t="shared" si="2"/>
        <v>3.8443372198434602</v>
      </c>
      <c r="F58" s="2">
        <v>3.2092999999999998</v>
      </c>
      <c r="G58" s="2" t="str">
        <f t="shared" si="0"/>
        <v>Pass</v>
      </c>
      <c r="Y58" s="2">
        <v>43</v>
      </c>
      <c r="Z58" s="2">
        <v>0.2676</v>
      </c>
      <c r="AA58" s="2">
        <v>0.29559999999999997</v>
      </c>
      <c r="AB58" s="2">
        <v>3.6977000000000002</v>
      </c>
    </row>
    <row r="59" spans="2:28" x14ac:dyDescent="0.4">
      <c r="B59" s="11">
        <v>42</v>
      </c>
      <c r="C59" s="16">
        <f t="shared" si="1"/>
        <v>3.3155092879201007</v>
      </c>
      <c r="D59" s="17">
        <f t="shared" si="3"/>
        <v>3.6838992088001121</v>
      </c>
      <c r="E59" s="17">
        <f t="shared" si="2"/>
        <v>4.0522891296801236</v>
      </c>
      <c r="F59" s="2">
        <v>3.3963999999999999</v>
      </c>
      <c r="G59" s="2" t="str">
        <f t="shared" si="0"/>
        <v>Pass</v>
      </c>
      <c r="Y59" s="2">
        <v>44</v>
      </c>
      <c r="Z59" s="2">
        <v>0.26979999999999998</v>
      </c>
      <c r="AA59" s="2">
        <v>0.2949</v>
      </c>
      <c r="AB59" s="2">
        <v>3.9094000000000002</v>
      </c>
    </row>
    <row r="60" spans="2:28" x14ac:dyDescent="0.4">
      <c r="B60" s="11">
        <v>43</v>
      </c>
      <c r="C60" s="16">
        <f t="shared" si="1"/>
        <v>3.4905521455983073</v>
      </c>
      <c r="D60" s="17">
        <f t="shared" si="3"/>
        <v>3.8783912728870082</v>
      </c>
      <c r="E60" s="17">
        <f t="shared" si="2"/>
        <v>4.2662304001757088</v>
      </c>
      <c r="F60" s="2">
        <v>3.6977000000000002</v>
      </c>
      <c r="G60" s="2" t="str">
        <f t="shared" si="0"/>
        <v>Pass</v>
      </c>
      <c r="Y60" s="2">
        <v>45</v>
      </c>
      <c r="Z60" s="2">
        <v>0.27</v>
      </c>
      <c r="AA60" s="2">
        <v>0.29449999999999998</v>
      </c>
      <c r="AB60" s="2">
        <v>4.0761000000000003</v>
      </c>
    </row>
    <row r="61" spans="2:28" x14ac:dyDescent="0.4">
      <c r="B61" s="11">
        <v>44</v>
      </c>
      <c r="C61" s="16">
        <f t="shared" si="1"/>
        <v>3.6705183644908388</v>
      </c>
      <c r="D61" s="17">
        <f t="shared" si="3"/>
        <v>4.0783537383231545</v>
      </c>
      <c r="E61" s="17">
        <f t="shared" si="2"/>
        <v>4.4861891121554702</v>
      </c>
      <c r="F61" s="2">
        <v>3.9094000000000002</v>
      </c>
      <c r="G61" s="2" t="str">
        <f t="shared" si="0"/>
        <v>Pass</v>
      </c>
      <c r="Y61" s="2">
        <v>46</v>
      </c>
      <c r="Z61" s="2">
        <v>0.26840000000000003</v>
      </c>
      <c r="AA61" s="2">
        <v>0.29449999999999998</v>
      </c>
      <c r="AB61" s="2">
        <v>4.2507999999999999</v>
      </c>
    </row>
    <row r="62" spans="2:28" x14ac:dyDescent="0.4">
      <c r="B62" s="11">
        <v>45</v>
      </c>
      <c r="C62" s="16">
        <f t="shared" si="1"/>
        <v>3.8554304987558945</v>
      </c>
      <c r="D62" s="17">
        <f t="shared" si="3"/>
        <v>4.2838116652843272</v>
      </c>
      <c r="E62" s="17">
        <f t="shared" si="2"/>
        <v>4.7121928318127599</v>
      </c>
      <c r="F62" s="2">
        <v>4.0761000000000003</v>
      </c>
      <c r="G62" s="2" t="str">
        <f t="shared" si="0"/>
        <v>Pass</v>
      </c>
      <c r="Y62" s="2">
        <v>47</v>
      </c>
      <c r="Z62" s="2">
        <v>0.27029999999999998</v>
      </c>
      <c r="AA62" s="2">
        <v>0.29599999999999999</v>
      </c>
      <c r="AB62" s="2">
        <v>4.5194999999999999</v>
      </c>
    </row>
    <row r="63" spans="2:28" x14ac:dyDescent="0.4">
      <c r="B63" s="11">
        <v>46</v>
      </c>
      <c r="C63" s="16">
        <f t="shared" si="1"/>
        <v>4.0453106984652933</v>
      </c>
      <c r="D63" s="17">
        <f t="shared" si="3"/>
        <v>4.4947896649614369</v>
      </c>
      <c r="E63" s="17">
        <f t="shared" si="2"/>
        <v>4.9442686314575806</v>
      </c>
      <c r="F63" s="2">
        <v>4.2507999999999999</v>
      </c>
      <c r="G63" s="2" t="str">
        <f t="shared" si="0"/>
        <v>Pass</v>
      </c>
      <c r="Y63" s="2">
        <v>48</v>
      </c>
      <c r="Z63" s="2">
        <v>0.27010000000000001</v>
      </c>
      <c r="AA63" s="2">
        <v>0.2944</v>
      </c>
      <c r="AB63" s="2">
        <v>4.7778</v>
      </c>
    </row>
    <row r="64" spans="2:28" x14ac:dyDescent="0.4">
      <c r="B64" s="11">
        <v>47</v>
      </c>
      <c r="C64" s="16">
        <f t="shared" si="1"/>
        <v>4.2401807255390604</v>
      </c>
      <c r="D64" s="17">
        <f t="shared" si="3"/>
        <v>4.7113119172656228</v>
      </c>
      <c r="E64" s="17">
        <f t="shared" si="2"/>
        <v>5.1824431089921852</v>
      </c>
      <c r="F64" s="2">
        <v>4.5194999999999999</v>
      </c>
      <c r="G64" s="2" t="str">
        <f t="shared" si="0"/>
        <v>Pass</v>
      </c>
      <c r="Y64" s="2">
        <v>49</v>
      </c>
      <c r="Z64" s="2">
        <v>0.27150000000000002</v>
      </c>
      <c r="AA64" s="2">
        <v>0.29459999999999997</v>
      </c>
      <c r="AB64" s="2">
        <v>4.9852999999999996</v>
      </c>
    </row>
    <row r="65" spans="2:28" x14ac:dyDescent="0.4">
      <c r="B65" s="11">
        <v>48</v>
      </c>
      <c r="C65" s="16">
        <f t="shared" si="1"/>
        <v>4.4400619687234171</v>
      </c>
      <c r="D65" s="17">
        <f t="shared" si="3"/>
        <v>4.9334021874704632</v>
      </c>
      <c r="E65" s="17">
        <f t="shared" si="2"/>
        <v>5.4267424062175094</v>
      </c>
      <c r="F65" s="2">
        <v>4.7778</v>
      </c>
      <c r="G65" s="2" t="str">
        <f t="shared" si="0"/>
        <v>Pass</v>
      </c>
      <c r="Y65" s="2">
        <v>50</v>
      </c>
      <c r="Z65" s="2">
        <v>0.27189999999999998</v>
      </c>
      <c r="AA65" s="2">
        <v>0.29409999999999997</v>
      </c>
      <c r="AB65" s="2">
        <v>5.1962000000000002</v>
      </c>
    </row>
    <row r="66" spans="2:28" x14ac:dyDescent="0.4">
      <c r="B66" s="11">
        <v>49</v>
      </c>
      <c r="C66" s="16">
        <f t="shared" si="1"/>
        <v>4.6449754576884636</v>
      </c>
      <c r="D66" s="17">
        <f t="shared" si="3"/>
        <v>5.1610838418760707</v>
      </c>
      <c r="E66" s="17">
        <f t="shared" si="2"/>
        <v>5.6771922260636778</v>
      </c>
      <c r="F66" s="2">
        <v>4.9852999999999996</v>
      </c>
      <c r="G66" s="2" t="str">
        <f t="shared" si="0"/>
        <v>Pass</v>
      </c>
      <c r="Y66" s="2">
        <v>51</v>
      </c>
      <c r="Z66" s="2">
        <v>0.27379999999999999</v>
      </c>
      <c r="AA66" s="2">
        <v>0.29430000000000001</v>
      </c>
      <c r="AB66" s="2">
        <v>5.5456000000000003</v>
      </c>
    </row>
    <row r="67" spans="2:28" x14ac:dyDescent="0.4">
      <c r="B67" s="11">
        <v>50</v>
      </c>
      <c r="C67" s="16">
        <f t="shared" si="1"/>
        <v>4.8549418763143599</v>
      </c>
      <c r="D67" s="17">
        <f t="shared" si="3"/>
        <v>5.3943798625715109</v>
      </c>
      <c r="E67" s="17">
        <f t="shared" si="2"/>
        <v>5.9338178488286619</v>
      </c>
      <c r="F67" s="2">
        <v>5.1962000000000002</v>
      </c>
      <c r="G67" s="2" t="str">
        <f t="shared" si="0"/>
        <v>Pass</v>
      </c>
      <c r="Y67" s="2">
        <v>52</v>
      </c>
      <c r="Z67" s="2">
        <v>0.27450000000000002</v>
      </c>
      <c r="AA67" s="2">
        <v>0.29780000000000001</v>
      </c>
      <c r="AB67" s="2">
        <v>5.9082999999999997</v>
      </c>
    </row>
    <row r="68" spans="2:28" x14ac:dyDescent="0.4">
      <c r="B68" s="11">
        <v>51</v>
      </c>
      <c r="C68" s="16">
        <f t="shared" si="1"/>
        <v>5.0699815752280912</v>
      </c>
      <c r="D68" s="17">
        <f t="shared" si="3"/>
        <v>5.633312861364546</v>
      </c>
      <c r="E68" s="17">
        <f t="shared" si="2"/>
        <v>6.1966441475010008</v>
      </c>
      <c r="F68" s="2">
        <v>5.5456000000000003</v>
      </c>
      <c r="G68" s="2" t="str">
        <f t="shared" si="0"/>
        <v>Pass</v>
      </c>
      <c r="Y68" s="2">
        <v>53</v>
      </c>
      <c r="Z68" s="2">
        <v>0.27479999999999999</v>
      </c>
      <c r="AA68" s="2">
        <v>0.29930000000000001</v>
      </c>
      <c r="AB68" s="2">
        <v>6.2027000000000001</v>
      </c>
    </row>
    <row r="69" spans="2:28" x14ac:dyDescent="0.4">
      <c r="B69" s="11">
        <v>52</v>
      </c>
      <c r="C69" s="16">
        <f t="shared" si="1"/>
        <v>5.2901145836470915</v>
      </c>
      <c r="D69" s="17">
        <f t="shared" si="3"/>
        <v>5.8779050929412131</v>
      </c>
      <c r="E69" s="17">
        <f t="shared" si="2"/>
        <v>6.4656956022353347</v>
      </c>
      <c r="F69" s="2">
        <v>5.9082999999999997</v>
      </c>
      <c r="G69" s="2" t="str">
        <f t="shared" si="0"/>
        <v>Pass</v>
      </c>
      <c r="Y69" s="2">
        <v>54</v>
      </c>
      <c r="Z69" s="2">
        <v>0.27489999999999998</v>
      </c>
      <c r="AA69" s="2">
        <v>0.29680000000000001</v>
      </c>
      <c r="AB69" s="2">
        <v>6.5114999999999998</v>
      </c>
    </row>
    <row r="70" spans="2:28" x14ac:dyDescent="0.4">
      <c r="B70" s="11">
        <v>53</v>
      </c>
      <c r="C70" s="16">
        <f t="shared" si="1"/>
        <v>5.515360620580732</v>
      </c>
      <c r="D70" s="17">
        <f t="shared" si="3"/>
        <v>6.1281784673119244</v>
      </c>
      <c r="E70" s="17">
        <f t="shared" si="2"/>
        <v>6.7409963140431168</v>
      </c>
      <c r="F70" s="2">
        <v>6.2027000000000001</v>
      </c>
      <c r="G70" s="2" t="str">
        <f t="shared" si="0"/>
        <v>Pass</v>
      </c>
      <c r="Y70" s="2">
        <v>55</v>
      </c>
      <c r="Z70" s="2">
        <v>0.27360000000000001</v>
      </c>
      <c r="AA70" s="2">
        <v>0.29720000000000002</v>
      </c>
      <c r="AB70" s="2">
        <v>6.7521000000000004</v>
      </c>
    </row>
    <row r="71" spans="2:28" x14ac:dyDescent="0.4">
      <c r="B71" s="11">
        <v>54</v>
      </c>
      <c r="C71" s="16">
        <f t="shared" si="1"/>
        <v>5.7457391054360061</v>
      </c>
      <c r="D71" s="17">
        <f t="shared" si="3"/>
        <v>6.3841545615955626</v>
      </c>
      <c r="E71" s="17">
        <f t="shared" si="2"/>
        <v>7.0225700177551191</v>
      </c>
      <c r="F71" s="2">
        <v>6.5114999999999998</v>
      </c>
      <c r="G71" s="2" t="str">
        <f t="shared" si="0"/>
        <v>Pass</v>
      </c>
      <c r="Y71" s="2">
        <v>56</v>
      </c>
      <c r="Z71" s="2">
        <v>0.2757</v>
      </c>
      <c r="AA71" s="2">
        <v>0.29799999999999999</v>
      </c>
      <c r="AB71" s="2">
        <v>7.0166000000000004</v>
      </c>
    </row>
    <row r="72" spans="2:28" x14ac:dyDescent="0.4">
      <c r="B72" s="11">
        <v>55</v>
      </c>
      <c r="C72" s="16">
        <f t="shared" si="1"/>
        <v>5.9812691680696464</v>
      </c>
      <c r="D72" s="17">
        <f t="shared" si="3"/>
        <v>6.6458546311884961</v>
      </c>
      <c r="E72" s="17">
        <f t="shared" si="2"/>
        <v>7.3104400943073458</v>
      </c>
      <c r="F72" s="2">
        <v>6.7521000000000004</v>
      </c>
      <c r="G72" s="2" t="str">
        <f t="shared" si="0"/>
        <v>Pass</v>
      </c>
      <c r="Y72" s="2">
        <v>57</v>
      </c>
      <c r="Z72" s="2">
        <v>0.27679999999999999</v>
      </c>
      <c r="AA72" s="2">
        <v>0.2979</v>
      </c>
      <c r="AB72" s="2">
        <v>7.3381999999999996</v>
      </c>
    </row>
    <row r="73" spans="2:28" x14ac:dyDescent="0.4">
      <c r="B73" s="11">
        <v>56</v>
      </c>
      <c r="C73" s="16">
        <f t="shared" si="1"/>
        <v>6.2219696583251594</v>
      </c>
      <c r="D73" s="17">
        <f t="shared" si="3"/>
        <v>6.913299620361288</v>
      </c>
      <c r="E73" s="17">
        <f t="shared" si="2"/>
        <v>7.6046295823974166</v>
      </c>
      <c r="F73" s="2">
        <v>7.0166000000000004</v>
      </c>
      <c r="G73" s="2" t="str">
        <f t="shared" si="0"/>
        <v>Pass</v>
      </c>
      <c r="Y73" s="2">
        <v>58</v>
      </c>
      <c r="Z73" s="2">
        <v>0.2772</v>
      </c>
      <c r="AA73" s="2">
        <v>0.29899999999999999</v>
      </c>
      <c r="AB73" s="2">
        <v>7.6303000000000001</v>
      </c>
    </row>
    <row r="74" spans="2:28" x14ac:dyDescent="0.4">
      <c r="B74" s="11">
        <v>57</v>
      </c>
      <c r="C74" s="16">
        <f t="shared" si="1"/>
        <v>6.4678591550899647</v>
      </c>
      <c r="D74" s="17">
        <f t="shared" si="3"/>
        <v>7.1865101723221825</v>
      </c>
      <c r="E74" s="17">
        <f t="shared" si="2"/>
        <v>7.9051611895544003</v>
      </c>
      <c r="F74" s="2">
        <v>7.3381999999999996</v>
      </c>
      <c r="G74" s="2" t="str">
        <f t="shared" si="0"/>
        <v>Pass</v>
      </c>
      <c r="Y74" s="2">
        <v>59</v>
      </c>
      <c r="Z74" s="2">
        <v>0.2772</v>
      </c>
      <c r="AA74" s="2">
        <v>0.29899999999999999</v>
      </c>
      <c r="AB74" s="2">
        <v>7.9454000000000002</v>
      </c>
    </row>
    <row r="75" spans="2:28" x14ac:dyDescent="0.4">
      <c r="B75" s="11">
        <v>58</v>
      </c>
      <c r="C75" s="16">
        <f t="shared" si="1"/>
        <v>6.718955974904814</v>
      </c>
      <c r="D75" s="17">
        <f t="shared" si="3"/>
        <v>7.4655066387831273</v>
      </c>
      <c r="E75" s="17">
        <f t="shared" si="2"/>
        <v>8.2120573026614405</v>
      </c>
      <c r="F75" s="2">
        <v>7.6303000000000001</v>
      </c>
      <c r="G75" s="2" t="str">
        <f t="shared" si="0"/>
        <v>Pass</v>
      </c>
      <c r="Y75" s="2">
        <v>60</v>
      </c>
      <c r="Z75" s="2">
        <v>0.27800000000000002</v>
      </c>
      <c r="AA75" s="2">
        <v>0.29970000000000002</v>
      </c>
      <c r="AB75" s="2">
        <v>8.2494999999999994</v>
      </c>
    </row>
    <row r="76" spans="2:28" x14ac:dyDescent="0.4">
      <c r="B76" s="11">
        <v>59</v>
      </c>
      <c r="C76" s="16">
        <f t="shared" si="1"/>
        <v>6.9752781801550645</v>
      </c>
      <c r="D76" s="17">
        <f t="shared" si="3"/>
        <v>7.750309089061183</v>
      </c>
      <c r="E76" s="17">
        <f t="shared" si="2"/>
        <v>8.5253399979673006</v>
      </c>
      <c r="F76" s="2">
        <v>7.9454000000000002</v>
      </c>
      <c r="G76" s="2" t="str">
        <f t="shared" si="0"/>
        <v>Pass</v>
      </c>
      <c r="Y76" s="2">
        <v>61</v>
      </c>
      <c r="Z76" s="2">
        <v>0.27850000000000003</v>
      </c>
      <c r="AA76" s="2">
        <v>0.3009</v>
      </c>
      <c r="AB76" s="2">
        <v>8.6231000000000009</v>
      </c>
    </row>
    <row r="77" spans="2:28" x14ac:dyDescent="0.4">
      <c r="B77" s="11">
        <v>60</v>
      </c>
      <c r="C77" s="16">
        <f t="shared" si="1"/>
        <v>7.2368435868708003</v>
      </c>
      <c r="D77" s="17">
        <f t="shared" si="3"/>
        <v>8.0409373187453337</v>
      </c>
      <c r="E77" s="17">
        <f t="shared" si="2"/>
        <v>8.8450310506198662</v>
      </c>
      <c r="F77" s="2">
        <v>8.2494999999999994</v>
      </c>
      <c r="G77" s="2" t="str">
        <f t="shared" si="0"/>
        <v>Pass</v>
      </c>
      <c r="Y77" s="2">
        <v>62</v>
      </c>
      <c r="Z77" s="2">
        <v>0.27839999999999998</v>
      </c>
      <c r="AA77" s="2">
        <v>0.29949999999999999</v>
      </c>
      <c r="AB77" s="2">
        <v>8.9472000000000005</v>
      </c>
    </row>
    <row r="78" spans="2:28" x14ac:dyDescent="0.4">
      <c r="B78" s="11">
        <v>61</v>
      </c>
      <c r="C78" s="16">
        <f t="shared" si="1"/>
        <v>7.5036697721608476</v>
      </c>
      <c r="D78" s="17">
        <f t="shared" si="3"/>
        <v>8.3374108579564972</v>
      </c>
      <c r="E78" s="17">
        <f t="shared" si="2"/>
        <v>9.1711519437521467</v>
      </c>
      <c r="F78" s="2">
        <v>8.6231000000000009</v>
      </c>
      <c r="G78" s="2" t="str">
        <f t="shared" si="0"/>
        <v>Pass</v>
      </c>
      <c r="Y78" s="2">
        <v>63</v>
      </c>
      <c r="Z78" s="2">
        <v>0.27889999999999998</v>
      </c>
      <c r="AA78" s="2">
        <v>0.30059999999999998</v>
      </c>
      <c r="AB78" s="2">
        <v>9.3269000000000002</v>
      </c>
    </row>
    <row r="79" spans="2:28" x14ac:dyDescent="0.4">
      <c r="B79" s="11">
        <v>62</v>
      </c>
      <c r="C79" s="16">
        <f t="shared" si="1"/>
        <v>7.7757740813035303</v>
      </c>
      <c r="D79" s="17">
        <f t="shared" si="3"/>
        <v>8.6397489792261446</v>
      </c>
      <c r="E79" s="17">
        <f t="shared" si="2"/>
        <v>9.5037238771487598</v>
      </c>
      <c r="F79" s="2">
        <v>8.9472000000000005</v>
      </c>
      <c r="G79" s="2" t="str">
        <f t="shared" si="0"/>
        <v>Pass</v>
      </c>
      <c r="Y79" s="2">
        <v>64</v>
      </c>
      <c r="Z79" s="2">
        <v>0.27929999999999999</v>
      </c>
      <c r="AA79" s="2">
        <v>0.30080000000000001</v>
      </c>
      <c r="AB79" s="2">
        <v>9.6559000000000008</v>
      </c>
    </row>
    <row r="80" spans="2:28" x14ac:dyDescent="0.4">
      <c r="B80" s="11">
        <v>63</v>
      </c>
      <c r="C80" s="16">
        <f t="shared" si="1"/>
        <v>8.0531736345153426</v>
      </c>
      <c r="D80" s="17">
        <f t="shared" si="3"/>
        <v>8.9479707050170472</v>
      </c>
      <c r="E80" s="17">
        <f t="shared" si="2"/>
        <v>9.8427677755187517</v>
      </c>
      <c r="F80" s="2">
        <v>9.3269000000000002</v>
      </c>
      <c r="G80" s="2" t="str">
        <f t="shared" si="0"/>
        <v>Pass</v>
      </c>
      <c r="Y80" s="2">
        <v>65</v>
      </c>
      <c r="Z80" s="2">
        <v>0.27839999999999998</v>
      </c>
      <c r="AA80" s="2">
        <v>0.29509999999999997</v>
      </c>
      <c r="AB80" s="2">
        <v>9.7293000000000003</v>
      </c>
    </row>
    <row r="81" spans="2:28" x14ac:dyDescent="0.4">
      <c r="B81" s="11">
        <v>64</v>
      </c>
      <c r="C81" s="16">
        <f t="shared" si="1"/>
        <v>8.335885333417167</v>
      </c>
      <c r="D81" s="17">
        <f t="shared" si="3"/>
        <v>9.2620948149079627</v>
      </c>
      <c r="E81" s="17">
        <f t="shared" si="2"/>
        <v>10.188304296398758</v>
      </c>
      <c r="F81" s="2">
        <v>9.6559000000000008</v>
      </c>
      <c r="G81" s="2" t="str">
        <f t="shared" ref="G81:G144" si="4">IF(F81&lt;=C81,"Fail",IF(AND(C81&lt;F81,F81&lt;E81),"Pass",IF(E81&lt;=F81,"Fail")))</f>
        <v>Pass</v>
      </c>
      <c r="Y81" s="2">
        <v>66</v>
      </c>
      <c r="Z81" s="2">
        <v>0.27789999999999998</v>
      </c>
      <c r="AA81" s="2">
        <v>0.29620000000000002</v>
      </c>
      <c r="AB81" s="2">
        <v>10.053100000000001</v>
      </c>
    </row>
    <row r="82" spans="2:28" x14ac:dyDescent="0.4">
      <c r="B82" s="11">
        <v>65</v>
      </c>
      <c r="C82" s="16">
        <f t="shared" ref="C82:C145" si="5">D82-D82*(C$14/100)</f>
        <v>8.6239258672159114</v>
      </c>
      <c r="D82" s="17">
        <f t="shared" si="3"/>
        <v>9.5821398524621237</v>
      </c>
      <c r="E82" s="17">
        <f t="shared" ref="E82:E145" si="6">D82+D82*(C$14/100)</f>
        <v>10.540353837708336</v>
      </c>
      <c r="F82" s="2">
        <v>9.7293000000000003</v>
      </c>
      <c r="G82" s="2" t="str">
        <f t="shared" si="4"/>
        <v>Pass</v>
      </c>
      <c r="Y82" s="2">
        <v>67</v>
      </c>
      <c r="Z82" s="2">
        <v>0.27829999999999999</v>
      </c>
      <c r="AA82" s="2">
        <v>0.2959</v>
      </c>
      <c r="AB82" s="2">
        <v>10.444900000000001</v>
      </c>
    </row>
    <row r="83" spans="2:28" x14ac:dyDescent="0.4">
      <c r="B83" s="11">
        <v>66</v>
      </c>
      <c r="C83" s="16">
        <f t="shared" si="5"/>
        <v>8.917311718618528</v>
      </c>
      <c r="D83" s="17">
        <f t="shared" ref="D83:D146" si="7">D$272*((B83+F$17)/B$272)^C$13</f>
        <v>9.908124131798365</v>
      </c>
      <c r="E83" s="17">
        <f t="shared" si="6"/>
        <v>10.898936544978202</v>
      </c>
      <c r="F83" s="2">
        <v>10.053100000000001</v>
      </c>
      <c r="G83" s="2" t="str">
        <f t="shared" si="4"/>
        <v>Pass</v>
      </c>
      <c r="Y83" s="2">
        <v>68</v>
      </c>
      <c r="Z83" s="2">
        <v>0.27810000000000001</v>
      </c>
      <c r="AA83" s="2">
        <v>0.29609999999999997</v>
      </c>
      <c r="AB83" s="2">
        <v>10.728300000000001</v>
      </c>
    </row>
    <row r="84" spans="2:28" x14ac:dyDescent="0.4">
      <c r="B84" s="11">
        <v>67</v>
      </c>
      <c r="C84" s="16">
        <f t="shared" si="5"/>
        <v>9.216059169493704</v>
      </c>
      <c r="D84" s="17">
        <f t="shared" si="7"/>
        <v>10.240065743881894</v>
      </c>
      <c r="E84" s="17">
        <f t="shared" si="6"/>
        <v>11.264072318270085</v>
      </c>
      <c r="F84" s="2">
        <v>10.444900000000001</v>
      </c>
      <c r="G84" s="2" t="str">
        <f t="shared" si="4"/>
        <v>Pass</v>
      </c>
      <c r="Y84" s="2">
        <v>69</v>
      </c>
      <c r="Z84" s="2">
        <v>0.2792</v>
      </c>
      <c r="AA84" s="2">
        <v>0.29659999999999997</v>
      </c>
      <c r="AB84" s="2">
        <v>11.192</v>
      </c>
    </row>
    <row r="85" spans="2:28" x14ac:dyDescent="0.4">
      <c r="B85" s="11">
        <v>68</v>
      </c>
      <c r="C85" s="16">
        <f t="shared" si="5"/>
        <v>9.5201843062957039</v>
      </c>
      <c r="D85" s="17">
        <f t="shared" si="7"/>
        <v>10.577982562550782</v>
      </c>
      <c r="E85" s="17">
        <f t="shared" si="6"/>
        <v>11.635780818805859</v>
      </c>
      <c r="F85" s="2">
        <v>10.728300000000001</v>
      </c>
      <c r="G85" s="2" t="str">
        <f t="shared" si="4"/>
        <v>Pass</v>
      </c>
      <c r="Y85" s="2">
        <v>70</v>
      </c>
      <c r="Z85" s="2">
        <v>0.27950000000000003</v>
      </c>
      <c r="AA85" s="2">
        <v>0.29620000000000002</v>
      </c>
      <c r="AB85" s="2">
        <v>11.511900000000001</v>
      </c>
    </row>
    <row r="86" spans="2:28" x14ac:dyDescent="0.4">
      <c r="B86" s="11">
        <v>69</v>
      </c>
      <c r="C86" s="16">
        <f t="shared" si="5"/>
        <v>9.8297030252637505</v>
      </c>
      <c r="D86" s="17">
        <f t="shared" si="7"/>
        <v>10.921892250293057</v>
      </c>
      <c r="E86" s="17">
        <f t="shared" si="6"/>
        <v>12.014081475322364</v>
      </c>
      <c r="F86" s="2">
        <v>11.192</v>
      </c>
      <c r="G86" s="2" t="str">
        <f t="shared" si="4"/>
        <v>Pass</v>
      </c>
      <c r="Y86" s="2">
        <v>71</v>
      </c>
      <c r="Z86" s="2">
        <v>0.27900000000000003</v>
      </c>
      <c r="AA86" s="2">
        <v>0.29609999999999997</v>
      </c>
      <c r="AB86" s="2">
        <v>11.994999999999999</v>
      </c>
    </row>
    <row r="87" spans="2:28" x14ac:dyDescent="0.4">
      <c r="B87" s="11">
        <v>70</v>
      </c>
      <c r="C87" s="16">
        <f t="shared" si="5"/>
        <v>10.144631037409292</v>
      </c>
      <c r="D87" s="17">
        <f t="shared" si="7"/>
        <v>11.271812263788103</v>
      </c>
      <c r="E87" s="17">
        <f t="shared" si="6"/>
        <v>12.398993490166914</v>
      </c>
      <c r="F87" s="2">
        <v>11.511900000000001</v>
      </c>
      <c r="G87" s="2" t="str">
        <f t="shared" si="4"/>
        <v>Pass</v>
      </c>
      <c r="Y87" s="2">
        <v>72</v>
      </c>
      <c r="Z87" s="2">
        <v>0.2787</v>
      </c>
      <c r="AA87" s="2">
        <v>0.29620000000000002</v>
      </c>
      <c r="AB87" s="2">
        <v>12.3324</v>
      </c>
    </row>
    <row r="88" spans="2:28" x14ac:dyDescent="0.4">
      <c r="B88" s="11">
        <v>71</v>
      </c>
      <c r="C88" s="16">
        <f t="shared" si="5"/>
        <v>10.464983873302819</v>
      </c>
      <c r="D88" s="17">
        <f t="shared" si="7"/>
        <v>11.627759859225353</v>
      </c>
      <c r="E88" s="17">
        <f t="shared" si="6"/>
        <v>12.790535845147888</v>
      </c>
      <c r="F88" s="2">
        <v>11.994999999999999</v>
      </c>
      <c r="G88" s="2" t="str">
        <f t="shared" si="4"/>
        <v>Pass</v>
      </c>
      <c r="Y88" s="2">
        <v>73</v>
      </c>
      <c r="Z88" s="2">
        <v>0.27929999999999999</v>
      </c>
      <c r="AA88" s="2">
        <v>0.29649999999999999</v>
      </c>
      <c r="AB88" s="2">
        <v>12.6891</v>
      </c>
    </row>
    <row r="89" spans="2:28" x14ac:dyDescent="0.4">
      <c r="B89" s="11">
        <v>72</v>
      </c>
      <c r="C89" s="16">
        <f t="shared" si="5"/>
        <v>10.790776887670884</v>
      </c>
      <c r="D89" s="17">
        <f t="shared" si="7"/>
        <v>11.989752097412094</v>
      </c>
      <c r="E89" s="17">
        <f t="shared" si="6"/>
        <v>13.188727307153304</v>
      </c>
      <c r="F89" s="2">
        <v>12.3324</v>
      </c>
      <c r="G89" s="2" t="str">
        <f t="shared" si="4"/>
        <v>Pass</v>
      </c>
      <c r="Y89" s="2">
        <v>74</v>
      </c>
      <c r="Z89" s="2">
        <v>0.27789999999999998</v>
      </c>
      <c r="AA89" s="2">
        <v>0.2949</v>
      </c>
      <c r="AB89" s="2">
        <v>12.777100000000001</v>
      </c>
    </row>
    <row r="90" spans="2:28" x14ac:dyDescent="0.4">
      <c r="B90" s="11">
        <v>73</v>
      </c>
      <c r="C90" s="16">
        <f t="shared" si="5"/>
        <v>11.122025263813589</v>
      </c>
      <c r="D90" s="17">
        <f t="shared" si="7"/>
        <v>12.357805848681766</v>
      </c>
      <c r="E90" s="17">
        <f t="shared" si="6"/>
        <v>13.593586433549943</v>
      </c>
      <c r="F90" s="2">
        <v>12.6891</v>
      </c>
      <c r="G90" s="2" t="str">
        <f t="shared" si="4"/>
        <v>Pass</v>
      </c>
      <c r="Y90" s="2">
        <v>75</v>
      </c>
      <c r="Z90" s="2">
        <v>0.27829999999999999</v>
      </c>
      <c r="AA90" s="2">
        <v>0.29530000000000001</v>
      </c>
      <c r="AB90" s="2">
        <v>13.1831</v>
      </c>
    </row>
    <row r="91" spans="2:28" x14ac:dyDescent="0.4">
      <c r="B91" s="11">
        <v>74</v>
      </c>
      <c r="C91" s="16">
        <f t="shared" si="5"/>
        <v>11.458744017851711</v>
      </c>
      <c r="D91" s="17">
        <f t="shared" si="7"/>
        <v>12.731937797613012</v>
      </c>
      <c r="E91" s="17">
        <f t="shared" si="6"/>
        <v>14.005131577374314</v>
      </c>
      <c r="F91" s="2">
        <v>12.777100000000001</v>
      </c>
      <c r="G91" s="2" t="str">
        <f t="shared" si="4"/>
        <v>Pass</v>
      </c>
      <c r="Y91" s="2">
        <v>76</v>
      </c>
      <c r="Z91" s="2">
        <v>0.27910000000000001</v>
      </c>
      <c r="AA91" s="2">
        <v>0.2959</v>
      </c>
      <c r="AB91" s="2">
        <v>13.698399999999999</v>
      </c>
    </row>
    <row r="92" spans="2:28" x14ac:dyDescent="0.4">
      <c r="B92" s="11">
        <v>75</v>
      </c>
      <c r="C92" s="16">
        <f t="shared" si="5"/>
        <v>11.80094800281239</v>
      </c>
      <c r="D92" s="17">
        <f t="shared" si="7"/>
        <v>13.112164447569324</v>
      </c>
      <c r="E92" s="17">
        <f t="shared" si="6"/>
        <v>14.423380892326257</v>
      </c>
      <c r="F92" s="2">
        <v>13.1831</v>
      </c>
      <c r="G92" s="2" t="str">
        <f t="shared" si="4"/>
        <v>Pass</v>
      </c>
      <c r="Y92" s="2">
        <v>77</v>
      </c>
      <c r="Z92" s="2">
        <v>0.28039999999999998</v>
      </c>
      <c r="AA92" s="2">
        <v>0.2964</v>
      </c>
      <c r="AB92" s="2">
        <v>14.1014</v>
      </c>
    </row>
    <row r="93" spans="2:28" x14ac:dyDescent="0.4">
      <c r="B93" s="11">
        <v>76</v>
      </c>
      <c r="C93" s="16">
        <f t="shared" si="5"/>
        <v>12.148651912561608</v>
      </c>
      <c r="D93" s="17">
        <f t="shared" si="7"/>
        <v>13.498502125068454</v>
      </c>
      <c r="E93" s="17">
        <f t="shared" si="6"/>
        <v>14.848352337575299</v>
      </c>
      <c r="F93" s="2">
        <v>13.698399999999999</v>
      </c>
      <c r="G93" s="2" t="str">
        <f t="shared" si="4"/>
        <v>Pass</v>
      </c>
      <c r="Y93" s="2">
        <v>78</v>
      </c>
      <c r="Z93" s="2">
        <v>0.28079999999999999</v>
      </c>
      <c r="AA93" s="2">
        <v>0.29649999999999999</v>
      </c>
      <c r="AB93" s="2">
        <v>14.464</v>
      </c>
    </row>
    <row r="94" spans="2:28" x14ac:dyDescent="0.4">
      <c r="B94" s="11">
        <v>77</v>
      </c>
      <c r="C94" s="16">
        <f t="shared" si="5"/>
        <v>12.501870285591069</v>
      </c>
      <c r="D94" s="17">
        <f t="shared" si="7"/>
        <v>13.890966983990078</v>
      </c>
      <c r="E94" s="17">
        <f t="shared" si="6"/>
        <v>15.280063682389086</v>
      </c>
      <c r="F94" s="2">
        <v>14.1014</v>
      </c>
      <c r="G94" s="2" t="str">
        <f t="shared" si="4"/>
        <v>Pass</v>
      </c>
      <c r="Y94" s="2">
        <v>79</v>
      </c>
      <c r="Z94" s="2">
        <v>0.28100000000000003</v>
      </c>
      <c r="AA94" s="2">
        <v>0.2974</v>
      </c>
      <c r="AB94" s="2">
        <v>14.9771</v>
      </c>
    </row>
    <row r="95" spans="2:28" x14ac:dyDescent="0.4">
      <c r="B95" s="11">
        <v>78</v>
      </c>
      <c r="C95" s="16">
        <f t="shared" si="5"/>
        <v>12.860617508666763</v>
      </c>
      <c r="D95" s="17">
        <f t="shared" si="7"/>
        <v>14.289575009629738</v>
      </c>
      <c r="E95" s="17">
        <f t="shared" si="6"/>
        <v>15.718532510592713</v>
      </c>
      <c r="F95" s="2">
        <v>14.464</v>
      </c>
      <c r="G95" s="2" t="str">
        <f t="shared" si="4"/>
        <v>Pass</v>
      </c>
      <c r="Y95" s="2">
        <v>80</v>
      </c>
      <c r="Z95" s="2">
        <v>0.28139999999999998</v>
      </c>
      <c r="AA95" s="2">
        <v>0.29799999999999999</v>
      </c>
      <c r="AB95" s="2">
        <v>15.4451</v>
      </c>
    </row>
    <row r="96" spans="2:28" x14ac:dyDescent="0.4">
      <c r="B96" s="11">
        <v>79</v>
      </c>
      <c r="C96" s="16">
        <f t="shared" si="5"/>
        <v>13.224907820345972</v>
      </c>
      <c r="D96" s="17">
        <f t="shared" si="7"/>
        <v>14.694342022606637</v>
      </c>
      <c r="E96" s="17">
        <f t="shared" si="6"/>
        <v>16.163776224867302</v>
      </c>
      <c r="F96" s="2">
        <v>14.9771</v>
      </c>
      <c r="G96" s="2" t="str">
        <f t="shared" si="4"/>
        <v>Pass</v>
      </c>
      <c r="Y96" s="2">
        <v>81</v>
      </c>
      <c r="Z96" s="2">
        <v>0.2797</v>
      </c>
      <c r="AA96" s="2">
        <v>0.29399999999999998</v>
      </c>
      <c r="AB96" s="2">
        <v>15.4391</v>
      </c>
    </row>
    <row r="97" spans="2:28" x14ac:dyDescent="0.4">
      <c r="B97" s="11">
        <v>80</v>
      </c>
      <c r="C97" s="16">
        <f t="shared" si="5"/>
        <v>13.594755314369015</v>
      </c>
      <c r="D97" s="17">
        <f t="shared" si="7"/>
        <v>15.105283682632239</v>
      </c>
      <c r="E97" s="17">
        <f t="shared" si="6"/>
        <v>16.615812050895464</v>
      </c>
      <c r="F97" s="2">
        <v>15.4451</v>
      </c>
      <c r="G97" s="2" t="str">
        <f t="shared" si="4"/>
        <v>Pass</v>
      </c>
      <c r="Y97" s="2">
        <v>82</v>
      </c>
      <c r="Z97" s="2">
        <v>0.28039999999999998</v>
      </c>
      <c r="AA97" s="2">
        <v>0.29470000000000002</v>
      </c>
      <c r="AB97" s="2">
        <v>15.9856</v>
      </c>
    </row>
    <row r="98" spans="2:28" x14ac:dyDescent="0.4">
      <c r="B98" s="11">
        <v>81</v>
      </c>
      <c r="C98" s="16">
        <f t="shared" si="5"/>
        <v>13.970173942931872</v>
      </c>
      <c r="D98" s="17">
        <f t="shared" si="7"/>
        <v>15.522415492146525</v>
      </c>
      <c r="E98" s="17">
        <f t="shared" si="6"/>
        <v>17.074657041361178</v>
      </c>
      <c r="F98" s="2">
        <v>15.4391</v>
      </c>
      <c r="G98" s="2" t="str">
        <f t="shared" si="4"/>
        <v>Pass</v>
      </c>
      <c r="Y98" s="2">
        <v>83</v>
      </c>
      <c r="Z98" s="2">
        <v>0.28010000000000002</v>
      </c>
      <c r="AA98" s="2">
        <v>0.29499999999999998</v>
      </c>
      <c r="AB98" s="2">
        <v>16.313600000000001</v>
      </c>
    </row>
    <row r="99" spans="2:28" x14ac:dyDescent="0.4">
      <c r="B99" s="11">
        <v>82</v>
      </c>
      <c r="C99" s="16">
        <f t="shared" si="5"/>
        <v>14.351177519845081</v>
      </c>
      <c r="D99" s="17">
        <f t="shared" si="7"/>
        <v>15.945752799827867</v>
      </c>
      <c r="E99" s="17">
        <f t="shared" si="6"/>
        <v>17.540328079810653</v>
      </c>
      <c r="F99" s="2">
        <v>15.9856</v>
      </c>
      <c r="G99" s="2" t="str">
        <f t="shared" si="4"/>
        <v>Pass</v>
      </c>
      <c r="Y99" s="2">
        <v>84</v>
      </c>
      <c r="Z99" s="2">
        <v>0.28189999999999998</v>
      </c>
      <c r="AA99" s="2">
        <v>0.29920000000000002</v>
      </c>
      <c r="AB99" s="2">
        <v>16.895499999999998</v>
      </c>
    </row>
    <row r="100" spans="2:28" x14ac:dyDescent="0.4">
      <c r="B100" s="11">
        <v>83</v>
      </c>
      <c r="C100" s="16">
        <f t="shared" si="5"/>
        <v>14.737779723584337</v>
      </c>
      <c r="D100" s="17">
        <f t="shared" si="7"/>
        <v>16.375310803982597</v>
      </c>
      <c r="E100" s="17">
        <f t="shared" si="6"/>
        <v>18.012841884380855</v>
      </c>
      <c r="F100" s="2">
        <v>16.313600000000001</v>
      </c>
      <c r="G100" s="2" t="str">
        <f t="shared" si="4"/>
        <v>Pass</v>
      </c>
      <c r="Y100" s="2">
        <v>85</v>
      </c>
      <c r="Z100" s="2">
        <v>0.2823</v>
      </c>
      <c r="AA100" s="2">
        <v>0.29959999999999998</v>
      </c>
      <c r="AB100" s="2">
        <v>17.344200000000001</v>
      </c>
    </row>
    <row r="101" spans="2:28" x14ac:dyDescent="0.4">
      <c r="B101" s="11">
        <v>84</v>
      </c>
      <c r="C101" s="16">
        <f t="shared" si="5"/>
        <v>15.129994100237781</v>
      </c>
      <c r="D101" s="17">
        <f t="shared" si="7"/>
        <v>16.811104555819757</v>
      </c>
      <c r="E101" s="17">
        <f t="shared" si="6"/>
        <v>18.492215011401733</v>
      </c>
      <c r="F101" s="2">
        <v>16.895499999999998</v>
      </c>
      <c r="G101" s="2" t="str">
        <f t="shared" si="4"/>
        <v>Pass</v>
      </c>
      <c r="Y101" s="2">
        <v>86</v>
      </c>
      <c r="Z101" s="2">
        <v>0.28060000000000002</v>
      </c>
      <c r="AA101" s="2">
        <v>0.29599999999999999</v>
      </c>
      <c r="AB101" s="2">
        <v>17.375299999999999</v>
      </c>
    </row>
    <row r="102" spans="2:28" x14ac:dyDescent="0.4">
      <c r="B102" s="11">
        <v>85</v>
      </c>
      <c r="C102" s="16">
        <f t="shared" si="5"/>
        <v>15.527834066354609</v>
      </c>
      <c r="D102" s="17">
        <f t="shared" si="7"/>
        <v>17.253148962616233</v>
      </c>
      <c r="E102" s="17">
        <f t="shared" si="6"/>
        <v>18.978463858877856</v>
      </c>
      <c r="F102" s="2">
        <v>17.344200000000001</v>
      </c>
      <c r="G102" s="2" t="str">
        <f t="shared" si="4"/>
        <v>Pass</v>
      </c>
      <c r="Y102" s="2">
        <v>87</v>
      </c>
      <c r="Z102" s="2">
        <v>0.28110000000000002</v>
      </c>
      <c r="AA102" s="2">
        <v>0.29599999999999999</v>
      </c>
      <c r="AB102" s="2">
        <v>17.883400000000002</v>
      </c>
    </row>
    <row r="103" spans="2:28" x14ac:dyDescent="0.4">
      <c r="B103" s="11">
        <v>86</v>
      </c>
      <c r="C103" s="16">
        <f t="shared" si="5"/>
        <v>15.931312911699427</v>
      </c>
      <c r="D103" s="17">
        <f t="shared" si="7"/>
        <v>17.701458790777142</v>
      </c>
      <c r="E103" s="17">
        <f t="shared" si="6"/>
        <v>19.471604669854855</v>
      </c>
      <c r="F103" s="2">
        <v>17.375299999999999</v>
      </c>
      <c r="G103" s="2" t="str">
        <f t="shared" si="4"/>
        <v>Pass</v>
      </c>
      <c r="Y103" s="2">
        <v>88</v>
      </c>
      <c r="Z103" s="2">
        <v>0.28129999999999999</v>
      </c>
      <c r="AA103" s="2">
        <v>0.29659999999999997</v>
      </c>
      <c r="AB103" s="2">
        <v>18.358799999999999</v>
      </c>
    </row>
    <row r="104" spans="2:28" x14ac:dyDescent="0.4">
      <c r="B104" s="11">
        <v>87</v>
      </c>
      <c r="C104" s="16">
        <f t="shared" si="5"/>
        <v>16.340443801916674</v>
      </c>
      <c r="D104" s="17">
        <f t="shared" si="7"/>
        <v>18.156048668796306</v>
      </c>
      <c r="E104" s="17">
        <f t="shared" si="6"/>
        <v>19.971653535675937</v>
      </c>
      <c r="F104" s="2">
        <v>17.883400000000002</v>
      </c>
      <c r="G104" s="2" t="str">
        <f t="shared" si="4"/>
        <v>Pass</v>
      </c>
      <c r="Y104" s="2">
        <v>89</v>
      </c>
      <c r="Z104" s="2">
        <v>0.28210000000000002</v>
      </c>
      <c r="AA104" s="2">
        <v>0.29730000000000001</v>
      </c>
      <c r="AB104" s="2">
        <v>18.983000000000001</v>
      </c>
    </row>
    <row r="105" spans="2:28" x14ac:dyDescent="0.4">
      <c r="B105" s="11">
        <v>88</v>
      </c>
      <c r="C105" s="16">
        <f t="shared" si="5"/>
        <v>16.755239781108738</v>
      </c>
      <c r="D105" s="17">
        <f t="shared" si="7"/>
        <v>18.616933090120821</v>
      </c>
      <c r="E105" s="17">
        <f t="shared" si="6"/>
        <v>20.478626399132903</v>
      </c>
      <c r="F105" s="2">
        <v>18.358799999999999</v>
      </c>
      <c r="G105" s="2" t="str">
        <f t="shared" si="4"/>
        <v>Pass</v>
      </c>
      <c r="Y105" s="2">
        <v>90</v>
      </c>
      <c r="Z105" s="2">
        <v>0.28239999999999998</v>
      </c>
      <c r="AA105" s="2">
        <v>0.2974</v>
      </c>
      <c r="AB105" s="2">
        <v>19.441299999999998</v>
      </c>
    </row>
    <row r="106" spans="2:28" x14ac:dyDescent="0.4">
      <c r="B106" s="11">
        <v>89</v>
      </c>
      <c r="C106" s="16">
        <f t="shared" si="5"/>
        <v>17.175713774331999</v>
      </c>
      <c r="D106" s="17">
        <f t="shared" si="7"/>
        <v>19.084126415924445</v>
      </c>
      <c r="E106" s="17">
        <f t="shared" si="6"/>
        <v>20.99253905751689</v>
      </c>
      <c r="F106" s="2">
        <v>18.983000000000001</v>
      </c>
      <c r="G106" s="2" t="str">
        <f t="shared" si="4"/>
        <v>Pass</v>
      </c>
      <c r="Y106" s="2">
        <v>91</v>
      </c>
      <c r="Z106" s="2">
        <v>0.28029999999999999</v>
      </c>
      <c r="AA106" s="2">
        <v>0.29659999999999997</v>
      </c>
      <c r="AB106" s="2">
        <v>19.927099999999999</v>
      </c>
    </row>
    <row r="107" spans="2:28" x14ac:dyDescent="0.4">
      <c r="B107" s="11">
        <v>90</v>
      </c>
      <c r="C107" s="16">
        <f t="shared" si="5"/>
        <v>17.601878590013754</v>
      </c>
      <c r="D107" s="17">
        <f t="shared" si="7"/>
        <v>19.557642877793061</v>
      </c>
      <c r="E107" s="17">
        <f t="shared" si="6"/>
        <v>21.513407165572367</v>
      </c>
      <c r="F107" s="2">
        <v>19.441299999999998</v>
      </c>
      <c r="G107" s="2" t="str">
        <f t="shared" si="4"/>
        <v>Pass</v>
      </c>
      <c r="Y107" s="2">
        <v>92</v>
      </c>
      <c r="Z107" s="2">
        <v>0.28100000000000003</v>
      </c>
      <c r="AA107" s="2">
        <v>0.29430000000000001</v>
      </c>
      <c r="AB107" s="2">
        <v>20.0624</v>
      </c>
    </row>
    <row r="108" spans="2:28" x14ac:dyDescent="0.4">
      <c r="B108" s="11">
        <v>91</v>
      </c>
      <c r="C108" s="16">
        <f t="shared" si="5"/>
        <v>18.033746922293872</v>
      </c>
      <c r="D108" s="17">
        <f t="shared" si="7"/>
        <v>20.037496580326525</v>
      </c>
      <c r="E108" s="17">
        <f t="shared" si="6"/>
        <v>22.041246238359179</v>
      </c>
      <c r="F108" s="2">
        <v>19.927099999999999</v>
      </c>
      <c r="G108" s="2" t="str">
        <f t="shared" si="4"/>
        <v>Pass</v>
      </c>
      <c r="Y108" s="2">
        <v>93</v>
      </c>
      <c r="Z108" s="2">
        <v>0.28139999999999998</v>
      </c>
      <c r="AA108" s="2">
        <v>0.29459999999999997</v>
      </c>
      <c r="AB108" s="2">
        <v>20.509799999999998</v>
      </c>
    </row>
    <row r="109" spans="2:28" x14ac:dyDescent="0.4">
      <c r="B109" s="11">
        <v>92</v>
      </c>
      <c r="C109" s="16">
        <f t="shared" si="5"/>
        <v>18.471331353294008</v>
      </c>
      <c r="D109" s="17">
        <f t="shared" si="7"/>
        <v>20.523701503660011</v>
      </c>
      <c r="E109" s="17">
        <f t="shared" si="6"/>
        <v>22.576071654026013</v>
      </c>
      <c r="F109" s="2">
        <v>20.0624</v>
      </c>
      <c r="G109" s="2" t="str">
        <f t="shared" si="4"/>
        <v>Pass</v>
      </c>
      <c r="Y109" s="2">
        <v>94</v>
      </c>
      <c r="Z109" s="2">
        <v>0.28179999999999999</v>
      </c>
      <c r="AA109" s="2">
        <v>0.29449999999999998</v>
      </c>
      <c r="AB109" s="2">
        <v>21.138200000000001</v>
      </c>
    </row>
    <row r="110" spans="2:28" x14ac:dyDescent="0.4">
      <c r="B110" s="11">
        <v>93</v>
      </c>
      <c r="C110" s="16">
        <f t="shared" si="5"/>
        <v>18.914644355317478</v>
      </c>
      <c r="D110" s="17">
        <f t="shared" si="7"/>
        <v>21.016271505908307</v>
      </c>
      <c r="E110" s="17">
        <f t="shared" si="6"/>
        <v>23.117898656499136</v>
      </c>
      <c r="F110" s="2">
        <v>20.509799999999998</v>
      </c>
      <c r="G110" s="2" t="str">
        <f t="shared" si="4"/>
        <v>Pass</v>
      </c>
      <c r="Y110" s="2">
        <v>95</v>
      </c>
      <c r="Z110" s="2">
        <v>0.28349999999999997</v>
      </c>
      <c r="AA110" s="2">
        <v>0.29870000000000002</v>
      </c>
      <c r="AB110" s="2">
        <v>21.6265</v>
      </c>
    </row>
    <row r="111" spans="2:28" x14ac:dyDescent="0.4">
      <c r="B111" s="11">
        <v>94</v>
      </c>
      <c r="C111" s="16">
        <f t="shared" si="5"/>
        <v>19.363698292982775</v>
      </c>
      <c r="D111" s="17">
        <f t="shared" si="7"/>
        <v>21.515220325536418</v>
      </c>
      <c r="E111" s="17">
        <f t="shared" si="6"/>
        <v>23.666742358090062</v>
      </c>
      <c r="F111" s="2">
        <v>21.138200000000001</v>
      </c>
      <c r="G111" s="2" t="str">
        <f t="shared" si="4"/>
        <v>Pass</v>
      </c>
      <c r="Y111" s="2">
        <v>96</v>
      </c>
      <c r="Z111" s="2">
        <v>0.28120000000000001</v>
      </c>
      <c r="AA111" s="2">
        <v>0.29659999999999997</v>
      </c>
      <c r="AB111" s="2">
        <v>21.9998</v>
      </c>
    </row>
    <row r="112" spans="2:28" x14ac:dyDescent="0.4">
      <c r="B112" s="11">
        <v>95</v>
      </c>
      <c r="C112" s="16">
        <f t="shared" si="5"/>
        <v>19.818505425293168</v>
      </c>
      <c r="D112" s="17">
        <f t="shared" si="7"/>
        <v>22.020561583659074</v>
      </c>
      <c r="E112" s="17">
        <f t="shared" si="6"/>
        <v>24.22261774202498</v>
      </c>
      <c r="F112" s="2">
        <v>21.6265</v>
      </c>
      <c r="G112" s="2" t="str">
        <f t="shared" si="4"/>
        <v>Pass</v>
      </c>
      <c r="Y112" s="2">
        <v>97</v>
      </c>
      <c r="Z112" s="2">
        <v>0.28160000000000002</v>
      </c>
      <c r="AA112" s="2">
        <v>0.29709999999999998</v>
      </c>
      <c r="AB112" s="2">
        <v>22.681000000000001</v>
      </c>
    </row>
    <row r="113" spans="2:28" x14ac:dyDescent="0.4">
      <c r="B113" s="11">
        <v>96</v>
      </c>
      <c r="C113" s="16">
        <f t="shared" si="5"/>
        <v>20.279077907645068</v>
      </c>
      <c r="D113" s="17">
        <f t="shared" si="7"/>
        <v>22.532308786272296</v>
      </c>
      <c r="E113" s="17">
        <f t="shared" si="6"/>
        <v>24.785539664899524</v>
      </c>
      <c r="F113" s="2">
        <v>21.9998</v>
      </c>
      <c r="G113" s="2" t="str">
        <f t="shared" si="4"/>
        <v>Pass</v>
      </c>
      <c r="Y113" s="2">
        <v>98</v>
      </c>
      <c r="Z113" s="2">
        <v>0.28189999999999998</v>
      </c>
      <c r="AA113" s="2">
        <v>0.29759999999999998</v>
      </c>
      <c r="AB113" s="2">
        <v>23.189299999999999</v>
      </c>
    </row>
    <row r="114" spans="2:28" x14ac:dyDescent="0.4">
      <c r="B114" s="11">
        <v>97</v>
      </c>
      <c r="C114" s="16">
        <f t="shared" si="5"/>
        <v>20.745427793777804</v>
      </c>
      <c r="D114" s="17">
        <f t="shared" si="7"/>
        <v>23.050475326419782</v>
      </c>
      <c r="E114" s="17">
        <f t="shared" si="6"/>
        <v>25.355522859061761</v>
      </c>
      <c r="F114" s="2">
        <v>22.681000000000001</v>
      </c>
      <c r="G114" s="2" t="str">
        <f t="shared" si="4"/>
        <v>Pass</v>
      </c>
      <c r="Y114" s="2">
        <v>99</v>
      </c>
      <c r="Z114" s="2">
        <v>0.28220000000000001</v>
      </c>
      <c r="AA114" s="2">
        <v>0.2979</v>
      </c>
      <c r="AB114" s="2">
        <v>23.876300000000001</v>
      </c>
    </row>
    <row r="115" spans="2:28" x14ac:dyDescent="0.4">
      <c r="B115" s="11">
        <v>98</v>
      </c>
      <c r="C115" s="16">
        <f t="shared" si="5"/>
        <v>21.21756703766663</v>
      </c>
      <c r="D115" s="17">
        <f t="shared" si="7"/>
        <v>23.575074486296256</v>
      </c>
      <c r="E115" s="17">
        <f t="shared" si="6"/>
        <v>25.932581934925881</v>
      </c>
      <c r="F115" s="2">
        <v>23.189299999999999</v>
      </c>
      <c r="G115" s="2" t="str">
        <f t="shared" si="4"/>
        <v>Pass</v>
      </c>
      <c r="Y115" s="2">
        <v>100</v>
      </c>
      <c r="Z115" s="2">
        <v>0.28249999999999997</v>
      </c>
      <c r="AA115" s="2">
        <v>0.29820000000000002</v>
      </c>
      <c r="AB115" s="2">
        <v>24.395900000000001</v>
      </c>
    </row>
    <row r="116" spans="2:28" x14ac:dyDescent="0.4">
      <c r="B116" s="11">
        <v>99</v>
      </c>
      <c r="C116" s="16">
        <f t="shared" si="5"/>
        <v>21.695507495361703</v>
      </c>
      <c r="D116" s="17">
        <f t="shared" si="7"/>
        <v>24.106119439290779</v>
      </c>
      <c r="E116" s="17">
        <f t="shared" si="6"/>
        <v>26.516731383219856</v>
      </c>
      <c r="F116" s="2">
        <v>23.876300000000001</v>
      </c>
      <c r="G116" s="2" t="str">
        <f t="shared" si="4"/>
        <v>Pass</v>
      </c>
      <c r="Y116" s="2">
        <v>101</v>
      </c>
      <c r="Z116" s="2">
        <v>0.28189999999999998</v>
      </c>
      <c r="AA116" s="2">
        <v>0.29670000000000002</v>
      </c>
      <c r="AB116" s="2">
        <v>24.403300000000002</v>
      </c>
    </row>
    <row r="117" spans="2:28" x14ac:dyDescent="0.4">
      <c r="B117" s="11">
        <v>100</v>
      </c>
      <c r="C117" s="16">
        <f t="shared" si="5"/>
        <v>22.179260926774653</v>
      </c>
      <c r="D117" s="17">
        <f t="shared" si="7"/>
        <v>24.643623251971839</v>
      </c>
      <c r="E117" s="17">
        <f t="shared" si="6"/>
        <v>27.107985577169025</v>
      </c>
      <c r="F117" s="2">
        <v>24.395900000000001</v>
      </c>
      <c r="G117" s="2" t="str">
        <f t="shared" si="4"/>
        <v>Pass</v>
      </c>
      <c r="Y117" s="2">
        <v>102</v>
      </c>
      <c r="Z117" s="2">
        <v>0.2823</v>
      </c>
      <c r="AA117" s="2">
        <v>0.29720000000000002</v>
      </c>
      <c r="AB117" s="2">
        <v>25.097200000000001</v>
      </c>
    </row>
    <row r="118" spans="2:28" x14ac:dyDescent="0.4">
      <c r="B118" s="11">
        <v>101</v>
      </c>
      <c r="C118" s="16">
        <f t="shared" si="5"/>
        <v>22.668838997415168</v>
      </c>
      <c r="D118" s="17">
        <f t="shared" si="7"/>
        <v>25.187598886016854</v>
      </c>
      <c r="E118" s="17">
        <f t="shared" si="6"/>
        <v>27.70635877461854</v>
      </c>
      <c r="F118" s="2">
        <v>24.403300000000002</v>
      </c>
      <c r="G118" s="2" t="str">
        <f t="shared" si="4"/>
        <v>Pass</v>
      </c>
      <c r="Y118" s="2">
        <v>103</v>
      </c>
      <c r="Z118" s="2">
        <v>0.28239999999999998</v>
      </c>
      <c r="AA118" s="2">
        <v>0.29730000000000001</v>
      </c>
      <c r="AB118" s="2">
        <v>25.566700000000001</v>
      </c>
    </row>
    <row r="119" spans="2:28" x14ac:dyDescent="0.4">
      <c r="B119" s="11">
        <v>102</v>
      </c>
      <c r="C119" s="16">
        <f t="shared" si="5"/>
        <v>23.164253280079073</v>
      </c>
      <c r="D119" s="17">
        <f t="shared" si="7"/>
        <v>25.738059200087861</v>
      </c>
      <c r="E119" s="17">
        <f t="shared" si="6"/>
        <v>28.311865120096648</v>
      </c>
      <c r="F119" s="2">
        <v>25.097200000000001</v>
      </c>
      <c r="G119" s="2" t="str">
        <f t="shared" si="4"/>
        <v>Pass</v>
      </c>
      <c r="Y119" s="2">
        <v>104</v>
      </c>
      <c r="Z119" s="2">
        <v>0.28179999999999999</v>
      </c>
      <c r="AA119" s="2">
        <v>0.29749999999999999</v>
      </c>
      <c r="AB119" s="2">
        <v>26.225899999999999</v>
      </c>
    </row>
    <row r="120" spans="2:28" x14ac:dyDescent="0.4">
      <c r="B120" s="11">
        <v>103</v>
      </c>
      <c r="C120" s="16">
        <f t="shared" si="5"/>
        <v>23.665515256490096</v>
      </c>
      <c r="D120" s="17">
        <f t="shared" si="7"/>
        <v>26.295016951655661</v>
      </c>
      <c r="E120" s="17">
        <f t="shared" si="6"/>
        <v>28.924518646821227</v>
      </c>
      <c r="F120" s="2">
        <v>25.566700000000001</v>
      </c>
      <c r="G120" s="2" t="str">
        <f t="shared" si="4"/>
        <v>Pass</v>
      </c>
      <c r="Y120" s="2">
        <v>105</v>
      </c>
      <c r="Z120" s="2">
        <v>0.28220000000000001</v>
      </c>
      <c r="AA120" s="2">
        <v>0.29759999999999998</v>
      </c>
      <c r="AB120" s="2">
        <v>26.825299999999999</v>
      </c>
    </row>
    <row r="121" spans="2:28" x14ac:dyDescent="0.4">
      <c r="B121" s="11">
        <v>104</v>
      </c>
      <c r="C121" s="16">
        <f t="shared" si="5"/>
        <v>24.172636318896615</v>
      </c>
      <c r="D121" s="17">
        <f t="shared" si="7"/>
        <v>26.858484798774015</v>
      </c>
      <c r="E121" s="17">
        <f t="shared" si="6"/>
        <v>29.544333278651415</v>
      </c>
      <c r="F121" s="2">
        <v>26.225899999999999</v>
      </c>
      <c r="G121" s="2" t="str">
        <f t="shared" si="4"/>
        <v>Pass</v>
      </c>
      <c r="Y121" s="2">
        <v>106</v>
      </c>
      <c r="Z121" s="2">
        <v>0.28050000000000003</v>
      </c>
      <c r="AA121" s="2">
        <v>0.29709999999999998</v>
      </c>
      <c r="AB121" s="2">
        <v>27.424299999999999</v>
      </c>
    </row>
    <row r="122" spans="2:28" x14ac:dyDescent="0.4">
      <c r="B122" s="11">
        <v>105</v>
      </c>
      <c r="C122" s="16">
        <f t="shared" si="5"/>
        <v>24.68562777162558</v>
      </c>
      <c r="D122" s="17">
        <f t="shared" si="7"/>
        <v>27.428475301806198</v>
      </c>
      <c r="E122" s="17">
        <f t="shared" si="6"/>
        <v>30.171322831986817</v>
      </c>
      <c r="F122" s="2">
        <v>26.825299999999999</v>
      </c>
      <c r="G122" s="2" t="str">
        <f t="shared" si="4"/>
        <v>Pass</v>
      </c>
      <c r="Y122" s="2">
        <v>107</v>
      </c>
      <c r="Z122" s="2">
        <v>0.28079999999999999</v>
      </c>
      <c r="AA122" s="2">
        <v>0.29730000000000001</v>
      </c>
      <c r="AB122" s="2">
        <v>27.997599999999998</v>
      </c>
    </row>
    <row r="123" spans="2:28" x14ac:dyDescent="0.4">
      <c r="B123" s="11">
        <v>106</v>
      </c>
      <c r="C123" s="16">
        <f t="shared" si="5"/>
        <v>25.204500832594576</v>
      </c>
      <c r="D123" s="17">
        <f t="shared" si="7"/>
        <v>28.005000925105083</v>
      </c>
      <c r="E123" s="17">
        <f t="shared" si="6"/>
        <v>30.80550101761559</v>
      </c>
      <c r="F123" s="2">
        <v>27.424299999999999</v>
      </c>
      <c r="G123" s="2" t="str">
        <f t="shared" si="4"/>
        <v>Pass</v>
      </c>
      <c r="Y123" s="2">
        <v>108</v>
      </c>
      <c r="Z123" s="2">
        <v>0.28120000000000001</v>
      </c>
      <c r="AA123" s="2">
        <v>0.29749999999999999</v>
      </c>
      <c r="AB123" s="2">
        <v>28.7546</v>
      </c>
    </row>
    <row r="124" spans="2:28" x14ac:dyDescent="0.4">
      <c r="B124" s="11">
        <v>107</v>
      </c>
      <c r="C124" s="16">
        <f t="shared" si="5"/>
        <v>25.729266634783968</v>
      </c>
      <c r="D124" s="17">
        <f t="shared" si="7"/>
        <v>28.588074038648855</v>
      </c>
      <c r="E124" s="17">
        <f t="shared" si="6"/>
        <v>31.446881442513742</v>
      </c>
      <c r="F124" s="2">
        <v>27.997599999999998</v>
      </c>
      <c r="G124" s="2" t="str">
        <f t="shared" si="4"/>
        <v>Pass</v>
      </c>
      <c r="Y124" s="2">
        <v>109</v>
      </c>
      <c r="Z124" s="2">
        <v>0.28139999999999998</v>
      </c>
      <c r="AA124" s="2">
        <v>0.29770000000000002</v>
      </c>
      <c r="AB124" s="2">
        <v>29.301200000000001</v>
      </c>
    </row>
    <row r="125" spans="2:28" x14ac:dyDescent="0.4">
      <c r="B125" s="11">
        <v>108</v>
      </c>
      <c r="C125" s="16">
        <f t="shared" si="5"/>
        <v>26.259936227670373</v>
      </c>
      <c r="D125" s="17">
        <f t="shared" si="7"/>
        <v>29.177706919633746</v>
      </c>
      <c r="E125" s="17">
        <f t="shared" si="6"/>
        <v>32.095477611597119</v>
      </c>
      <c r="F125" s="2">
        <v>28.7546</v>
      </c>
      <c r="G125" s="2" t="str">
        <f t="shared" si="4"/>
        <v>Pass</v>
      </c>
      <c r="Y125" s="2">
        <v>110</v>
      </c>
      <c r="Z125" s="2">
        <v>0.28239999999999998</v>
      </c>
      <c r="AA125" s="2">
        <v>0.29809999999999998</v>
      </c>
      <c r="AB125" s="2">
        <v>30.1418</v>
      </c>
    </row>
    <row r="126" spans="2:28" x14ac:dyDescent="0.4">
      <c r="B126" s="11">
        <v>109</v>
      </c>
      <c r="C126" s="16">
        <f t="shared" si="5"/>
        <v>26.796520578622818</v>
      </c>
      <c r="D126" s="17">
        <f t="shared" si="7"/>
        <v>29.773911754025352</v>
      </c>
      <c r="E126" s="17">
        <f t="shared" si="6"/>
        <v>32.751302929427887</v>
      </c>
      <c r="F126" s="2">
        <v>29.301200000000001</v>
      </c>
      <c r="G126" s="2" t="str">
        <f t="shared" si="4"/>
        <v>Pass</v>
      </c>
      <c r="Y126" s="2">
        <v>111</v>
      </c>
      <c r="Z126" s="2">
        <v>0.28270000000000001</v>
      </c>
      <c r="AA126" s="2">
        <v>0.29820000000000002</v>
      </c>
      <c r="AB126" s="2">
        <v>30.6584</v>
      </c>
    </row>
    <row r="127" spans="2:28" x14ac:dyDescent="0.4">
      <c r="B127" s="11">
        <v>110</v>
      </c>
      <c r="C127" s="16">
        <f t="shared" si="5"/>
        <v>27.339030574262932</v>
      </c>
      <c r="D127" s="17">
        <f t="shared" si="7"/>
        <v>30.376700638069924</v>
      </c>
      <c r="E127" s="17">
        <f t="shared" si="6"/>
        <v>33.414370701876919</v>
      </c>
      <c r="F127" s="2">
        <v>30.1418</v>
      </c>
      <c r="G127" s="2" t="str">
        <f t="shared" si="4"/>
        <v>Pass</v>
      </c>
      <c r="Y127" s="2">
        <v>112</v>
      </c>
      <c r="Z127" s="2">
        <v>0.28299999999999997</v>
      </c>
      <c r="AA127" s="2">
        <v>0.29849999999999999</v>
      </c>
      <c r="AB127" s="2">
        <v>31.239000000000001</v>
      </c>
    </row>
    <row r="128" spans="2:28" x14ac:dyDescent="0.4">
      <c r="B128" s="11">
        <v>111</v>
      </c>
      <c r="C128" s="16">
        <f t="shared" si="5"/>
        <v>27.88747702179046</v>
      </c>
      <c r="D128" s="17">
        <f t="shared" si="7"/>
        <v>30.986085579767177</v>
      </c>
      <c r="E128" s="17">
        <f t="shared" si="6"/>
        <v>34.084694137743895</v>
      </c>
      <c r="F128" s="2">
        <v>30.6584</v>
      </c>
      <c r="G128" s="2" t="str">
        <f t="shared" si="4"/>
        <v>Pass</v>
      </c>
      <c r="Y128" s="2">
        <v>113</v>
      </c>
      <c r="Z128" s="2">
        <v>0.28100000000000003</v>
      </c>
      <c r="AA128" s="2">
        <v>0.29649999999999999</v>
      </c>
      <c r="AB128" s="2">
        <v>31.879000000000001</v>
      </c>
    </row>
    <row r="129" spans="2:28" x14ac:dyDescent="0.4">
      <c r="B129" s="11">
        <v>112</v>
      </c>
      <c r="C129" s="16">
        <f t="shared" si="5"/>
        <v>28.441870650275099</v>
      </c>
      <c r="D129" s="17">
        <f t="shared" si="7"/>
        <v>31.602078500305666</v>
      </c>
      <c r="E129" s="17">
        <f t="shared" si="6"/>
        <v>34.762286350336232</v>
      </c>
      <c r="F129" s="2">
        <v>31.239000000000001</v>
      </c>
      <c r="G129" s="2" t="str">
        <f t="shared" si="4"/>
        <v>Pass</v>
      </c>
      <c r="Y129" s="2">
        <v>114</v>
      </c>
      <c r="Z129" s="2">
        <v>0.28120000000000001</v>
      </c>
      <c r="AA129" s="2">
        <v>0.29670000000000002</v>
      </c>
      <c r="AB129" s="2">
        <v>32.6706</v>
      </c>
    </row>
    <row r="130" spans="2:28" x14ac:dyDescent="0.4">
      <c r="B130" s="11">
        <v>113</v>
      </c>
      <c r="C130" s="16">
        <f t="shared" si="5"/>
        <v>29.002222111916115</v>
      </c>
      <c r="D130" s="17">
        <f t="shared" si="7"/>
        <v>32.224691235462352</v>
      </c>
      <c r="E130" s="17">
        <f t="shared" si="6"/>
        <v>35.447160359008585</v>
      </c>
      <c r="F130" s="2">
        <v>31.879000000000001</v>
      </c>
      <c r="G130" s="2" t="str">
        <f t="shared" si="4"/>
        <v>Pass</v>
      </c>
      <c r="Y130" s="2">
        <v>115</v>
      </c>
      <c r="Z130" s="2">
        <v>0.28139999999999998</v>
      </c>
      <c r="AA130" s="2">
        <v>0.29699999999999999</v>
      </c>
      <c r="AB130" s="2">
        <v>33.297800000000002</v>
      </c>
    </row>
    <row r="131" spans="2:28" x14ac:dyDescent="0.4">
      <c r="B131" s="11">
        <v>114</v>
      </c>
      <c r="C131" s="16">
        <f t="shared" si="5"/>
        <v>29.568541983270507</v>
      </c>
      <c r="D131" s="17">
        <f t="shared" si="7"/>
        <v>32.853935536967228</v>
      </c>
      <c r="E131" s="17">
        <f t="shared" si="6"/>
        <v>36.139329090663949</v>
      </c>
      <c r="F131" s="2">
        <v>32.6706</v>
      </c>
      <c r="G131" s="2" t="str">
        <f t="shared" si="4"/>
        <v>Pass</v>
      </c>
      <c r="Y131" s="2">
        <v>116</v>
      </c>
      <c r="Z131" s="2">
        <v>0.28120000000000001</v>
      </c>
      <c r="AA131" s="2">
        <v>0.29770000000000002</v>
      </c>
      <c r="AB131" s="2">
        <v>34.052100000000003</v>
      </c>
    </row>
    <row r="132" spans="2:28" x14ac:dyDescent="0.4">
      <c r="B132" s="11">
        <v>115</v>
      </c>
      <c r="C132" s="16">
        <f t="shared" si="5"/>
        <v>30.140840766450978</v>
      </c>
      <c r="D132" s="17">
        <f t="shared" si="7"/>
        <v>33.489823073834422</v>
      </c>
      <c r="E132" s="17">
        <f t="shared" si="6"/>
        <v>36.838805381217867</v>
      </c>
      <c r="F132" s="2">
        <v>33.297800000000002</v>
      </c>
      <c r="G132" s="2" t="str">
        <f t="shared" si="4"/>
        <v>Pass</v>
      </c>
      <c r="Y132" s="2">
        <v>117</v>
      </c>
      <c r="Z132" s="2">
        <v>0.28129999999999999</v>
      </c>
      <c r="AA132" s="2">
        <v>0.29770000000000002</v>
      </c>
      <c r="AB132" s="2">
        <v>34.706699999999998</v>
      </c>
    </row>
    <row r="133" spans="2:28" x14ac:dyDescent="0.4">
      <c r="B133" s="11">
        <v>116</v>
      </c>
      <c r="C133" s="16">
        <f t="shared" si="5"/>
        <v>30.719128890294677</v>
      </c>
      <c r="D133" s="17">
        <f t="shared" si="7"/>
        <v>34.132365433660752</v>
      </c>
      <c r="E133" s="17">
        <f t="shared" si="6"/>
        <v>37.545601977026827</v>
      </c>
      <c r="F133" s="2">
        <v>34.052100000000003</v>
      </c>
      <c r="G133" s="2" t="str">
        <f t="shared" si="4"/>
        <v>Pass</v>
      </c>
      <c r="Y133" s="2">
        <v>118</v>
      </c>
      <c r="Z133" s="2">
        <v>0.28120000000000001</v>
      </c>
      <c r="AA133" s="2">
        <v>0.2974</v>
      </c>
      <c r="AB133" s="2">
        <v>35.664700000000003</v>
      </c>
    </row>
    <row r="134" spans="2:28" x14ac:dyDescent="0.4">
      <c r="B134" s="11">
        <v>117</v>
      </c>
      <c r="C134" s="16">
        <f t="shared" si="5"/>
        <v>31.303416711503541</v>
      </c>
      <c r="D134" s="17">
        <f t="shared" si="7"/>
        <v>34.781574123892824</v>
      </c>
      <c r="E134" s="17">
        <f t="shared" si="6"/>
        <v>38.259731536282104</v>
      </c>
      <c r="F134" s="2">
        <v>34.706699999999998</v>
      </c>
      <c r="G134" s="2" t="str">
        <f t="shared" si="4"/>
        <v>Pass</v>
      </c>
      <c r="Y134" s="2">
        <v>119</v>
      </c>
      <c r="Z134" s="2">
        <v>0.28139999999999998</v>
      </c>
      <c r="AA134" s="2">
        <v>0.29770000000000002</v>
      </c>
      <c r="AB134" s="2">
        <v>36.315600000000003</v>
      </c>
    </row>
    <row r="135" spans="2:28" x14ac:dyDescent="0.4">
      <c r="B135" s="11">
        <v>118</v>
      </c>
      <c r="C135" s="16">
        <f t="shared" si="5"/>
        <v>31.893714515757424</v>
      </c>
      <c r="D135" s="17">
        <f t="shared" si="7"/>
        <v>35.437460573063802</v>
      </c>
      <c r="E135" s="17">
        <f t="shared" si="6"/>
        <v>38.981206630370181</v>
      </c>
      <c r="F135" s="2">
        <v>35.664700000000003</v>
      </c>
      <c r="G135" s="2" t="str">
        <f t="shared" si="4"/>
        <v>Pass</v>
      </c>
      <c r="Y135" s="2">
        <v>120</v>
      </c>
      <c r="Z135" s="2">
        <v>0.28170000000000001</v>
      </c>
      <c r="AA135" s="2">
        <v>0.29799999999999999</v>
      </c>
      <c r="AB135" s="2">
        <v>36.9251</v>
      </c>
    </row>
    <row r="136" spans="2:28" x14ac:dyDescent="0.4">
      <c r="B136" s="11">
        <v>119</v>
      </c>
      <c r="C136" s="16">
        <f t="shared" si="5"/>
        <v>32.490032518800568</v>
      </c>
      <c r="D136" s="17">
        <f t="shared" si="7"/>
        <v>36.100036132000632</v>
      </c>
      <c r="E136" s="17">
        <f t="shared" si="6"/>
        <v>39.710039745200696</v>
      </c>
      <c r="F136" s="2">
        <v>36.315600000000003</v>
      </c>
      <c r="G136" s="2" t="str">
        <f t="shared" si="4"/>
        <v>Pass</v>
      </c>
      <c r="Y136" s="2">
        <v>121</v>
      </c>
      <c r="Z136" s="2">
        <v>0.28189999999999998</v>
      </c>
      <c r="AA136" s="2">
        <v>0.29820000000000002</v>
      </c>
      <c r="AB136" s="2">
        <v>37.892000000000003</v>
      </c>
    </row>
    <row r="137" spans="2:28" x14ac:dyDescent="0.4">
      <c r="B137" s="11">
        <v>120</v>
      </c>
      <c r="C137" s="16">
        <f t="shared" si="5"/>
        <v>33.092380867502548</v>
      </c>
      <c r="D137" s="17">
        <f t="shared" si="7"/>
        <v>36.76931207500283</v>
      </c>
      <c r="E137" s="17">
        <f t="shared" si="6"/>
        <v>40.446243282503112</v>
      </c>
      <c r="F137" s="2">
        <v>36.9251</v>
      </c>
      <c r="G137" s="2" t="str">
        <f t="shared" si="4"/>
        <v>Pass</v>
      </c>
      <c r="Y137" s="2">
        <v>122</v>
      </c>
      <c r="Z137" s="2">
        <v>0.28210000000000002</v>
      </c>
      <c r="AA137" s="2">
        <v>0.29849999999999999</v>
      </c>
      <c r="AB137" s="2">
        <v>38.532499999999999</v>
      </c>
    </row>
    <row r="138" spans="2:28" x14ac:dyDescent="0.4">
      <c r="B138" s="11">
        <v>121</v>
      </c>
      <c r="C138" s="16">
        <f t="shared" si="5"/>
        <v>33.700769640894364</v>
      </c>
      <c r="D138" s="17">
        <f t="shared" si="7"/>
        <v>37.445299600993735</v>
      </c>
      <c r="E138" s="17">
        <f t="shared" si="6"/>
        <v>41.189829561093106</v>
      </c>
      <c r="F138" s="2">
        <v>37.892000000000003</v>
      </c>
      <c r="G138" s="2" t="str">
        <f t="shared" si="4"/>
        <v>Pass</v>
      </c>
      <c r="Y138" s="2">
        <v>123</v>
      </c>
      <c r="Z138" s="2">
        <v>0.28239999999999998</v>
      </c>
      <c r="AA138" s="2">
        <v>0.29880000000000001</v>
      </c>
      <c r="AB138" s="2">
        <v>39.360700000000001</v>
      </c>
    </row>
    <row r="139" spans="2:28" x14ac:dyDescent="0.4">
      <c r="B139" s="11">
        <v>122</v>
      </c>
      <c r="C139" s="16">
        <f t="shared" si="5"/>
        <v>34.315208851180458</v>
      </c>
      <c r="D139" s="17">
        <f t="shared" si="7"/>
        <v>38.128009834644956</v>
      </c>
      <c r="E139" s="17">
        <f t="shared" si="6"/>
        <v>41.940810818109455</v>
      </c>
      <c r="F139" s="2">
        <v>38.532499999999999</v>
      </c>
      <c r="G139" s="2" t="str">
        <f t="shared" si="4"/>
        <v>Pass</v>
      </c>
      <c r="Y139" s="2">
        <v>124</v>
      </c>
      <c r="Z139" s="2">
        <v>0.28270000000000001</v>
      </c>
      <c r="AA139" s="2">
        <v>0.29909999999999998</v>
      </c>
      <c r="AB139" s="2">
        <v>40.024500000000003</v>
      </c>
    </row>
    <row r="140" spans="2:28" x14ac:dyDescent="0.4">
      <c r="B140" s="11">
        <v>123</v>
      </c>
      <c r="C140" s="16">
        <f t="shared" si="5"/>
        <v>34.935708444727503</v>
      </c>
      <c r="D140" s="17">
        <f t="shared" si="7"/>
        <v>38.817453827475006</v>
      </c>
      <c r="E140" s="17">
        <f t="shared" si="6"/>
        <v>42.69919921022251</v>
      </c>
      <c r="F140" s="2">
        <v>39.360700000000001</v>
      </c>
      <c r="G140" s="2" t="str">
        <f t="shared" si="4"/>
        <v>Pass</v>
      </c>
      <c r="Y140" s="2">
        <v>125</v>
      </c>
      <c r="Z140" s="2">
        <v>0.28320000000000001</v>
      </c>
      <c r="AA140" s="2">
        <v>0.29980000000000001</v>
      </c>
      <c r="AB140" s="2">
        <v>40.915300000000002</v>
      </c>
    </row>
    <row r="141" spans="2:28" x14ac:dyDescent="0.4">
      <c r="B141" s="11">
        <v>124</v>
      </c>
      <c r="C141" s="16">
        <f t="shared" si="5"/>
        <v>35.56227830303051</v>
      </c>
      <c r="D141" s="17">
        <f t="shared" si="7"/>
        <v>39.51364255892279</v>
      </c>
      <c r="E141" s="17">
        <f t="shared" si="6"/>
        <v>43.465006814815069</v>
      </c>
      <c r="F141" s="2">
        <v>40.024500000000003</v>
      </c>
      <c r="G141" s="2" t="str">
        <f t="shared" si="4"/>
        <v>Pass</v>
      </c>
      <c r="Y141" s="2">
        <v>126</v>
      </c>
      <c r="Z141" s="2">
        <v>0.28360000000000002</v>
      </c>
      <c r="AA141" s="2">
        <v>0.3004</v>
      </c>
      <c r="AB141" s="2">
        <v>41.587000000000003</v>
      </c>
    </row>
    <row r="142" spans="2:28" x14ac:dyDescent="0.4">
      <c r="B142" s="11">
        <v>125</v>
      </c>
      <c r="C142" s="16">
        <f t="shared" si="5"/>
        <v>36.194928243657159</v>
      </c>
      <c r="D142" s="17">
        <f t="shared" si="7"/>
        <v>40.216586937396848</v>
      </c>
      <c r="E142" s="17">
        <f t="shared" si="6"/>
        <v>44.238245631136536</v>
      </c>
      <c r="F142" s="2">
        <v>40.915300000000002</v>
      </c>
      <c r="G142" s="2" t="str">
        <f t="shared" si="4"/>
        <v>Pass</v>
      </c>
      <c r="Y142" s="2">
        <v>127</v>
      </c>
      <c r="Z142" s="2">
        <v>0.2838</v>
      </c>
      <c r="AA142" s="2">
        <v>0.30059999999999998</v>
      </c>
      <c r="AB142" s="2">
        <v>42.298699999999997</v>
      </c>
    </row>
    <row r="143" spans="2:28" x14ac:dyDescent="0.4">
      <c r="B143" s="11">
        <v>126</v>
      </c>
      <c r="C143" s="16">
        <f t="shared" si="5"/>
        <v>36.833668021170929</v>
      </c>
      <c r="D143" s="17">
        <f t="shared" si="7"/>
        <v>40.926297801301033</v>
      </c>
      <c r="E143" s="17">
        <f t="shared" si="6"/>
        <v>45.018927581431136</v>
      </c>
      <c r="F143" s="2">
        <v>41.587000000000003</v>
      </c>
      <c r="G143" s="2" t="str">
        <f t="shared" si="4"/>
        <v>Pass</v>
      </c>
      <c r="Y143" s="2">
        <v>128</v>
      </c>
      <c r="Z143" s="2">
        <v>0.28410000000000002</v>
      </c>
      <c r="AA143" s="2">
        <v>0.30080000000000001</v>
      </c>
      <c r="AB143" s="2">
        <v>43.260100000000001</v>
      </c>
    </row>
    <row r="144" spans="2:28" x14ac:dyDescent="0.4">
      <c r="B144" s="11">
        <v>127</v>
      </c>
      <c r="C144" s="16">
        <f t="shared" si="5"/>
        <v>37.478507328033572</v>
      </c>
      <c r="D144" s="17">
        <f t="shared" si="7"/>
        <v>41.642785920037305</v>
      </c>
      <c r="E144" s="17">
        <f t="shared" si="6"/>
        <v>45.807064512041038</v>
      </c>
      <c r="F144" s="2">
        <v>42.298699999999997</v>
      </c>
      <c r="G144" s="2" t="str">
        <f t="shared" si="4"/>
        <v>Pass</v>
      </c>
      <c r="Y144" s="2">
        <v>129</v>
      </c>
      <c r="Z144" s="2">
        <v>0.28420000000000001</v>
      </c>
      <c r="AA144" s="2">
        <v>0.3009</v>
      </c>
      <c r="AB144" s="2">
        <v>44.0045</v>
      </c>
    </row>
    <row r="145" spans="2:28" x14ac:dyDescent="0.4">
      <c r="B145" s="11">
        <v>128</v>
      </c>
      <c r="C145" s="16">
        <f t="shared" si="5"/>
        <v>38.129455795487644</v>
      </c>
      <c r="D145" s="17">
        <f t="shared" si="7"/>
        <v>42.366061994986268</v>
      </c>
      <c r="E145" s="17">
        <f t="shared" si="6"/>
        <v>46.602668194484892</v>
      </c>
      <c r="F145" s="2">
        <v>43.260100000000001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0.28449999999999998</v>
      </c>
      <c r="AA145" s="2">
        <v>0.30099999999999999</v>
      </c>
      <c r="AB145" s="2">
        <v>44.893799999999999</v>
      </c>
    </row>
    <row r="146" spans="2:28" x14ac:dyDescent="0.4">
      <c r="B146" s="11">
        <v>129</v>
      </c>
      <c r="C146" s="16">
        <f t="shared" ref="C146:C209" si="9">D146-D146*(C$14/100)</f>
        <v>38.786522994419769</v>
      </c>
      <c r="D146" s="17">
        <f t="shared" si="7"/>
        <v>43.096136660466414</v>
      </c>
      <c r="E146" s="17">
        <f t="shared" ref="E146:E209" si="10">D146+D146*(C$14/100)</f>
        <v>47.405750326513058</v>
      </c>
      <c r="F146" s="2">
        <v>44.0045</v>
      </c>
      <c r="G146" s="2" t="str">
        <f t="shared" si="8"/>
        <v>Pass</v>
      </c>
      <c r="Y146" s="2">
        <v>131</v>
      </c>
      <c r="Z146" s="2">
        <v>0.28470000000000001</v>
      </c>
      <c r="AA146" s="2">
        <v>0.30099999999999999</v>
      </c>
      <c r="AB146" s="2">
        <v>45.613300000000002</v>
      </c>
    </row>
    <row r="147" spans="2:28" x14ac:dyDescent="0.4">
      <c r="B147" s="11">
        <v>130</v>
      </c>
      <c r="C147" s="16">
        <f t="shared" si="9"/>
        <v>39.44971843620506</v>
      </c>
      <c r="D147" s="17">
        <f t="shared" ref="D147:D210" si="11">D$272*((B147+F$17)/B$272)^C$13</f>
        <v>43.833020484672289</v>
      </c>
      <c r="E147" s="17">
        <f t="shared" si="10"/>
        <v>48.216322533139518</v>
      </c>
      <c r="F147" s="2">
        <v>44.893799999999999</v>
      </c>
      <c r="G147" s="2" t="str">
        <f t="shared" si="8"/>
        <v>Pass</v>
      </c>
      <c r="Y147" s="2">
        <v>132</v>
      </c>
      <c r="Z147" s="2">
        <v>0.2848</v>
      </c>
      <c r="AA147" s="2">
        <v>0.30080000000000001</v>
      </c>
      <c r="AB147" s="2">
        <v>46.629300000000001</v>
      </c>
    </row>
    <row r="148" spans="2:28" x14ac:dyDescent="0.4">
      <c r="B148" s="11">
        <v>131</v>
      </c>
      <c r="C148" s="16">
        <f t="shared" si="9"/>
        <v>40.11905157353327</v>
      </c>
      <c r="D148" s="17">
        <f t="shared" si="11"/>
        <v>44.576723970592525</v>
      </c>
      <c r="E148" s="17">
        <f t="shared" si="10"/>
        <v>49.03439636765178</v>
      </c>
      <c r="F148" s="2">
        <v>45.613300000000002</v>
      </c>
      <c r="G148" s="2" t="str">
        <f t="shared" si="8"/>
        <v>Pass</v>
      </c>
      <c r="Y148" s="2">
        <v>133</v>
      </c>
      <c r="Z148" s="2">
        <v>0.28460000000000002</v>
      </c>
      <c r="AA148" s="2">
        <v>0.30030000000000001</v>
      </c>
      <c r="AB148" s="2">
        <v>47.401600000000002</v>
      </c>
    </row>
    <row r="149" spans="2:28" x14ac:dyDescent="0.4">
      <c r="B149" s="11">
        <v>132</v>
      </c>
      <c r="C149" s="16">
        <f t="shared" si="9"/>
        <v>40.794531801217282</v>
      </c>
      <c r="D149" s="17">
        <f t="shared" si="11"/>
        <v>45.327257556908094</v>
      </c>
      <c r="E149" s="17">
        <f t="shared" si="10"/>
        <v>49.859983312598906</v>
      </c>
      <c r="F149" s="2">
        <v>46.629300000000001</v>
      </c>
      <c r="G149" s="2" t="str">
        <f t="shared" si="8"/>
        <v>Pass</v>
      </c>
      <c r="Y149" s="2">
        <v>134</v>
      </c>
      <c r="Z149" s="2">
        <v>0.28489999999999999</v>
      </c>
      <c r="AA149" s="2">
        <v>0.2989</v>
      </c>
      <c r="AB149" s="2">
        <v>47.6997</v>
      </c>
    </row>
    <row r="150" spans="2:28" x14ac:dyDescent="0.4">
      <c r="B150" s="11">
        <v>133</v>
      </c>
      <c r="C150" s="16">
        <f t="shared" si="9"/>
        <v>41.476168456984411</v>
      </c>
      <c r="D150" s="17">
        <f t="shared" si="11"/>
        <v>46.084631618871569</v>
      </c>
      <c r="E150" s="17">
        <f t="shared" si="10"/>
        <v>50.693094780758727</v>
      </c>
      <c r="F150" s="2">
        <v>47.401600000000002</v>
      </c>
      <c r="G150" s="2" t="str">
        <f t="shared" si="8"/>
        <v>Pass</v>
      </c>
      <c r="Y150" s="2">
        <v>135</v>
      </c>
      <c r="Z150" s="2">
        <v>0.28510000000000002</v>
      </c>
      <c r="AA150" s="2">
        <v>0.2989</v>
      </c>
      <c r="AB150" s="2">
        <v>48.457999999999998</v>
      </c>
    </row>
    <row r="151" spans="2:28" x14ac:dyDescent="0.4">
      <c r="B151" s="11">
        <v>134</v>
      </c>
      <c r="C151" s="16">
        <f t="shared" si="9"/>
        <v>42.163970822250946</v>
      </c>
      <c r="D151" s="17">
        <f t="shared" si="11"/>
        <v>46.848856469167714</v>
      </c>
      <c r="E151" s="17">
        <f t="shared" si="10"/>
        <v>51.533742116084483</v>
      </c>
      <c r="F151" s="2">
        <v>47.6997</v>
      </c>
      <c r="G151" s="2" t="str">
        <f t="shared" si="8"/>
        <v>Pass</v>
      </c>
      <c r="Y151" s="2">
        <v>136</v>
      </c>
      <c r="Z151" s="2">
        <v>0.2853</v>
      </c>
      <c r="AA151" s="2">
        <v>0.29899999999999999</v>
      </c>
      <c r="AB151" s="2">
        <v>49.4587</v>
      </c>
    </row>
    <row r="152" spans="2:28" x14ac:dyDescent="0.4">
      <c r="B152" s="11">
        <v>135</v>
      </c>
      <c r="C152" s="16">
        <f t="shared" si="9"/>
        <v>42.857948122880529</v>
      </c>
      <c r="D152" s="17">
        <f t="shared" si="11"/>
        <v>47.619942358756141</v>
      </c>
      <c r="E152" s="17">
        <f t="shared" si="10"/>
        <v>52.381936594631753</v>
      </c>
      <c r="F152" s="2">
        <v>48.457999999999998</v>
      </c>
      <c r="G152" s="2" t="str">
        <f t="shared" si="8"/>
        <v>Pass</v>
      </c>
      <c r="Y152" s="2">
        <v>137</v>
      </c>
      <c r="Z152" s="2">
        <v>0.28539999999999999</v>
      </c>
      <c r="AA152" s="2">
        <v>0.29909999999999998</v>
      </c>
      <c r="AB152" s="2">
        <v>50.228499999999997</v>
      </c>
    </row>
    <row r="153" spans="2:28" x14ac:dyDescent="0.4">
      <c r="B153" s="11">
        <v>136</v>
      </c>
      <c r="C153" s="16">
        <f t="shared" si="9"/>
        <v>43.558109529926782</v>
      </c>
      <c r="D153" s="17">
        <f t="shared" si="11"/>
        <v>48.397899477696427</v>
      </c>
      <c r="E153" s="17">
        <f t="shared" si="10"/>
        <v>53.237689425466073</v>
      </c>
      <c r="F153" s="2">
        <v>49.4587</v>
      </c>
      <c r="G153" s="2" t="str">
        <f t="shared" si="8"/>
        <v>Pass</v>
      </c>
      <c r="Y153" s="2">
        <v>138</v>
      </c>
      <c r="Z153" s="2">
        <v>0.28539999999999999</v>
      </c>
      <c r="AA153" s="2">
        <v>0.29909999999999998</v>
      </c>
      <c r="AB153" s="2">
        <v>51.285200000000003</v>
      </c>
    </row>
    <row r="154" spans="2:28" x14ac:dyDescent="0.4">
      <c r="B154" s="11">
        <v>137</v>
      </c>
      <c r="C154" s="16">
        <f t="shared" si="9"/>
        <v>44.264464160360504</v>
      </c>
      <c r="D154" s="17">
        <f t="shared" si="11"/>
        <v>49.182737955956114</v>
      </c>
      <c r="E154" s="17">
        <f t="shared" si="10"/>
        <v>54.101011751551724</v>
      </c>
      <c r="F154" s="2">
        <v>50.228499999999997</v>
      </c>
      <c r="G154" s="2" t="str">
        <f t="shared" si="8"/>
        <v>Pass</v>
      </c>
      <c r="Y154" s="2">
        <v>139</v>
      </c>
      <c r="Z154" s="2">
        <v>0.28410000000000002</v>
      </c>
      <c r="AA154" s="2">
        <v>0.29849999999999999</v>
      </c>
      <c r="AB154" s="2">
        <v>51.844700000000003</v>
      </c>
    </row>
    <row r="155" spans="2:28" x14ac:dyDescent="0.4">
      <c r="B155" s="11">
        <v>138</v>
      </c>
      <c r="C155" s="16">
        <f t="shared" si="9"/>
        <v>44.977021077782055</v>
      </c>
      <c r="D155" s="17">
        <f t="shared" si="11"/>
        <v>49.974467864202282</v>
      </c>
      <c r="E155" s="17">
        <f t="shared" si="10"/>
        <v>54.971914650622509</v>
      </c>
      <c r="F155" s="2">
        <v>51.285200000000003</v>
      </c>
      <c r="G155" s="2" t="str">
        <f t="shared" si="8"/>
        <v>Pass</v>
      </c>
      <c r="Y155" s="2">
        <v>140</v>
      </c>
      <c r="Z155" s="2">
        <v>0.2843</v>
      </c>
      <c r="AA155" s="2">
        <v>0.29880000000000001</v>
      </c>
      <c r="AB155" s="2">
        <v>52.894399999999997</v>
      </c>
    </row>
    <row r="156" spans="2:28" x14ac:dyDescent="0.4">
      <c r="B156" s="11">
        <v>139</v>
      </c>
      <c r="C156" s="16">
        <f t="shared" si="9"/>
        <v>45.695789293119198</v>
      </c>
      <c r="D156" s="17">
        <f t="shared" si="11"/>
        <v>50.773099214576888</v>
      </c>
      <c r="E156" s="17">
        <f t="shared" si="10"/>
        <v>55.850409136034578</v>
      </c>
      <c r="F156" s="2">
        <v>51.844700000000003</v>
      </c>
      <c r="G156" s="2" t="str">
        <f t="shared" si="8"/>
        <v>Pass</v>
      </c>
      <c r="Y156" s="2">
        <v>141</v>
      </c>
      <c r="Z156" s="2">
        <v>0.28439999999999999</v>
      </c>
      <c r="AA156" s="2">
        <v>0.2989</v>
      </c>
      <c r="AB156" s="2">
        <v>53.710799999999999</v>
      </c>
    </row>
    <row r="157" spans="2:28" x14ac:dyDescent="0.4">
      <c r="B157" s="11">
        <v>140</v>
      </c>
      <c r="C157" s="16">
        <f t="shared" si="9"/>
        <v>46.420777765310973</v>
      </c>
      <c r="D157" s="17">
        <f t="shared" si="11"/>
        <v>51.578641961456633</v>
      </c>
      <c r="E157" s="17">
        <f t="shared" si="10"/>
        <v>56.736506157602292</v>
      </c>
      <c r="F157" s="2">
        <v>52.894399999999997</v>
      </c>
      <c r="G157" s="2" t="str">
        <f t="shared" si="8"/>
        <v>Pass</v>
      </c>
      <c r="Y157" s="2">
        <v>142</v>
      </c>
      <c r="Z157" s="2">
        <v>0.28560000000000002</v>
      </c>
      <c r="AA157" s="2">
        <v>0.29809999999999998</v>
      </c>
      <c r="AB157" s="2">
        <v>54.5929</v>
      </c>
    </row>
    <row r="158" spans="2:28" x14ac:dyDescent="0.4">
      <c r="B158" s="11">
        <v>141</v>
      </c>
      <c r="C158" s="16">
        <f t="shared" si="9"/>
        <v>47.151995401977587</v>
      </c>
      <c r="D158" s="17">
        <f t="shared" si="11"/>
        <v>52.391106002197319</v>
      </c>
      <c r="E158" s="17">
        <f t="shared" si="10"/>
        <v>57.63021660241705</v>
      </c>
      <c r="F158" s="2">
        <v>53.710799999999999</v>
      </c>
      <c r="G158" s="2" t="str">
        <f t="shared" si="8"/>
        <v>Pass</v>
      </c>
      <c r="Y158" s="2">
        <v>143</v>
      </c>
      <c r="Z158" s="2">
        <v>0.28489999999999999</v>
      </c>
      <c r="AA158" s="2">
        <v>0.29770000000000002</v>
      </c>
      <c r="AB158" s="2">
        <v>55.020400000000002</v>
      </c>
    </row>
    <row r="159" spans="2:28" x14ac:dyDescent="0.4">
      <c r="B159" s="11">
        <v>142</v>
      </c>
      <c r="C159" s="16">
        <f t="shared" si="9"/>
        <v>47.889451060077306</v>
      </c>
      <c r="D159" s="17">
        <f t="shared" si="11"/>
        <v>53.210501177863677</v>
      </c>
      <c r="E159" s="17">
        <f t="shared" si="10"/>
        <v>58.531551295650047</v>
      </c>
      <c r="F159" s="2">
        <v>54.5929</v>
      </c>
      <c r="G159" s="2" t="str">
        <f t="shared" si="8"/>
        <v>Pass</v>
      </c>
      <c r="Y159" s="2">
        <v>144</v>
      </c>
      <c r="Z159" s="2">
        <v>0.2843</v>
      </c>
      <c r="AA159" s="2">
        <v>0.29820000000000002</v>
      </c>
      <c r="AB159" s="2">
        <v>55.587699999999998</v>
      </c>
    </row>
    <row r="160" spans="2:28" x14ac:dyDescent="0.4">
      <c r="B160" s="11">
        <v>143</v>
      </c>
      <c r="C160" s="16">
        <f t="shared" si="9"/>
        <v>48.633153546550112</v>
      </c>
      <c r="D160" s="17">
        <f t="shared" si="11"/>
        <v>54.03683727394457</v>
      </c>
      <c r="E160" s="17">
        <f t="shared" si="10"/>
        <v>59.440521001339029</v>
      </c>
      <c r="F160" s="2">
        <v>55.020400000000002</v>
      </c>
      <c r="G160" s="2" t="str">
        <f t="shared" si="8"/>
        <v>Pass</v>
      </c>
      <c r="Y160" s="2">
        <v>145</v>
      </c>
      <c r="Z160" s="2">
        <v>0.28439999999999999</v>
      </c>
      <c r="AA160" s="2">
        <v>0.2984</v>
      </c>
      <c r="AB160" s="2">
        <v>56.707999999999998</v>
      </c>
    </row>
    <row r="161" spans="2:28" x14ac:dyDescent="0.4">
      <c r="B161" s="11">
        <v>144</v>
      </c>
      <c r="C161" s="16">
        <f t="shared" si="9"/>
        <v>49.38311161894886</v>
      </c>
      <c r="D161" s="17">
        <f t="shared" si="11"/>
        <v>54.870124021054288</v>
      </c>
      <c r="E161" s="17">
        <f t="shared" si="10"/>
        <v>60.357136423159716</v>
      </c>
      <c r="F161" s="2">
        <v>55.587699999999998</v>
      </c>
      <c r="G161" s="2" t="str">
        <f t="shared" si="8"/>
        <v>Pass</v>
      </c>
      <c r="Y161" s="2">
        <v>146</v>
      </c>
      <c r="Z161" s="2">
        <v>0.28439999999999999</v>
      </c>
      <c r="AA161" s="2">
        <v>0.29849999999999999</v>
      </c>
      <c r="AB161" s="2">
        <v>57.567399999999999</v>
      </c>
    </row>
    <row r="162" spans="2:28" x14ac:dyDescent="0.4">
      <c r="B162" s="11">
        <v>145</v>
      </c>
      <c r="C162" s="16">
        <f t="shared" si="9"/>
        <v>50.139333986058041</v>
      </c>
      <c r="D162" s="17">
        <f t="shared" si="11"/>
        <v>55.710371095620047</v>
      </c>
      <c r="E162" s="17">
        <f t="shared" si="10"/>
        <v>61.281408205182053</v>
      </c>
      <c r="F162" s="2">
        <v>56.707999999999998</v>
      </c>
      <c r="G162" s="2" t="str">
        <f t="shared" si="8"/>
        <v>Pass</v>
      </c>
      <c r="Y162" s="2">
        <v>147</v>
      </c>
      <c r="Z162" s="2">
        <v>0.28499999999999998</v>
      </c>
      <c r="AA162" s="2">
        <v>0.29970000000000002</v>
      </c>
      <c r="AB162" s="2">
        <v>58.426600000000001</v>
      </c>
    </row>
    <row r="163" spans="2:28" x14ac:dyDescent="0.4">
      <c r="B163" s="11">
        <v>146</v>
      </c>
      <c r="C163" s="16">
        <f t="shared" si="9"/>
        <v>50.901829308500695</v>
      </c>
      <c r="D163" s="17">
        <f t="shared" si="11"/>
        <v>56.557588120556325</v>
      </c>
      <c r="E163" s="17">
        <f t="shared" si="10"/>
        <v>62.213346932611955</v>
      </c>
      <c r="F163" s="2">
        <v>57.567399999999999</v>
      </c>
      <c r="G163" s="2" t="str">
        <f t="shared" si="8"/>
        <v>Pass</v>
      </c>
      <c r="Y163" s="2">
        <v>148</v>
      </c>
      <c r="Z163" s="2">
        <v>0.28520000000000001</v>
      </c>
      <c r="AA163" s="2">
        <v>0.2999</v>
      </c>
      <c r="AB163" s="2">
        <v>59.517200000000003</v>
      </c>
    </row>
    <row r="164" spans="2:28" x14ac:dyDescent="0.4">
      <c r="B164" s="11">
        <v>147</v>
      </c>
      <c r="C164" s="16">
        <f t="shared" si="9"/>
        <v>51.670606199333449</v>
      </c>
      <c r="D164" s="17">
        <f t="shared" si="11"/>
        <v>57.411784665926056</v>
      </c>
      <c r="E164" s="17">
        <f t="shared" si="10"/>
        <v>63.152963132518664</v>
      </c>
      <c r="F164" s="2">
        <v>58.426600000000001</v>
      </c>
      <c r="G164" s="2" t="str">
        <f t="shared" si="8"/>
        <v>Pass</v>
      </c>
      <c r="Y164" s="2">
        <v>149</v>
      </c>
      <c r="Z164" s="2">
        <v>0.28470000000000001</v>
      </c>
      <c r="AA164" s="2">
        <v>0.29880000000000001</v>
      </c>
      <c r="AB164" s="2">
        <v>59.483400000000003</v>
      </c>
    </row>
    <row r="165" spans="2:28" x14ac:dyDescent="0.4">
      <c r="B165" s="11">
        <v>148</v>
      </c>
      <c r="C165" s="16">
        <f t="shared" si="9"/>
        <v>52.445673224630433</v>
      </c>
      <c r="D165" s="17">
        <f t="shared" si="11"/>
        <v>58.27297024958937</v>
      </c>
      <c r="E165" s="17">
        <f t="shared" si="10"/>
        <v>64.100267274548315</v>
      </c>
      <c r="F165" s="2">
        <v>59.517200000000003</v>
      </c>
      <c r="G165" s="2" t="str">
        <f t="shared" si="8"/>
        <v>Pass</v>
      </c>
      <c r="Y165" s="2">
        <v>150</v>
      </c>
      <c r="Z165" s="2">
        <v>0.2848</v>
      </c>
      <c r="AA165" s="2">
        <v>0.2989</v>
      </c>
      <c r="AB165" s="2">
        <v>60.612200000000001</v>
      </c>
    </row>
    <row r="166" spans="2:28" x14ac:dyDescent="0.4">
      <c r="B166" s="11">
        <v>149</v>
      </c>
      <c r="C166" s="16">
        <f t="shared" si="9"/>
        <v>53.227038904056016</v>
      </c>
      <c r="D166" s="17">
        <f t="shared" si="11"/>
        <v>59.141154337840014</v>
      </c>
      <c r="E166" s="17">
        <f t="shared" si="10"/>
        <v>65.055269771624012</v>
      </c>
      <c r="F166" s="2">
        <v>59.483400000000003</v>
      </c>
      <c r="G166" s="2" t="str">
        <f t="shared" si="8"/>
        <v>Pass</v>
      </c>
      <c r="Y166" s="2">
        <v>151</v>
      </c>
      <c r="Z166" s="2">
        <v>0.28499999999999998</v>
      </c>
      <c r="AA166" s="2">
        <v>0.29899999999999999</v>
      </c>
      <c r="AB166" s="2">
        <v>61.476300000000002</v>
      </c>
    </row>
    <row r="167" spans="2:28" x14ac:dyDescent="0.4">
      <c r="B167" s="11">
        <v>150</v>
      </c>
      <c r="C167" s="16">
        <f t="shared" si="9"/>
        <v>54.0147117114266</v>
      </c>
      <c r="D167" s="17">
        <f t="shared" si="11"/>
        <v>60.016346346029557</v>
      </c>
      <c r="E167" s="17">
        <f t="shared" si="10"/>
        <v>66.017980980632515</v>
      </c>
      <c r="F167" s="2">
        <v>60.612200000000001</v>
      </c>
      <c r="G167" s="2" t="str">
        <f t="shared" si="8"/>
        <v>Pass</v>
      </c>
      <c r="Y167" s="2">
        <v>152</v>
      </c>
      <c r="Z167" s="2">
        <v>0.28510000000000002</v>
      </c>
      <c r="AA167" s="2">
        <v>0.29930000000000001</v>
      </c>
      <c r="AB167" s="2">
        <v>62.4054</v>
      </c>
    </row>
    <row r="168" spans="2:28" x14ac:dyDescent="0.4">
      <c r="B168" s="11">
        <v>151</v>
      </c>
      <c r="C168" s="16">
        <f t="shared" si="9"/>
        <v>54.808700075262252</v>
      </c>
      <c r="D168" s="17">
        <f t="shared" si="11"/>
        <v>60.89855563918028</v>
      </c>
      <c r="E168" s="17">
        <f t="shared" si="10"/>
        <v>66.988411203098309</v>
      </c>
      <c r="F168" s="2">
        <v>61.476300000000002</v>
      </c>
      <c r="G168" s="2" t="str">
        <f t="shared" si="8"/>
        <v>Pass</v>
      </c>
      <c r="Y168" s="2">
        <v>153</v>
      </c>
      <c r="Z168" s="2">
        <v>0.28539999999999999</v>
      </c>
      <c r="AA168" s="2">
        <v>0.29949999999999999</v>
      </c>
      <c r="AB168" s="2">
        <v>63.626899999999999</v>
      </c>
    </row>
    <row r="169" spans="2:28" x14ac:dyDescent="0.4">
      <c r="B169" s="11">
        <v>152</v>
      </c>
      <c r="C169" s="16">
        <f t="shared" si="9"/>
        <v>55.609012379327815</v>
      </c>
      <c r="D169" s="17">
        <f t="shared" si="11"/>
        <v>61.787791532586461</v>
      </c>
      <c r="E169" s="17">
        <f t="shared" si="10"/>
        <v>67.966570685845113</v>
      </c>
      <c r="F169" s="2">
        <v>62.4054</v>
      </c>
      <c r="G169" s="2" t="str">
        <f t="shared" si="8"/>
        <v>Pass</v>
      </c>
      <c r="Y169" s="2">
        <v>154</v>
      </c>
      <c r="Z169" s="2">
        <v>0.28410000000000002</v>
      </c>
      <c r="AA169" s="2">
        <v>0.29899999999999999</v>
      </c>
      <c r="AB169" s="2">
        <v>64.614199999999997</v>
      </c>
    </row>
    <row r="170" spans="2:28" x14ac:dyDescent="0.4">
      <c r="B170" s="11">
        <v>153</v>
      </c>
      <c r="C170" s="16">
        <f t="shared" si="9"/>
        <v>56.415656963163975</v>
      </c>
      <c r="D170" s="17">
        <f t="shared" si="11"/>
        <v>62.684063292404417</v>
      </c>
      <c r="E170" s="17">
        <f t="shared" si="10"/>
        <v>68.952469621644866</v>
      </c>
      <c r="F170" s="2">
        <v>63.626899999999999</v>
      </c>
      <c r="G170" s="2" t="str">
        <f t="shared" si="8"/>
        <v>Pass</v>
      </c>
      <c r="Y170" s="2">
        <v>155</v>
      </c>
      <c r="Z170" s="2">
        <v>0.28420000000000001</v>
      </c>
      <c r="AA170" s="2">
        <v>0.29909999999999998</v>
      </c>
      <c r="AB170" s="2">
        <v>65.542100000000005</v>
      </c>
    </row>
    <row r="171" spans="2:28" x14ac:dyDescent="0.4">
      <c r="B171" s="11">
        <v>154</v>
      </c>
      <c r="C171" s="16">
        <f t="shared" si="9"/>
        <v>57.228642122608939</v>
      </c>
      <c r="D171" s="17">
        <f t="shared" si="11"/>
        <v>63.587380136232156</v>
      </c>
      <c r="E171" s="17">
        <f t="shared" si="10"/>
        <v>69.946118149855366</v>
      </c>
      <c r="F171" s="2">
        <v>64.614199999999997</v>
      </c>
      <c r="G171" s="2" t="str">
        <f t="shared" si="8"/>
        <v>Pass</v>
      </c>
      <c r="Y171" s="2">
        <v>156</v>
      </c>
      <c r="Z171" s="2">
        <v>0.28439999999999999</v>
      </c>
      <c r="AA171" s="2">
        <v>0.29930000000000001</v>
      </c>
      <c r="AB171" s="2">
        <v>66.488799999999998</v>
      </c>
    </row>
    <row r="172" spans="2:28" x14ac:dyDescent="0.4">
      <c r="B172" s="11">
        <v>155</v>
      </c>
      <c r="C172" s="16">
        <f t="shared" si="9"/>
        <v>58.047976110310188</v>
      </c>
      <c r="D172" s="17">
        <f t="shared" si="11"/>
        <v>64.497751233677988</v>
      </c>
      <c r="E172" s="17">
        <f t="shared" si="10"/>
        <v>70.947526357045788</v>
      </c>
      <c r="F172" s="2">
        <v>65.542100000000005</v>
      </c>
      <c r="G172" s="2" t="str">
        <f t="shared" si="8"/>
        <v>Pass</v>
      </c>
      <c r="Y172" s="2">
        <v>157</v>
      </c>
      <c r="Z172" s="2">
        <v>0.28460000000000002</v>
      </c>
      <c r="AA172" s="2">
        <v>0.29799999999999999</v>
      </c>
      <c r="AB172" s="2">
        <v>66.752799999999993</v>
      </c>
    </row>
    <row r="173" spans="2:28" x14ac:dyDescent="0.4">
      <c r="B173" s="11">
        <v>156</v>
      </c>
      <c r="C173" s="16">
        <f t="shared" si="9"/>
        <v>58.873667136227205</v>
      </c>
      <c r="D173" s="17">
        <f t="shared" si="11"/>
        <v>65.415185706919118</v>
      </c>
      <c r="E173" s="17">
        <f t="shared" si="10"/>
        <v>71.956704277611024</v>
      </c>
      <c r="F173" s="2">
        <v>66.488799999999998</v>
      </c>
      <c r="G173" s="2" t="str">
        <f t="shared" si="8"/>
        <v>Pass</v>
      </c>
      <c r="Y173" s="2">
        <v>158</v>
      </c>
      <c r="Z173" s="2">
        <v>0.28470000000000001</v>
      </c>
      <c r="AA173" s="2">
        <v>0.29799999999999999</v>
      </c>
      <c r="AB173" s="2">
        <v>68.026799999999994</v>
      </c>
    </row>
    <row r="174" spans="2:28" x14ac:dyDescent="0.4">
      <c r="B174" s="11">
        <v>157</v>
      </c>
      <c r="C174" s="16">
        <f t="shared" si="9"/>
        <v>59.705723368125206</v>
      </c>
      <c r="D174" s="17">
        <f t="shared" si="11"/>
        <v>66.33969263125023</v>
      </c>
      <c r="E174" s="17">
        <f t="shared" si="10"/>
        <v>72.973661894375255</v>
      </c>
      <c r="F174" s="2">
        <v>66.752799999999993</v>
      </c>
      <c r="G174" s="2" t="str">
        <f t="shared" si="8"/>
        <v>Pass</v>
      </c>
      <c r="Y174" s="2">
        <v>159</v>
      </c>
      <c r="Z174" s="2">
        <v>0.2833</v>
      </c>
      <c r="AA174" s="2">
        <v>0.29699999999999999</v>
      </c>
      <c r="AB174" s="2">
        <v>69.030699999999996</v>
      </c>
    </row>
    <row r="175" spans="2:28" x14ac:dyDescent="0.4">
      <c r="B175" s="11">
        <v>158</v>
      </c>
      <c r="C175" s="16">
        <f t="shared" si="9"/>
        <v>60.544152932059795</v>
      </c>
      <c r="D175" s="17">
        <f t="shared" si="11"/>
        <v>67.271281035621996</v>
      </c>
      <c r="E175" s="17">
        <f t="shared" si="10"/>
        <v>73.99840913918419</v>
      </c>
      <c r="F175" s="2">
        <v>68.026799999999994</v>
      </c>
      <c r="G175" s="2" t="str">
        <f t="shared" si="8"/>
        <v>Pass</v>
      </c>
      <c r="Y175" s="2">
        <v>160</v>
      </c>
      <c r="Z175" s="2">
        <v>0.28349999999999997</v>
      </c>
      <c r="AA175" s="2">
        <v>0.29730000000000001</v>
      </c>
      <c r="AB175" s="2">
        <v>69.936499999999995</v>
      </c>
    </row>
    <row r="176" spans="2:28" x14ac:dyDescent="0.4">
      <c r="B176" s="11">
        <v>159</v>
      </c>
      <c r="C176" s="16">
        <f t="shared" si="9"/>
        <v>61.388963912853299</v>
      </c>
      <c r="D176" s="17">
        <f t="shared" si="11"/>
        <v>68.209959903170329</v>
      </c>
      <c r="E176" s="17">
        <f t="shared" si="10"/>
        <v>75.030955893487359</v>
      </c>
      <c r="F176" s="2">
        <v>69.030699999999996</v>
      </c>
      <c r="G176" s="2" t="str">
        <f t="shared" si="8"/>
        <v>Pass</v>
      </c>
      <c r="Y176" s="2">
        <v>161</v>
      </c>
      <c r="Z176" s="2">
        <v>0.28360000000000002</v>
      </c>
      <c r="AA176" s="2">
        <v>0.29730000000000001</v>
      </c>
      <c r="AB176" s="2">
        <v>70.860100000000003</v>
      </c>
    </row>
    <row r="177" spans="2:28" x14ac:dyDescent="0.4">
      <c r="B177" s="11">
        <v>160</v>
      </c>
      <c r="C177" s="16">
        <f t="shared" si="9"/>
        <v>62.240164354562495</v>
      </c>
      <c r="D177" s="17">
        <f t="shared" si="11"/>
        <v>69.155738171736104</v>
      </c>
      <c r="E177" s="17">
        <f t="shared" si="10"/>
        <v>76.071311988909713</v>
      </c>
      <c r="F177" s="2">
        <v>69.936499999999995</v>
      </c>
      <c r="G177" s="2" t="str">
        <f t="shared" si="8"/>
        <v>Pass</v>
      </c>
      <c r="Y177" s="2">
        <v>162</v>
      </c>
      <c r="Z177" s="2">
        <v>0.28370000000000001</v>
      </c>
      <c r="AA177" s="2">
        <v>0.2974</v>
      </c>
      <c r="AB177" s="2">
        <v>72.0715</v>
      </c>
    </row>
    <row r="178" spans="2:28" x14ac:dyDescent="0.4">
      <c r="B178" s="11">
        <v>161</v>
      </c>
      <c r="C178" s="16">
        <f t="shared" si="9"/>
        <v>63.097762260938225</v>
      </c>
      <c r="D178" s="17">
        <f t="shared" si="11"/>
        <v>70.108624734375809</v>
      </c>
      <c r="E178" s="17">
        <f t="shared" si="10"/>
        <v>77.119487207813393</v>
      </c>
      <c r="F178" s="2">
        <v>70.860100000000003</v>
      </c>
      <c r="G178" s="2" t="str">
        <f t="shared" si="8"/>
        <v>Pass</v>
      </c>
      <c r="Y178" s="2">
        <v>163</v>
      </c>
      <c r="Z178" s="2">
        <v>0.28310000000000002</v>
      </c>
      <c r="AA178" s="2">
        <v>0.29780000000000001</v>
      </c>
      <c r="AB178" s="2">
        <v>73.014600000000002</v>
      </c>
    </row>
    <row r="179" spans="2:28" x14ac:dyDescent="0.4">
      <c r="B179" s="11">
        <v>162</v>
      </c>
      <c r="C179" s="16">
        <f t="shared" si="9"/>
        <v>63.961765595877011</v>
      </c>
      <c r="D179" s="17">
        <f t="shared" si="11"/>
        <v>71.068628439863346</v>
      </c>
      <c r="E179" s="17">
        <f t="shared" si="10"/>
        <v>78.175491283849681</v>
      </c>
      <c r="F179" s="2">
        <v>72.0715</v>
      </c>
      <c r="G179" s="2" t="str">
        <f t="shared" si="8"/>
        <v>Pass</v>
      </c>
      <c r="Y179" s="2">
        <v>164</v>
      </c>
      <c r="Z179" s="2">
        <v>0.28349999999999997</v>
      </c>
      <c r="AA179" s="2">
        <v>0.29670000000000002</v>
      </c>
      <c r="AB179" s="2">
        <v>73.378799999999998</v>
      </c>
    </row>
    <row r="180" spans="2:28" x14ac:dyDescent="0.4">
      <c r="B180" s="11">
        <v>163</v>
      </c>
      <c r="C180" s="16">
        <f t="shared" si="9"/>
        <v>64.832182283864682</v>
      </c>
      <c r="D180" s="17">
        <f t="shared" si="11"/>
        <v>72.035758093182977</v>
      </c>
      <c r="E180" s="17">
        <f t="shared" si="10"/>
        <v>79.239333902501272</v>
      </c>
      <c r="F180" s="2">
        <v>73.014600000000002</v>
      </c>
      <c r="G180" s="2" t="str">
        <f t="shared" si="8"/>
        <v>Pass</v>
      </c>
      <c r="Y180" s="2">
        <v>165</v>
      </c>
      <c r="Z180" s="2">
        <v>0.28410000000000002</v>
      </c>
      <c r="AA180" s="2">
        <v>0.29780000000000001</v>
      </c>
      <c r="AB180" s="2">
        <v>74.480099999999993</v>
      </c>
    </row>
    <row r="181" spans="2:28" x14ac:dyDescent="0.4">
      <c r="B181" s="11">
        <v>164</v>
      </c>
      <c r="C181" s="16">
        <f t="shared" si="9"/>
        <v>65.709020210412717</v>
      </c>
      <c r="D181" s="17">
        <f t="shared" si="11"/>
        <v>73.010022456014127</v>
      </c>
      <c r="E181" s="17">
        <f t="shared" si="10"/>
        <v>80.311024701615537</v>
      </c>
      <c r="F181" s="2">
        <v>73.378799999999998</v>
      </c>
      <c r="G181" s="2" t="str">
        <f t="shared" si="8"/>
        <v>Pass</v>
      </c>
      <c r="Y181" s="2">
        <v>166</v>
      </c>
      <c r="Z181" s="2">
        <v>0.28420000000000001</v>
      </c>
      <c r="AA181" s="2">
        <v>0.2979</v>
      </c>
      <c r="AB181" s="2">
        <v>75.484399999999994</v>
      </c>
    </row>
    <row r="182" spans="2:28" x14ac:dyDescent="0.4">
      <c r="B182" s="11">
        <v>165</v>
      </c>
      <c r="C182" s="16">
        <f t="shared" si="9"/>
        <v>66.59228722248676</v>
      </c>
      <c r="D182" s="17">
        <f t="shared" si="11"/>
        <v>73.991430247207504</v>
      </c>
      <c r="E182" s="17">
        <f t="shared" si="10"/>
        <v>81.390573271928247</v>
      </c>
      <c r="F182" s="2">
        <v>74.480099999999993</v>
      </c>
      <c r="G182" s="2" t="str">
        <f t="shared" si="8"/>
        <v>Pass</v>
      </c>
      <c r="Y182" s="2">
        <v>167</v>
      </c>
      <c r="Z182" s="2">
        <v>0.28370000000000001</v>
      </c>
      <c r="AA182" s="2">
        <v>0.29849999999999999</v>
      </c>
      <c r="AB182" s="2">
        <v>76.547700000000006</v>
      </c>
    </row>
    <row r="183" spans="2:28" x14ac:dyDescent="0.4">
      <c r="B183" s="11">
        <v>166</v>
      </c>
      <c r="C183" s="16">
        <f t="shared" si="9"/>
        <v>67.481991128927916</v>
      </c>
      <c r="D183" s="17">
        <f t="shared" si="11"/>
        <v>74.979990143253247</v>
      </c>
      <c r="E183" s="17">
        <f t="shared" si="10"/>
        <v>82.477989157578577</v>
      </c>
      <c r="F183" s="2">
        <v>75.484399999999994</v>
      </c>
      <c r="G183" s="2" t="str">
        <f t="shared" si="8"/>
        <v>Pass</v>
      </c>
      <c r="Y183" s="2">
        <v>168</v>
      </c>
      <c r="Z183" s="2">
        <v>0.2838</v>
      </c>
      <c r="AA183" s="2">
        <v>0.29870000000000002</v>
      </c>
      <c r="AB183" s="2">
        <v>77.567599999999999</v>
      </c>
    </row>
    <row r="184" spans="2:28" x14ac:dyDescent="0.4">
      <c r="B184" s="11">
        <v>167</v>
      </c>
      <c r="C184" s="16">
        <f t="shared" si="9"/>
        <v>68.378139700867237</v>
      </c>
      <c r="D184" s="17">
        <f t="shared" si="11"/>
        <v>75.975710778741373</v>
      </c>
      <c r="E184" s="17">
        <f t="shared" si="10"/>
        <v>83.573281856615509</v>
      </c>
      <c r="F184" s="2">
        <v>76.547700000000006</v>
      </c>
      <c r="G184" s="2" t="str">
        <f t="shared" si="8"/>
        <v>Pass</v>
      </c>
      <c r="Y184" s="2">
        <v>169</v>
      </c>
      <c r="Z184" s="2">
        <v>0.28399999999999997</v>
      </c>
      <c r="AA184" s="2">
        <v>0.29899999999999999</v>
      </c>
      <c r="AB184" s="2">
        <v>78.909700000000001</v>
      </c>
    </row>
    <row r="185" spans="2:28" x14ac:dyDescent="0.4">
      <c r="B185" s="11">
        <v>168</v>
      </c>
      <c r="C185" s="16">
        <f t="shared" si="9"/>
        <v>69.280740672132808</v>
      </c>
      <c r="D185" s="17">
        <f t="shared" si="11"/>
        <v>76.978600746814237</v>
      </c>
      <c r="E185" s="17">
        <f t="shared" si="10"/>
        <v>84.676460821495667</v>
      </c>
      <c r="F185" s="2">
        <v>77.567599999999999</v>
      </c>
      <c r="G185" s="2" t="str">
        <f t="shared" si="8"/>
        <v>Pass</v>
      </c>
      <c r="Y185" s="2">
        <v>170</v>
      </c>
      <c r="Z185" s="2">
        <v>0.28410000000000002</v>
      </c>
      <c r="AA185" s="2">
        <v>0.29920000000000002</v>
      </c>
      <c r="AB185" s="2">
        <v>79.865700000000004</v>
      </c>
    </row>
    <row r="186" spans="2:28" x14ac:dyDescent="0.4">
      <c r="B186" s="11">
        <v>169</v>
      </c>
      <c r="C186" s="16">
        <f t="shared" si="9"/>
        <v>70.189801739650363</v>
      </c>
      <c r="D186" s="17">
        <f t="shared" si="11"/>
        <v>77.988668599611515</v>
      </c>
      <c r="E186" s="17">
        <f t="shared" si="10"/>
        <v>85.787535459572666</v>
      </c>
      <c r="F186" s="2">
        <v>78.909700000000001</v>
      </c>
      <c r="G186" s="2" t="str">
        <f t="shared" si="8"/>
        <v>Pass</v>
      </c>
      <c r="Y186" s="2">
        <v>171</v>
      </c>
      <c r="Z186" s="2">
        <v>0.28310000000000002</v>
      </c>
      <c r="AA186" s="2">
        <v>0.29720000000000002</v>
      </c>
      <c r="AB186" s="2">
        <v>79.848699999999994</v>
      </c>
    </row>
    <row r="187" spans="2:28" x14ac:dyDescent="0.4">
      <c r="B187" s="11">
        <v>170</v>
      </c>
      <c r="C187" s="16">
        <f t="shared" si="9"/>
        <v>71.105330563836986</v>
      </c>
      <c r="D187" s="17">
        <f t="shared" si="11"/>
        <v>79.005922848707755</v>
      </c>
      <c r="E187" s="17">
        <f t="shared" si="10"/>
        <v>86.906515133578523</v>
      </c>
      <c r="F187" s="2">
        <v>79.865700000000004</v>
      </c>
      <c r="G187" s="2" t="str">
        <f t="shared" si="8"/>
        <v>Pass</v>
      </c>
      <c r="Y187" s="2">
        <v>172</v>
      </c>
      <c r="Z187" s="2">
        <v>0.2833</v>
      </c>
      <c r="AA187" s="2">
        <v>0.2974</v>
      </c>
      <c r="AB187" s="2">
        <v>81.173199999999994</v>
      </c>
    </row>
    <row r="188" spans="2:28" x14ac:dyDescent="0.4">
      <c r="B188" s="11">
        <v>171</v>
      </c>
      <c r="C188" s="16">
        <f t="shared" si="9"/>
        <v>72.027334768988609</v>
      </c>
      <c r="D188" s="17">
        <f t="shared" si="11"/>
        <v>80.030371965542898</v>
      </c>
      <c r="E188" s="17">
        <f t="shared" si="10"/>
        <v>88.033409162097186</v>
      </c>
      <c r="F188" s="2">
        <v>79.848699999999994</v>
      </c>
      <c r="G188" s="2" t="str">
        <f t="shared" si="8"/>
        <v>Pass</v>
      </c>
      <c r="Y188" s="2">
        <v>173</v>
      </c>
      <c r="Z188" s="2">
        <v>0.28360000000000002</v>
      </c>
      <c r="AA188" s="2">
        <v>0.29749999999999999</v>
      </c>
      <c r="AB188" s="2">
        <v>82.173599999999993</v>
      </c>
    </row>
    <row r="189" spans="2:28" x14ac:dyDescent="0.4">
      <c r="B189" s="11">
        <v>172</v>
      </c>
      <c r="C189" s="16">
        <f t="shared" si="9"/>
        <v>72.955821943660837</v>
      </c>
      <c r="D189" s="17">
        <f t="shared" si="11"/>
        <v>81.062024381845376</v>
      </c>
      <c r="E189" s="17">
        <f t="shared" si="10"/>
        <v>89.168226820029915</v>
      </c>
      <c r="F189" s="2">
        <v>81.173199999999994</v>
      </c>
      <c r="G189" s="2" t="str">
        <f t="shared" si="8"/>
        <v>Pass</v>
      </c>
      <c r="Y189" s="2">
        <v>174</v>
      </c>
      <c r="Z189" s="2">
        <v>0.28370000000000001</v>
      </c>
      <c r="AA189" s="2">
        <v>0.29770000000000002</v>
      </c>
      <c r="AB189" s="2">
        <v>83.600399999999993</v>
      </c>
    </row>
    <row r="190" spans="2:28" x14ac:dyDescent="0.4">
      <c r="B190" s="11">
        <v>173</v>
      </c>
      <c r="C190" s="16">
        <f t="shared" si="9"/>
        <v>73.890799641043941</v>
      </c>
      <c r="D190" s="17">
        <f t="shared" si="11"/>
        <v>82.100888490048817</v>
      </c>
      <c r="E190" s="17">
        <f t="shared" si="10"/>
        <v>90.310977339053693</v>
      </c>
      <c r="F190" s="2">
        <v>82.173599999999993</v>
      </c>
      <c r="G190" s="2" t="str">
        <f t="shared" si="8"/>
        <v>Pass</v>
      </c>
      <c r="Y190" s="2">
        <v>175</v>
      </c>
      <c r="Z190" s="2">
        <v>0.28349999999999997</v>
      </c>
      <c r="AA190" s="2">
        <v>0.29799999999999999</v>
      </c>
      <c r="AB190" s="2">
        <v>84.421199999999999</v>
      </c>
    </row>
    <row r="191" spans="2:28" x14ac:dyDescent="0.4">
      <c r="B191" s="11">
        <v>174</v>
      </c>
      <c r="C191" s="16">
        <f t="shared" si="9"/>
        <v>74.832275379331207</v>
      </c>
      <c r="D191" s="17">
        <f t="shared" si="11"/>
        <v>83.146972643701346</v>
      </c>
      <c r="E191" s="17">
        <f t="shared" si="10"/>
        <v>91.461669908071485</v>
      </c>
      <c r="F191" s="2">
        <v>83.600399999999993</v>
      </c>
      <c r="G191" s="2" t="str">
        <f t="shared" si="8"/>
        <v>Pass</v>
      </c>
      <c r="Y191" s="2">
        <v>176</v>
      </c>
      <c r="Z191" s="2">
        <v>0.28460000000000002</v>
      </c>
      <c r="AA191" s="2">
        <v>0.2999</v>
      </c>
      <c r="AB191" s="2">
        <v>85.811300000000003</v>
      </c>
    </row>
    <row r="192" spans="2:28" x14ac:dyDescent="0.4">
      <c r="B192" s="11">
        <v>175</v>
      </c>
      <c r="C192" s="16">
        <f t="shared" si="9"/>
        <v>75.780256642082065</v>
      </c>
      <c r="D192" s="17">
        <f t="shared" si="11"/>
        <v>84.200285157868962</v>
      </c>
      <c r="E192" s="17">
        <f t="shared" si="10"/>
        <v>92.620313673655858</v>
      </c>
      <c r="F192" s="2">
        <v>84.421199999999999</v>
      </c>
      <c r="G192" s="2" t="str">
        <f t="shared" si="8"/>
        <v>Pass</v>
      </c>
      <c r="Y192" s="2">
        <v>177</v>
      </c>
      <c r="Z192" s="2">
        <v>0.28399999999999997</v>
      </c>
      <c r="AA192" s="2">
        <v>0.29809999999999998</v>
      </c>
      <c r="AB192" s="2">
        <v>86.168000000000006</v>
      </c>
    </row>
    <row r="193" spans="2:28" x14ac:dyDescent="0.4">
      <c r="B193" s="11">
        <v>176</v>
      </c>
      <c r="C193" s="16">
        <f t="shared" si="9"/>
        <v>76.734750878578737</v>
      </c>
      <c r="D193" s="17">
        <f t="shared" si="11"/>
        <v>85.26083430953193</v>
      </c>
      <c r="E193" s="17">
        <f t="shared" si="10"/>
        <v>93.786917740485123</v>
      </c>
      <c r="F193" s="2">
        <v>85.811300000000003</v>
      </c>
      <c r="G193" s="2" t="str">
        <f t="shared" si="8"/>
        <v>Pass</v>
      </c>
      <c r="Y193" s="2">
        <v>178</v>
      </c>
      <c r="Z193" s="2">
        <v>0.28420000000000001</v>
      </c>
      <c r="AA193" s="2">
        <v>0.29830000000000001</v>
      </c>
      <c r="AB193" s="2">
        <v>87.249300000000005</v>
      </c>
    </row>
    <row r="194" spans="2:28" x14ac:dyDescent="0.4">
      <c r="B194" s="11">
        <v>177</v>
      </c>
      <c r="C194" s="16">
        <f t="shared" si="9"/>
        <v>77.695765504177587</v>
      </c>
      <c r="D194" s="17">
        <f t="shared" si="11"/>
        <v>86.328628337975104</v>
      </c>
      <c r="E194" s="17">
        <f t="shared" si="10"/>
        <v>94.961491171772622</v>
      </c>
      <c r="F194" s="2">
        <v>86.168000000000006</v>
      </c>
      <c r="G194" s="2" t="str">
        <f t="shared" si="8"/>
        <v>Pass</v>
      </c>
      <c r="Y194" s="2">
        <v>179</v>
      </c>
      <c r="Z194" s="2">
        <v>0.2843</v>
      </c>
      <c r="AA194" s="2">
        <v>0.29849999999999999</v>
      </c>
      <c r="AB194" s="2">
        <v>88.295699999999997</v>
      </c>
    </row>
    <row r="195" spans="2:28" x14ac:dyDescent="0.4">
      <c r="B195" s="11">
        <v>178</v>
      </c>
      <c r="C195" s="16">
        <f t="shared" si="9"/>
        <v>78.663307900654885</v>
      </c>
      <c r="D195" s="17">
        <f t="shared" si="11"/>
        <v>87.403675445172098</v>
      </c>
      <c r="E195" s="17">
        <f t="shared" si="10"/>
        <v>96.144042989689311</v>
      </c>
      <c r="F195" s="2">
        <v>87.249300000000005</v>
      </c>
      <c r="G195" s="2" t="str">
        <f t="shared" si="8"/>
        <v>Pass</v>
      </c>
      <c r="Y195" s="2">
        <v>180</v>
      </c>
      <c r="Z195" s="2">
        <v>0.28410000000000002</v>
      </c>
      <c r="AA195" s="2">
        <v>0.29870000000000002</v>
      </c>
      <c r="AB195" s="2">
        <v>89.355500000000006</v>
      </c>
    </row>
    <row r="196" spans="2:28" x14ac:dyDescent="0.4">
      <c r="B196" s="11">
        <v>179</v>
      </c>
      <c r="C196" s="16">
        <f t="shared" si="9"/>
        <v>79.637385416546834</v>
      </c>
      <c r="D196" s="17">
        <f t="shared" si="11"/>
        <v>88.485983796163154</v>
      </c>
      <c r="E196" s="17">
        <f t="shared" si="10"/>
        <v>97.334582175779474</v>
      </c>
      <c r="F196" s="2">
        <v>88.295699999999997</v>
      </c>
      <c r="G196" s="2" t="str">
        <f t="shared" si="8"/>
        <v>Pass</v>
      </c>
      <c r="Y196" s="2">
        <v>181</v>
      </c>
      <c r="Z196" s="2">
        <v>0.2843</v>
      </c>
      <c r="AA196" s="2">
        <v>0.29880000000000001</v>
      </c>
      <c r="AB196" s="2">
        <v>90.743899999999996</v>
      </c>
    </row>
    <row r="197" spans="2:28" x14ac:dyDescent="0.4">
      <c r="B197" s="11">
        <v>180</v>
      </c>
      <c r="C197" s="16">
        <f t="shared" si="9"/>
        <v>80.618005367484656</v>
      </c>
      <c r="D197" s="17">
        <f t="shared" si="11"/>
        <v>89.575561519427396</v>
      </c>
      <c r="E197" s="17">
        <f t="shared" si="10"/>
        <v>98.533117671370135</v>
      </c>
      <c r="F197" s="2">
        <v>89.355500000000006</v>
      </c>
      <c r="G197" s="2" t="str">
        <f t="shared" si="8"/>
        <v>Pass</v>
      </c>
      <c r="Y197" s="2">
        <v>182</v>
      </c>
      <c r="Z197" s="2">
        <v>0.28439999999999999</v>
      </c>
      <c r="AA197" s="2">
        <v>0.2989</v>
      </c>
      <c r="AB197" s="2">
        <v>91.778199999999998</v>
      </c>
    </row>
    <row r="198" spans="2:28" x14ac:dyDescent="0.4">
      <c r="B198" s="11">
        <v>181</v>
      </c>
      <c r="C198" s="16">
        <f t="shared" si="9"/>
        <v>81.605175036524074</v>
      </c>
      <c r="D198" s="17">
        <f t="shared" si="11"/>
        <v>90.672416707248971</v>
      </c>
      <c r="E198" s="17">
        <f t="shared" si="10"/>
        <v>99.739658377973868</v>
      </c>
      <c r="F198" s="2">
        <v>90.743899999999996</v>
      </c>
      <c r="G198" s="2" t="str">
        <f t="shared" si="8"/>
        <v>Pass</v>
      </c>
      <c r="Y198" s="2">
        <v>183</v>
      </c>
      <c r="Z198" s="2">
        <v>0.2848</v>
      </c>
      <c r="AA198" s="2">
        <v>0.29909999999999998</v>
      </c>
      <c r="AB198" s="2">
        <v>93.006200000000007</v>
      </c>
    </row>
    <row r="199" spans="2:28" x14ac:dyDescent="0.4">
      <c r="B199" s="11">
        <v>182</v>
      </c>
      <c r="C199" s="16">
        <f t="shared" si="9"/>
        <v>82.598901674470085</v>
      </c>
      <c r="D199" s="17">
        <f t="shared" si="11"/>
        <v>91.776557416077878</v>
      </c>
      <c r="E199" s="17">
        <f t="shared" si="10"/>
        <v>100.95421315768567</v>
      </c>
      <c r="F199" s="2">
        <v>91.778199999999998</v>
      </c>
      <c r="G199" s="2" t="str">
        <f t="shared" si="8"/>
        <v>Pass</v>
      </c>
      <c r="Y199" s="2">
        <v>184</v>
      </c>
      <c r="Z199" s="2">
        <v>0.2838</v>
      </c>
      <c r="AA199" s="2">
        <v>0.29880000000000001</v>
      </c>
      <c r="AB199" s="2">
        <v>94.240799999999993</v>
      </c>
    </row>
    <row r="200" spans="2:28" x14ac:dyDescent="0.4">
      <c r="B200" s="11">
        <v>183</v>
      </c>
      <c r="C200" s="16">
        <f t="shared" si="9"/>
        <v>83.599192500196395</v>
      </c>
      <c r="D200" s="17">
        <f t="shared" si="11"/>
        <v>92.887991666884886</v>
      </c>
      <c r="E200" s="17">
        <f t="shared" si="10"/>
        <v>102.17679083357338</v>
      </c>
      <c r="F200" s="2">
        <v>93.006200000000007</v>
      </c>
      <c r="G200" s="2" t="str">
        <f t="shared" si="8"/>
        <v>Pass</v>
      </c>
      <c r="Y200" s="2">
        <v>185</v>
      </c>
      <c r="Z200" s="2">
        <v>0.28410000000000002</v>
      </c>
      <c r="AA200" s="2">
        <v>0.29799999999999999</v>
      </c>
      <c r="AB200" s="2">
        <v>94.724100000000007</v>
      </c>
    </row>
    <row r="201" spans="2:28" x14ac:dyDescent="0.4">
      <c r="B201" s="11">
        <v>184</v>
      </c>
      <c r="C201" s="16">
        <f t="shared" si="9"/>
        <v>84.606054700960129</v>
      </c>
      <c r="D201" s="17">
        <f t="shared" si="11"/>
        <v>94.00672744551126</v>
      </c>
      <c r="E201" s="17">
        <f t="shared" si="10"/>
        <v>103.40740019006239</v>
      </c>
      <c r="F201" s="2">
        <v>94.240799999999993</v>
      </c>
      <c r="G201" s="2" t="str">
        <f t="shared" si="8"/>
        <v>Pass</v>
      </c>
      <c r="Y201" s="2">
        <v>186</v>
      </c>
      <c r="Z201" s="2">
        <v>0.28439999999999999</v>
      </c>
      <c r="AA201" s="2">
        <v>0.29820000000000002</v>
      </c>
      <c r="AB201" s="2">
        <v>96.188000000000002</v>
      </c>
    </row>
    <row r="202" spans="2:28" x14ac:dyDescent="0.4">
      <c r="B202" s="11">
        <v>185</v>
      </c>
      <c r="C202" s="16">
        <f t="shared" si="9"/>
        <v>85.619495432711659</v>
      </c>
      <c r="D202" s="17">
        <f t="shared" si="11"/>
        <v>95.132772703012947</v>
      </c>
      <c r="E202" s="17">
        <f t="shared" si="10"/>
        <v>104.64604997331423</v>
      </c>
      <c r="F202" s="2">
        <v>94.724100000000007</v>
      </c>
      <c r="G202" s="2" t="str">
        <f t="shared" si="8"/>
        <v>Pass</v>
      </c>
      <c r="Y202" s="2">
        <v>187</v>
      </c>
      <c r="Z202" s="2">
        <v>0.28439999999999999</v>
      </c>
      <c r="AA202" s="2">
        <v>0.29849999999999999</v>
      </c>
      <c r="AB202" s="2">
        <v>97.366100000000003</v>
      </c>
    </row>
    <row r="203" spans="2:28" x14ac:dyDescent="0.4">
      <c r="B203" s="11">
        <v>186</v>
      </c>
      <c r="C203" s="16">
        <f t="shared" si="9"/>
        <v>86.639521820399793</v>
      </c>
      <c r="D203" s="17">
        <f t="shared" si="11"/>
        <v>96.266135355999765</v>
      </c>
      <c r="E203" s="17">
        <f t="shared" si="10"/>
        <v>105.89274889159974</v>
      </c>
      <c r="F203" s="2">
        <v>96.188000000000002</v>
      </c>
      <c r="G203" s="2" t="str">
        <f t="shared" si="8"/>
        <v>Pass</v>
      </c>
      <c r="Y203" s="2">
        <v>188</v>
      </c>
      <c r="Z203" s="2">
        <v>0.28449999999999998</v>
      </c>
      <c r="AA203" s="2">
        <v>0.29859999999999998</v>
      </c>
      <c r="AB203" s="2">
        <v>98.463099999999997</v>
      </c>
    </row>
    <row r="204" spans="2:28" x14ac:dyDescent="0.4">
      <c r="B204" s="11">
        <v>187</v>
      </c>
      <c r="C204" s="16">
        <f t="shared" si="9"/>
        <v>87.666140958272379</v>
      </c>
      <c r="D204" s="17">
        <f t="shared" si="11"/>
        <v>97.406823286969313</v>
      </c>
      <c r="E204" s="17">
        <f t="shared" si="10"/>
        <v>107.14750561566625</v>
      </c>
      <c r="F204" s="2">
        <v>97.366100000000003</v>
      </c>
      <c r="G204" s="2" t="str">
        <f t="shared" si="8"/>
        <v>Pass</v>
      </c>
      <c r="Y204" s="2">
        <v>189</v>
      </c>
      <c r="Z204" s="2">
        <v>0.2843</v>
      </c>
      <c r="AA204" s="2">
        <v>0.29899999999999999</v>
      </c>
      <c r="AB204" s="2">
        <v>99.540700000000001</v>
      </c>
    </row>
    <row r="205" spans="2:28" x14ac:dyDescent="0.4">
      <c r="B205" s="11">
        <v>188</v>
      </c>
      <c r="C205" s="16">
        <f t="shared" si="9"/>
        <v>88.699359910172333</v>
      </c>
      <c r="D205" s="17">
        <f t="shared" si="11"/>
        <v>98.554844344635924</v>
      </c>
      <c r="E205" s="17">
        <f t="shared" si="10"/>
        <v>108.41032877909952</v>
      </c>
      <c r="F205" s="2">
        <v>98.463099999999997</v>
      </c>
      <c r="G205" s="2" t="str">
        <f t="shared" si="8"/>
        <v>Pass</v>
      </c>
      <c r="Y205" s="2">
        <v>190</v>
      </c>
      <c r="Z205" s="2">
        <v>0.2843</v>
      </c>
      <c r="AA205" s="2">
        <v>0.29909999999999998</v>
      </c>
      <c r="AB205" s="2">
        <v>100.9482</v>
      </c>
    </row>
    <row r="206" spans="2:28" x14ac:dyDescent="0.4">
      <c r="B206" s="11">
        <v>189</v>
      </c>
      <c r="C206" s="16">
        <f t="shared" si="9"/>
        <v>89.739185709829187</v>
      </c>
      <c r="D206" s="17">
        <f t="shared" si="11"/>
        <v>99.710206344254658</v>
      </c>
      <c r="E206" s="17">
        <f t="shared" si="10"/>
        <v>109.68122697868013</v>
      </c>
      <c r="F206" s="2">
        <v>99.540700000000001</v>
      </c>
      <c r="G206" s="2" t="str">
        <f t="shared" si="8"/>
        <v>Pass</v>
      </c>
      <c r="Y206" s="2">
        <v>191</v>
      </c>
      <c r="Z206" s="2">
        <v>0.28470000000000001</v>
      </c>
      <c r="AA206" s="2">
        <v>0.30009999999999998</v>
      </c>
      <c r="AB206" s="2">
        <v>102.0735</v>
      </c>
    </row>
    <row r="207" spans="2:28" x14ac:dyDescent="0.4">
      <c r="B207" s="11">
        <v>190</v>
      </c>
      <c r="C207" s="16">
        <f t="shared" si="9"/>
        <v>90.7856253611466</v>
      </c>
      <c r="D207" s="17">
        <f t="shared" si="11"/>
        <v>100.87291706794066</v>
      </c>
      <c r="E207" s="17">
        <f t="shared" si="10"/>
        <v>110.96020877473472</v>
      </c>
      <c r="F207" s="2">
        <v>100.9482</v>
      </c>
      <c r="G207" s="2" t="str">
        <f t="shared" si="8"/>
        <v>Pass</v>
      </c>
      <c r="Y207" s="2">
        <v>192</v>
      </c>
      <c r="Z207" s="2">
        <v>0.28489999999999999</v>
      </c>
      <c r="AA207" s="2">
        <v>0.30020000000000002</v>
      </c>
      <c r="AB207" s="2">
        <v>103.3051</v>
      </c>
    </row>
    <row r="208" spans="2:28" x14ac:dyDescent="0.4">
      <c r="B208" s="11">
        <v>191</v>
      </c>
      <c r="C208" s="16">
        <f t="shared" si="9"/>
        <v>91.838685838485247</v>
      </c>
      <c r="D208" s="17">
        <f t="shared" si="11"/>
        <v>102.0429842649836</v>
      </c>
      <c r="E208" s="17">
        <f t="shared" si="10"/>
        <v>112.24728269148196</v>
      </c>
      <c r="F208" s="2">
        <v>102.0735</v>
      </c>
      <c r="G208" s="2" t="str">
        <f t="shared" si="8"/>
        <v>Pass</v>
      </c>
      <c r="Y208" s="2">
        <v>193</v>
      </c>
      <c r="Z208" s="2">
        <v>0.2848</v>
      </c>
      <c r="AA208" s="2">
        <v>0.29930000000000001</v>
      </c>
      <c r="AB208" s="2">
        <v>103.7029</v>
      </c>
    </row>
    <row r="209" spans="2:28" x14ac:dyDescent="0.4">
      <c r="B209" s="11">
        <v>192</v>
      </c>
      <c r="C209" s="16">
        <f t="shared" si="9"/>
        <v>92.898374086941828</v>
      </c>
      <c r="D209" s="17">
        <f t="shared" si="11"/>
        <v>103.22041565215758</v>
      </c>
      <c r="E209" s="17">
        <f t="shared" si="10"/>
        <v>113.54245721737334</v>
      </c>
      <c r="F209" s="2">
        <v>103.3051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0.28449999999999998</v>
      </c>
      <c r="AA209" s="2">
        <v>0.29949999999999999</v>
      </c>
      <c r="AB209" s="2">
        <v>104.75839999999999</v>
      </c>
    </row>
    <row r="210" spans="2:28" x14ac:dyDescent="0.4">
      <c r="B210" s="11">
        <v>193</v>
      </c>
      <c r="C210" s="16">
        <f t="shared" ref="C210:C272" si="13">D210-D210*(C$14/100)</f>
        <v>93.964697022623881</v>
      </c>
      <c r="D210" s="17">
        <f t="shared" si="11"/>
        <v>104.40521891402653</v>
      </c>
      <c r="E210" s="17">
        <f t="shared" ref="E210:E272" si="14">D210+D210*(C$14/100)</f>
        <v>114.84574080542919</v>
      </c>
      <c r="F210" s="2">
        <v>103.7029</v>
      </c>
      <c r="G210" s="2" t="str">
        <f t="shared" si="12"/>
        <v>Pass</v>
      </c>
      <c r="Y210" s="2">
        <v>195</v>
      </c>
      <c r="Z210" s="2">
        <v>0.28470000000000001</v>
      </c>
      <c r="AA210" s="2">
        <v>0.29959999999999998</v>
      </c>
      <c r="AB210" s="2">
        <v>106.0027</v>
      </c>
    </row>
    <row r="211" spans="2:28" x14ac:dyDescent="0.4">
      <c r="B211" s="11">
        <v>194</v>
      </c>
      <c r="C211" s="16">
        <f t="shared" si="13"/>
        <v>95.037661532920595</v>
      </c>
      <c r="D211" s="17">
        <f t="shared" ref="D211:D271" si="15">D$272*((B211+F$17)/B$272)^C$13</f>
        <v>105.59740170324511</v>
      </c>
      <c r="E211" s="17">
        <f t="shared" si="14"/>
        <v>116.15714187356963</v>
      </c>
      <c r="F211" s="2">
        <v>104.75839999999999</v>
      </c>
      <c r="G211" s="2" t="str">
        <f t="shared" si="12"/>
        <v>Pass</v>
      </c>
      <c r="Y211" s="2">
        <v>196</v>
      </c>
      <c r="Z211" s="2">
        <v>0.28499999999999998</v>
      </c>
      <c r="AA211" s="2">
        <v>0.29980000000000001</v>
      </c>
      <c r="AB211" s="2">
        <v>107.74420000000001</v>
      </c>
    </row>
    <row r="212" spans="2:28" x14ac:dyDescent="0.4">
      <c r="B212" s="11">
        <v>195</v>
      </c>
      <c r="C212" s="16">
        <f t="shared" si="13"/>
        <v>96.117274476769822</v>
      </c>
      <c r="D212" s="17">
        <f t="shared" si="15"/>
        <v>106.79697164085536</v>
      </c>
      <c r="E212" s="17">
        <f t="shared" si="14"/>
        <v>117.4766688049409</v>
      </c>
      <c r="F212" s="2">
        <v>106.0027</v>
      </c>
      <c r="G212" s="2" t="str">
        <f t="shared" si="12"/>
        <v>Pass</v>
      </c>
      <c r="Y212" s="2">
        <v>197</v>
      </c>
      <c r="Z212" s="2">
        <v>0.2853</v>
      </c>
      <c r="AA212" s="2">
        <v>0.3</v>
      </c>
      <c r="AB212" s="2">
        <v>109.00060000000001</v>
      </c>
    </row>
    <row r="213" spans="2:28" x14ac:dyDescent="0.4">
      <c r="B213" s="11">
        <v>196</v>
      </c>
      <c r="C213" s="16">
        <f t="shared" si="13"/>
        <v>97.203542684921075</v>
      </c>
      <c r="D213" s="17">
        <f t="shared" si="15"/>
        <v>108.00393631657897</v>
      </c>
      <c r="E213" s="17">
        <f t="shared" si="14"/>
        <v>118.80432994823687</v>
      </c>
      <c r="F213" s="2">
        <v>107.74420000000001</v>
      </c>
      <c r="G213" s="2" t="str">
        <f t="shared" si="12"/>
        <v>Pass</v>
      </c>
      <c r="Y213" s="2">
        <v>198</v>
      </c>
      <c r="Z213" s="2">
        <v>0.28449999999999998</v>
      </c>
      <c r="AA213" s="2">
        <v>0.29970000000000002</v>
      </c>
      <c r="AB213" s="2">
        <v>110.2852</v>
      </c>
    </row>
    <row r="214" spans="2:28" x14ac:dyDescent="0.4">
      <c r="B214" s="11">
        <v>197</v>
      </c>
      <c r="C214" s="16">
        <f t="shared" si="13"/>
        <v>98.296472960194876</v>
      </c>
      <c r="D214" s="17">
        <f t="shared" si="15"/>
        <v>109.21830328910542</v>
      </c>
      <c r="E214" s="17">
        <f t="shared" si="14"/>
        <v>120.14013361801597</v>
      </c>
      <c r="F214" s="2">
        <v>109.00060000000001</v>
      </c>
      <c r="G214" s="2" t="str">
        <f t="shared" si="12"/>
        <v>Pass</v>
      </c>
      <c r="Y214" s="2">
        <v>199</v>
      </c>
      <c r="Z214" s="2">
        <v>0.28460000000000002</v>
      </c>
      <c r="AA214" s="2">
        <v>0.2999</v>
      </c>
      <c r="AB214" s="2">
        <v>111.4873</v>
      </c>
    </row>
    <row r="215" spans="2:28" x14ac:dyDescent="0.4">
      <c r="B215" s="11">
        <v>198</v>
      </c>
      <c r="C215" s="16">
        <f t="shared" si="13"/>
        <v>99.396072077738381</v>
      </c>
      <c r="D215" s="17">
        <f t="shared" si="15"/>
        <v>110.44008008637597</v>
      </c>
      <c r="E215" s="17">
        <f t="shared" si="14"/>
        <v>121.48408809501356</v>
      </c>
      <c r="F215" s="2">
        <v>110.2852</v>
      </c>
      <c r="G215" s="2" t="str">
        <f t="shared" si="12"/>
        <v>Pass</v>
      </c>
      <c r="Y215" s="2">
        <v>200</v>
      </c>
      <c r="Z215" s="2">
        <v>0.28449999999999998</v>
      </c>
      <c r="AA215" s="2">
        <v>0.29899999999999999</v>
      </c>
      <c r="AB215" s="2">
        <v>111.8124</v>
      </c>
    </row>
    <row r="216" spans="2:28" x14ac:dyDescent="0.4">
      <c r="B216" s="11">
        <v>199</v>
      </c>
      <c r="C216" s="16">
        <f t="shared" si="13"/>
        <v>100.50234678527744</v>
      </c>
      <c r="D216" s="17">
        <f t="shared" si="15"/>
        <v>111.66927420586381</v>
      </c>
      <c r="E216" s="17">
        <f t="shared" si="14"/>
        <v>122.83620162645019</v>
      </c>
      <c r="F216" s="2">
        <v>111.4873</v>
      </c>
      <c r="G216" s="2" t="str">
        <f t="shared" si="12"/>
        <v>Pass</v>
      </c>
      <c r="Y216" s="2">
        <v>201</v>
      </c>
      <c r="Z216" s="2">
        <v>0.28460000000000002</v>
      </c>
      <c r="AA216" s="2">
        <v>0.29899999999999999</v>
      </c>
      <c r="AB216" s="2">
        <v>113.3592</v>
      </c>
    </row>
    <row r="217" spans="2:28" x14ac:dyDescent="0.4">
      <c r="B217" s="11">
        <v>200</v>
      </c>
      <c r="C217" s="16">
        <f t="shared" si="13"/>
        <v>101.61530380336504</v>
      </c>
      <c r="D217" s="17">
        <f t="shared" si="15"/>
        <v>112.90589311485004</v>
      </c>
      <c r="E217" s="17">
        <f t="shared" si="14"/>
        <v>124.19648242633505</v>
      </c>
      <c r="F217" s="2">
        <v>111.8124</v>
      </c>
      <c r="G217" s="2" t="str">
        <f t="shared" si="12"/>
        <v>Pass</v>
      </c>
      <c r="Y217" s="2">
        <v>202</v>
      </c>
      <c r="Z217" s="2">
        <v>0.28449999999999998</v>
      </c>
      <c r="AA217" s="2">
        <v>0.29920000000000002</v>
      </c>
      <c r="AB217" s="2">
        <v>114.1579</v>
      </c>
    </row>
    <row r="218" spans="2:28" x14ac:dyDescent="0.4">
      <c r="B218" s="11">
        <v>201</v>
      </c>
      <c r="C218" s="16">
        <f t="shared" si="13"/>
        <v>102.7349498256262</v>
      </c>
      <c r="D218" s="17">
        <f t="shared" si="15"/>
        <v>114.14994425069578</v>
      </c>
      <c r="E218" s="17">
        <f t="shared" si="14"/>
        <v>125.56493867576536</v>
      </c>
      <c r="F218" s="2">
        <v>113.3592</v>
      </c>
      <c r="G218" s="2" t="str">
        <f t="shared" si="12"/>
        <v>Pass</v>
      </c>
      <c r="Y218" s="2">
        <v>203</v>
      </c>
      <c r="Z218" s="2">
        <v>0.28460000000000002</v>
      </c>
      <c r="AA218" s="2">
        <v>0.2994</v>
      </c>
      <c r="AB218" s="2">
        <v>115.89960000000001</v>
      </c>
    </row>
    <row r="219" spans="2:28" x14ac:dyDescent="0.4">
      <c r="B219" s="11">
        <v>202</v>
      </c>
      <c r="C219" s="16">
        <f t="shared" si="13"/>
        <v>103.86129151899965</v>
      </c>
      <c r="D219" s="17">
        <f t="shared" si="15"/>
        <v>115.40143502111073</v>
      </c>
      <c r="E219" s="17">
        <f t="shared" si="14"/>
        <v>126.94157852322181</v>
      </c>
      <c r="F219" s="2">
        <v>114.1579</v>
      </c>
      <c r="G219" s="2" t="str">
        <f t="shared" si="12"/>
        <v>Pass</v>
      </c>
      <c r="Y219" s="2">
        <v>204</v>
      </c>
      <c r="Z219" s="2">
        <v>0.2848</v>
      </c>
      <c r="AA219" s="2">
        <v>0.29949999999999999</v>
      </c>
      <c r="AB219" s="2">
        <v>117.1777</v>
      </c>
    </row>
    <row r="220" spans="2:28" x14ac:dyDescent="0.4">
      <c r="B220" s="11">
        <v>203</v>
      </c>
      <c r="C220" s="16">
        <f t="shared" si="13"/>
        <v>104.99433552397589</v>
      </c>
      <c r="D220" s="17">
        <f t="shared" si="15"/>
        <v>116.66037280441766</v>
      </c>
      <c r="E220" s="17">
        <f t="shared" si="14"/>
        <v>128.32641008485942</v>
      </c>
      <c r="F220" s="2">
        <v>115.89960000000001</v>
      </c>
      <c r="G220" s="2" t="str">
        <f t="shared" si="12"/>
        <v>Pass</v>
      </c>
      <c r="Y220" s="2">
        <v>205</v>
      </c>
      <c r="Z220" s="2">
        <v>0.2848</v>
      </c>
      <c r="AA220" s="2">
        <v>0.29959999999999998</v>
      </c>
      <c r="AB220" s="2">
        <v>118.8506</v>
      </c>
    </row>
    <row r="221" spans="2:28" x14ac:dyDescent="0.4">
      <c r="B221" s="11">
        <v>204</v>
      </c>
      <c r="C221" s="16">
        <f t="shared" si="13"/>
        <v>106.13408845483228</v>
      </c>
      <c r="D221" s="17">
        <f t="shared" si="15"/>
        <v>117.92676494981364</v>
      </c>
      <c r="E221" s="17">
        <f t="shared" si="14"/>
        <v>129.719441444795</v>
      </c>
      <c r="F221" s="2">
        <v>117.1777</v>
      </c>
      <c r="G221" s="2" t="str">
        <f t="shared" si="12"/>
        <v>Pass</v>
      </c>
      <c r="Y221" s="2">
        <v>206</v>
      </c>
      <c r="Z221" s="2">
        <v>0.28389999999999999</v>
      </c>
      <c r="AA221" s="2">
        <v>0.29930000000000001</v>
      </c>
      <c r="AB221" s="2">
        <v>119.6491</v>
      </c>
    </row>
    <row r="222" spans="2:28" x14ac:dyDescent="0.4">
      <c r="B222" s="11">
        <v>205</v>
      </c>
      <c r="C222" s="16">
        <f t="shared" si="13"/>
        <v>107.28055689986448</v>
      </c>
      <c r="D222" s="17">
        <f t="shared" si="15"/>
        <v>119.2006187776272</v>
      </c>
      <c r="E222" s="17">
        <f t="shared" si="14"/>
        <v>131.12068065538992</v>
      </c>
      <c r="F222" s="2">
        <v>118.8506</v>
      </c>
      <c r="G222" s="2" t="str">
        <f t="shared" si="12"/>
        <v>Pass</v>
      </c>
      <c r="Y222" s="2">
        <v>207</v>
      </c>
      <c r="Z222" s="2">
        <v>0.28420000000000001</v>
      </c>
      <c r="AA222" s="2">
        <v>0.29930000000000001</v>
      </c>
      <c r="AB222" s="2">
        <v>121.2722</v>
      </c>
    </row>
    <row r="223" spans="2:28" x14ac:dyDescent="0.4">
      <c r="B223" s="11">
        <v>206</v>
      </c>
      <c r="C223" s="16">
        <f t="shared" si="13"/>
        <v>108.43374742161518</v>
      </c>
      <c r="D223" s="17">
        <f t="shared" si="15"/>
        <v>120.48194157957242</v>
      </c>
      <c r="E223" s="17">
        <f t="shared" si="14"/>
        <v>132.53013573752966</v>
      </c>
      <c r="F223" s="2">
        <v>119.6491</v>
      </c>
      <c r="G223" s="2" t="str">
        <f t="shared" si="12"/>
        <v>Pass</v>
      </c>
      <c r="Y223" s="2">
        <v>208</v>
      </c>
      <c r="Z223" s="2">
        <v>0.28439999999999999</v>
      </c>
      <c r="AA223" s="2">
        <v>0.29830000000000001</v>
      </c>
      <c r="AB223" s="2">
        <v>121.7307</v>
      </c>
    </row>
    <row r="224" spans="2:28" x14ac:dyDescent="0.4">
      <c r="B224" s="11">
        <v>207</v>
      </c>
      <c r="C224" s="16">
        <f t="shared" si="13"/>
        <v>109.59366655709943</v>
      </c>
      <c r="D224" s="17">
        <f t="shared" si="15"/>
        <v>121.77074061899937</v>
      </c>
      <c r="E224" s="17">
        <f t="shared" si="14"/>
        <v>133.94781468089931</v>
      </c>
      <c r="F224" s="2">
        <v>121.2722</v>
      </c>
      <c r="G224" s="2" t="str">
        <f t="shared" si="12"/>
        <v>Pass</v>
      </c>
      <c r="Y224" s="2">
        <v>209</v>
      </c>
      <c r="Z224" s="2">
        <v>0.28449999999999998</v>
      </c>
      <c r="AA224" s="2">
        <v>0.29830000000000001</v>
      </c>
      <c r="AB224" s="2">
        <v>122.98099999999999</v>
      </c>
    </row>
    <row r="225" spans="2:28" x14ac:dyDescent="0.4">
      <c r="B225" s="11">
        <v>208</v>
      </c>
      <c r="C225" s="16">
        <f t="shared" si="13"/>
        <v>110.76032081802694</v>
      </c>
      <c r="D225" s="17">
        <f t="shared" si="15"/>
        <v>123.06702313114104</v>
      </c>
      <c r="E225" s="17">
        <f t="shared" si="14"/>
        <v>135.37372544425514</v>
      </c>
      <c r="F225" s="2">
        <v>121.7307</v>
      </c>
      <c r="G225" s="2" t="str">
        <f t="shared" si="12"/>
        <v>Pass</v>
      </c>
      <c r="Y225" s="2">
        <v>210</v>
      </c>
      <c r="Z225" s="2">
        <v>0.28460000000000002</v>
      </c>
      <c r="AA225" s="2">
        <v>0.29849999999999999</v>
      </c>
      <c r="AB225" s="2">
        <v>124.6489</v>
      </c>
    </row>
    <row r="226" spans="2:28" x14ac:dyDescent="0.4">
      <c r="B226" s="11">
        <v>209</v>
      </c>
      <c r="C226" s="16">
        <f t="shared" si="13"/>
        <v>111.93371669102146</v>
      </c>
      <c r="D226" s="17">
        <f t="shared" si="15"/>
        <v>124.37079632335718</v>
      </c>
      <c r="E226" s="17">
        <f t="shared" si="14"/>
        <v>136.80787595569291</v>
      </c>
      <c r="F226" s="2">
        <v>122.98099999999999</v>
      </c>
      <c r="G226" s="2" t="str">
        <f t="shared" si="12"/>
        <v>Pass</v>
      </c>
      <c r="Y226" s="2">
        <v>211</v>
      </c>
      <c r="Z226" s="2">
        <v>0.28449999999999998</v>
      </c>
      <c r="AA226" s="2">
        <v>0.29949999999999999</v>
      </c>
      <c r="AB226" s="2">
        <v>125.4699</v>
      </c>
    </row>
    <row r="227" spans="2:28" x14ac:dyDescent="0.4">
      <c r="B227" s="11">
        <v>210</v>
      </c>
      <c r="C227" s="16">
        <f t="shared" si="13"/>
        <v>113.11386063783721</v>
      </c>
      <c r="D227" s="17">
        <f t="shared" si="15"/>
        <v>125.68206737537467</v>
      </c>
      <c r="E227" s="17">
        <f t="shared" si="14"/>
        <v>138.25027411291214</v>
      </c>
      <c r="F227" s="2">
        <v>124.6489</v>
      </c>
      <c r="G227" s="2" t="str">
        <f t="shared" si="12"/>
        <v>Pass</v>
      </c>
      <c r="Y227" s="2">
        <v>212</v>
      </c>
      <c r="Z227" s="2">
        <v>0.28470000000000001</v>
      </c>
      <c r="AA227" s="2">
        <v>0.29959999999999998</v>
      </c>
      <c r="AB227" s="2">
        <v>127.1618</v>
      </c>
    </row>
    <row r="228" spans="2:28" x14ac:dyDescent="0.4">
      <c r="B228" s="11">
        <v>211</v>
      </c>
      <c r="C228" s="16">
        <f t="shared" si="13"/>
        <v>114.30075909557232</v>
      </c>
      <c r="D228" s="17">
        <f t="shared" si="15"/>
        <v>127.0008434395248</v>
      </c>
      <c r="E228" s="17">
        <f t="shared" si="14"/>
        <v>139.70092778347728</v>
      </c>
      <c r="F228" s="2">
        <v>125.4699</v>
      </c>
      <c r="G228" s="2" t="str">
        <f t="shared" si="12"/>
        <v>Pass</v>
      </c>
      <c r="Y228" s="2">
        <v>213</v>
      </c>
      <c r="Z228" s="2">
        <v>0.2848</v>
      </c>
      <c r="AA228" s="2">
        <v>0.29959999999999998</v>
      </c>
      <c r="AB228" s="2">
        <v>128.4127</v>
      </c>
    </row>
    <row r="229" spans="2:28" x14ac:dyDescent="0.4">
      <c r="B229" s="11">
        <v>212</v>
      </c>
      <c r="C229" s="16">
        <f t="shared" si="13"/>
        <v>115.49441847687966</v>
      </c>
      <c r="D229" s="17">
        <f t="shared" si="15"/>
        <v>128.3271316409774</v>
      </c>
      <c r="E229" s="17">
        <f t="shared" si="14"/>
        <v>141.15984480507512</v>
      </c>
      <c r="F229" s="2">
        <v>127.1618</v>
      </c>
      <c r="G229" s="2" t="str">
        <f t="shared" si="12"/>
        <v>Pass</v>
      </c>
      <c r="Y229" s="2">
        <v>214</v>
      </c>
      <c r="Z229" s="2">
        <v>0.28420000000000001</v>
      </c>
      <c r="AA229" s="2">
        <v>0.29830000000000001</v>
      </c>
      <c r="AB229" s="2">
        <v>130.15350000000001</v>
      </c>
    </row>
    <row r="230" spans="2:28" x14ac:dyDescent="0.4">
      <c r="B230" s="11">
        <v>213</v>
      </c>
      <c r="C230" s="16">
        <f t="shared" si="13"/>
        <v>116.69484517017443</v>
      </c>
      <c r="D230" s="17">
        <f t="shared" si="15"/>
        <v>129.66093907797159</v>
      </c>
      <c r="E230" s="17">
        <f t="shared" si="14"/>
        <v>142.62703298576875</v>
      </c>
      <c r="F230" s="2">
        <v>128.4127</v>
      </c>
      <c r="G230" s="2" t="str">
        <f t="shared" si="12"/>
        <v>Pass</v>
      </c>
      <c r="Y230" s="2">
        <v>215</v>
      </c>
      <c r="Z230" s="2">
        <v>0.28360000000000002</v>
      </c>
      <c r="AA230" s="2">
        <v>0.2984</v>
      </c>
      <c r="AB230" s="2">
        <v>131.08000000000001</v>
      </c>
    </row>
    <row r="231" spans="2:28" x14ac:dyDescent="0.4">
      <c r="B231" s="11">
        <v>214</v>
      </c>
      <c r="C231" s="16">
        <f t="shared" si="13"/>
        <v>117.90204553983966</v>
      </c>
      <c r="D231" s="17">
        <f t="shared" si="15"/>
        <v>131.00227282204406</v>
      </c>
      <c r="E231" s="17">
        <f t="shared" si="14"/>
        <v>144.10250010424846</v>
      </c>
      <c r="F231" s="2">
        <v>130.15350000000001</v>
      </c>
      <c r="G231" s="2" t="str">
        <f t="shared" si="12"/>
        <v>Pass</v>
      </c>
      <c r="Y231" s="2">
        <v>216</v>
      </c>
      <c r="Z231" s="2">
        <v>0.28360000000000002</v>
      </c>
      <c r="AA231" s="2">
        <v>0.29830000000000001</v>
      </c>
      <c r="AB231" s="2">
        <v>132.88290000000001</v>
      </c>
    </row>
    <row r="232" spans="2:28" x14ac:dyDescent="0.4">
      <c r="B232" s="11">
        <v>215</v>
      </c>
      <c r="C232" s="16">
        <f t="shared" si="13"/>
        <v>119.11602592642848</v>
      </c>
      <c r="D232" s="17">
        <f t="shared" si="15"/>
        <v>132.35113991825386</v>
      </c>
      <c r="E232" s="17">
        <f t="shared" si="14"/>
        <v>145.58625391007925</v>
      </c>
      <c r="F232" s="2">
        <v>131.08000000000001</v>
      </c>
      <c r="G232" s="2" t="str">
        <f t="shared" si="12"/>
        <v>Pass</v>
      </c>
      <c r="Y232" s="2">
        <v>217</v>
      </c>
      <c r="Z232" s="2">
        <v>0.28370000000000001</v>
      </c>
      <c r="AA232" s="2">
        <v>0.2984</v>
      </c>
      <c r="AB232" s="2">
        <v>134.20949999999999</v>
      </c>
    </row>
    <row r="233" spans="2:28" x14ac:dyDescent="0.4">
      <c r="B233" s="11">
        <v>216</v>
      </c>
      <c r="C233" s="16">
        <f t="shared" si="13"/>
        <v>120.33679264686394</v>
      </c>
      <c r="D233" s="17">
        <f t="shared" si="15"/>
        <v>133.70754738540438</v>
      </c>
      <c r="E233" s="17">
        <f t="shared" si="14"/>
        <v>147.07830212394481</v>
      </c>
      <c r="F233" s="2">
        <v>132.88290000000001</v>
      </c>
      <c r="G233" s="2" t="str">
        <f t="shared" si="12"/>
        <v>Pass</v>
      </c>
      <c r="Y233" s="2">
        <v>218</v>
      </c>
      <c r="Z233" s="2">
        <v>0.28389999999999999</v>
      </c>
      <c r="AA233" s="2">
        <v>0.29749999999999999</v>
      </c>
      <c r="AB233" s="2">
        <v>134.65270000000001</v>
      </c>
    </row>
    <row r="234" spans="2:28" x14ac:dyDescent="0.4">
      <c r="B234" s="11">
        <v>217</v>
      </c>
      <c r="C234" s="16">
        <f t="shared" si="13"/>
        <v>121.56435199463638</v>
      </c>
      <c r="D234" s="17">
        <f t="shared" si="15"/>
        <v>135.07150221626264</v>
      </c>
      <c r="E234" s="17">
        <f t="shared" si="14"/>
        <v>148.57865243788891</v>
      </c>
      <c r="F234" s="2">
        <v>134.20949999999999</v>
      </c>
      <c r="G234" s="2" t="str">
        <f t="shared" si="12"/>
        <v>Pass</v>
      </c>
      <c r="Y234" s="2">
        <v>219</v>
      </c>
      <c r="Z234" s="2">
        <v>0.28410000000000002</v>
      </c>
      <c r="AA234" s="2">
        <v>0.29759999999999998</v>
      </c>
      <c r="AB234" s="2">
        <v>136.37190000000001</v>
      </c>
    </row>
    <row r="235" spans="2:28" x14ac:dyDescent="0.4">
      <c r="B235" s="11">
        <v>218</v>
      </c>
      <c r="C235" s="16">
        <f t="shared" si="13"/>
        <v>122.79871023999789</v>
      </c>
      <c r="D235" s="17">
        <f t="shared" si="15"/>
        <v>136.44301137777543</v>
      </c>
      <c r="E235" s="17">
        <f t="shared" si="14"/>
        <v>150.08731251555298</v>
      </c>
      <c r="F235" s="2">
        <v>134.65270000000001</v>
      </c>
      <c r="G235" s="2" t="str">
        <f t="shared" si="12"/>
        <v>Pass</v>
      </c>
      <c r="Y235" s="2">
        <v>220</v>
      </c>
      <c r="Z235" s="2">
        <v>0.2833</v>
      </c>
      <c r="AA235" s="2">
        <v>0.29730000000000001</v>
      </c>
      <c r="AB235" s="2">
        <v>137.34460000000001</v>
      </c>
    </row>
    <row r="236" spans="2:28" x14ac:dyDescent="0.4">
      <c r="B236" s="11">
        <v>219</v>
      </c>
      <c r="C236" s="16">
        <f t="shared" si="13"/>
        <v>124.03987363015464</v>
      </c>
      <c r="D236" s="17">
        <f t="shared" si="15"/>
        <v>137.82208181128294</v>
      </c>
      <c r="E236" s="17">
        <f t="shared" si="14"/>
        <v>151.60428999241122</v>
      </c>
      <c r="F236" s="2">
        <v>136.37190000000001</v>
      </c>
      <c r="G236" s="2" t="str">
        <f t="shared" si="12"/>
        <v>Pass</v>
      </c>
      <c r="Y236" s="2">
        <v>221</v>
      </c>
      <c r="Z236" s="2">
        <v>0.28339999999999999</v>
      </c>
      <c r="AA236" s="2">
        <v>0.29749999999999999</v>
      </c>
      <c r="AB236" s="2">
        <v>139.14609999999999</v>
      </c>
    </row>
    <row r="237" spans="2:28" x14ac:dyDescent="0.4">
      <c r="B237" s="11">
        <v>220</v>
      </c>
      <c r="C237" s="16">
        <f t="shared" si="13"/>
        <v>125.28784838945658</v>
      </c>
      <c r="D237" s="17">
        <f t="shared" si="15"/>
        <v>139.20872043272954</v>
      </c>
      <c r="E237" s="17">
        <f t="shared" si="14"/>
        <v>153.1295924760025</v>
      </c>
      <c r="F237" s="2">
        <v>137.34460000000001</v>
      </c>
      <c r="G237" s="2" t="str">
        <f t="shared" si="12"/>
        <v>Pass</v>
      </c>
      <c r="Y237" s="2">
        <v>222</v>
      </c>
      <c r="Z237" s="2">
        <v>0.28349999999999997</v>
      </c>
      <c r="AA237" s="2">
        <v>0.29749999999999999</v>
      </c>
      <c r="AB237" s="2">
        <v>140.4633</v>
      </c>
    </row>
    <row r="238" spans="2:28" x14ac:dyDescent="0.4">
      <c r="B238" s="11">
        <v>221</v>
      </c>
      <c r="C238" s="16">
        <f t="shared" si="13"/>
        <v>126.54264071958471</v>
      </c>
      <c r="D238" s="17">
        <f t="shared" si="15"/>
        <v>140.60293413287189</v>
      </c>
      <c r="E238" s="17">
        <f t="shared" si="14"/>
        <v>154.66322754615908</v>
      </c>
      <c r="F238" s="2">
        <v>139.14609999999999</v>
      </c>
      <c r="G238" s="2" t="str">
        <f t="shared" si="12"/>
        <v>Pass</v>
      </c>
      <c r="Y238" s="2">
        <v>223</v>
      </c>
      <c r="Z238" s="2">
        <v>0.28360000000000002</v>
      </c>
      <c r="AA238" s="2">
        <v>0.29770000000000002</v>
      </c>
      <c r="AB238" s="2">
        <v>142.20840000000001</v>
      </c>
    </row>
    <row r="239" spans="2:28" x14ac:dyDescent="0.4">
      <c r="B239" s="11">
        <v>222</v>
      </c>
      <c r="C239" s="16">
        <f t="shared" si="13"/>
        <v>127.80425679973592</v>
      </c>
      <c r="D239" s="17">
        <f t="shared" si="15"/>
        <v>142.00472977748436</v>
      </c>
      <c r="E239" s="17">
        <f t="shared" si="14"/>
        <v>156.20520275523279</v>
      </c>
      <c r="F239" s="2">
        <v>140.4633</v>
      </c>
      <c r="G239" s="2" t="str">
        <f t="shared" si="12"/>
        <v>Pass</v>
      </c>
      <c r="Y239" s="2">
        <v>224</v>
      </c>
      <c r="Z239" s="2">
        <v>0.28320000000000001</v>
      </c>
      <c r="AA239" s="2">
        <v>0.29799999999999999</v>
      </c>
      <c r="AB239" s="2">
        <v>143.2328</v>
      </c>
    </row>
    <row r="240" spans="2:28" x14ac:dyDescent="0.4">
      <c r="B240" s="11">
        <v>223</v>
      </c>
      <c r="C240" s="16">
        <f t="shared" si="13"/>
        <v>129.07270278680573</v>
      </c>
      <c r="D240" s="17">
        <f t="shared" si="15"/>
        <v>143.41411420756194</v>
      </c>
      <c r="E240" s="17">
        <f t="shared" si="14"/>
        <v>157.75552562831814</v>
      </c>
      <c r="F240" s="2">
        <v>142.20840000000001</v>
      </c>
      <c r="G240" s="2" t="str">
        <f t="shared" si="12"/>
        <v>Pass</v>
      </c>
      <c r="Y240" s="2">
        <v>225</v>
      </c>
      <c r="Z240" s="2">
        <v>0.2833</v>
      </c>
      <c r="AA240" s="2">
        <v>0.29809999999999998</v>
      </c>
      <c r="AB240" s="2">
        <v>145.10910000000001</v>
      </c>
    </row>
    <row r="241" spans="2:28" x14ac:dyDescent="0.4">
      <c r="B241" s="11">
        <v>224</v>
      </c>
      <c r="C241" s="16">
        <f t="shared" si="13"/>
        <v>130.34798481556851</v>
      </c>
      <c r="D241" s="17">
        <f t="shared" si="15"/>
        <v>144.83109423952058</v>
      </c>
      <c r="E241" s="17">
        <f t="shared" si="14"/>
        <v>159.31420366347265</v>
      </c>
      <c r="F241" s="2">
        <v>143.2328</v>
      </c>
      <c r="G241" s="2" t="str">
        <f t="shared" si="12"/>
        <v>Pass</v>
      </c>
      <c r="Y241" s="2">
        <v>226</v>
      </c>
      <c r="Z241" s="2">
        <v>0.28339999999999999</v>
      </c>
      <c r="AA241" s="2">
        <v>0.29820000000000002</v>
      </c>
      <c r="AB241" s="2">
        <v>146.50059999999999</v>
      </c>
    </row>
    <row r="242" spans="2:28" x14ac:dyDescent="0.4">
      <c r="B242" s="11">
        <v>225</v>
      </c>
      <c r="C242" s="16">
        <f t="shared" si="13"/>
        <v>131.63010899885549</v>
      </c>
      <c r="D242" s="17">
        <f t="shared" si="15"/>
        <v>146.25567666539499</v>
      </c>
      <c r="E242" s="17">
        <f t="shared" si="14"/>
        <v>160.88124433193448</v>
      </c>
      <c r="F242" s="2">
        <v>145.10910000000001</v>
      </c>
      <c r="G242" s="2" t="str">
        <f t="shared" si="12"/>
        <v>Pass</v>
      </c>
      <c r="Y242" s="2">
        <v>227</v>
      </c>
      <c r="Z242" s="2">
        <v>0.28360000000000002</v>
      </c>
      <c r="AA242" s="2">
        <v>0.29849999999999999</v>
      </c>
      <c r="AB242" s="2">
        <v>148.27549999999999</v>
      </c>
    </row>
    <row r="243" spans="2:28" x14ac:dyDescent="0.4">
      <c r="B243" s="11">
        <v>226</v>
      </c>
      <c r="C243" s="16">
        <f t="shared" si="13"/>
        <v>132.91908142773048</v>
      </c>
      <c r="D243" s="17">
        <f t="shared" si="15"/>
        <v>147.68786825303386</v>
      </c>
      <c r="E243" s="17">
        <f t="shared" si="14"/>
        <v>162.45665507833723</v>
      </c>
      <c r="F243" s="2">
        <v>146.50059999999999</v>
      </c>
      <c r="G243" s="2" t="str">
        <f t="shared" si="12"/>
        <v>Pass</v>
      </c>
      <c r="Y243" s="2">
        <v>228</v>
      </c>
      <c r="Z243" s="2">
        <v>0.28389999999999999</v>
      </c>
      <c r="AA243" s="2">
        <v>0.2989</v>
      </c>
      <c r="AB243" s="2">
        <v>149.6071</v>
      </c>
    </row>
    <row r="244" spans="2:28" x14ac:dyDescent="0.4">
      <c r="B244" s="11">
        <v>227</v>
      </c>
      <c r="C244" s="16">
        <f t="shared" si="13"/>
        <v>134.21490817166372</v>
      </c>
      <c r="D244" s="17">
        <f t="shared" si="15"/>
        <v>149.12767574629302</v>
      </c>
      <c r="E244" s="17">
        <f t="shared" si="14"/>
        <v>164.04044332092232</v>
      </c>
      <c r="F244" s="2">
        <v>148.27549999999999</v>
      </c>
      <c r="G244" s="2" t="str">
        <f t="shared" si="12"/>
        <v>Pass</v>
      </c>
      <c r="Y244" s="2">
        <v>229</v>
      </c>
      <c r="Z244" s="2">
        <v>0.28360000000000002</v>
      </c>
      <c r="AA244" s="2">
        <v>0.29720000000000002</v>
      </c>
      <c r="AB244" s="2">
        <v>150.08349999999999</v>
      </c>
    </row>
    <row r="245" spans="2:28" x14ac:dyDescent="0.4">
      <c r="B245" s="11">
        <v>228</v>
      </c>
      <c r="C245" s="16">
        <f t="shared" si="13"/>
        <v>135.51759527870325</v>
      </c>
      <c r="D245" s="17">
        <f t="shared" si="15"/>
        <v>150.57510586522582</v>
      </c>
      <c r="E245" s="17">
        <f t="shared" si="14"/>
        <v>165.63261645174839</v>
      </c>
      <c r="F245" s="2">
        <v>149.6071</v>
      </c>
      <c r="G245" s="2" t="str">
        <f t="shared" si="12"/>
        <v>Pass</v>
      </c>
      <c r="Y245" s="2">
        <v>230</v>
      </c>
      <c r="Z245" s="2">
        <v>0.28320000000000001</v>
      </c>
      <c r="AA245" s="2">
        <v>0.29749999999999999</v>
      </c>
      <c r="AB245" s="2">
        <v>151.5241</v>
      </c>
    </row>
    <row r="246" spans="2:28" x14ac:dyDescent="0.4">
      <c r="B246" s="11">
        <v>229</v>
      </c>
      <c r="C246" s="16">
        <f t="shared" si="13"/>
        <v>136.8271487756441</v>
      </c>
      <c r="D246" s="17">
        <f t="shared" si="15"/>
        <v>152.03016530627124</v>
      </c>
      <c r="E246" s="17">
        <f t="shared" si="14"/>
        <v>167.23318183689838</v>
      </c>
      <c r="F246" s="2">
        <v>150.08349999999999</v>
      </c>
      <c r="G246" s="2" t="str">
        <f t="shared" si="12"/>
        <v>Pass</v>
      </c>
      <c r="Y246" s="2">
        <v>231</v>
      </c>
      <c r="Z246" s="2">
        <v>0.2833</v>
      </c>
      <c r="AA246" s="2">
        <v>0.29749999999999999</v>
      </c>
      <c r="AB246" s="2">
        <v>152.91829999999999</v>
      </c>
    </row>
    <row r="247" spans="2:28" x14ac:dyDescent="0.4">
      <c r="B247" s="11">
        <v>230</v>
      </c>
      <c r="C247" s="16">
        <f t="shared" si="13"/>
        <v>138.14357466819601</v>
      </c>
      <c r="D247" s="17">
        <f t="shared" si="15"/>
        <v>153.49286074244</v>
      </c>
      <c r="E247" s="17">
        <f t="shared" si="14"/>
        <v>168.84214681668399</v>
      </c>
      <c r="F247" s="2">
        <v>151.5241</v>
      </c>
      <c r="G247" s="2" t="str">
        <f t="shared" si="12"/>
        <v>Pass</v>
      </c>
      <c r="Y247" s="2">
        <v>232</v>
      </c>
      <c r="Z247" s="2">
        <v>0.28270000000000001</v>
      </c>
      <c r="AA247" s="2">
        <v>0.29630000000000001</v>
      </c>
      <c r="AB247" s="2">
        <v>154.79249999999999</v>
      </c>
    </row>
    <row r="248" spans="2:28" x14ac:dyDescent="0.4">
      <c r="B248" s="11">
        <v>231</v>
      </c>
      <c r="C248" s="16">
        <f t="shared" si="13"/>
        <v>139.46687894114831</v>
      </c>
      <c r="D248" s="17">
        <f t="shared" si="15"/>
        <v>154.96319882349812</v>
      </c>
      <c r="E248" s="17">
        <f t="shared" si="14"/>
        <v>170.45951870584793</v>
      </c>
      <c r="F248" s="2">
        <v>152.91829999999999</v>
      </c>
      <c r="G248" s="2" t="str">
        <f t="shared" si="12"/>
        <v>Pass</v>
      </c>
      <c r="Y248" s="2">
        <v>233</v>
      </c>
      <c r="Z248" s="2">
        <v>0.28270000000000001</v>
      </c>
      <c r="AA248" s="2">
        <v>0.2964</v>
      </c>
      <c r="AB248" s="2">
        <v>156.21180000000001</v>
      </c>
    </row>
    <row r="249" spans="2:28" x14ac:dyDescent="0.4">
      <c r="B249" s="11">
        <v>232</v>
      </c>
      <c r="C249" s="16">
        <f t="shared" si="13"/>
        <v>140.79706755853334</v>
      </c>
      <c r="D249" s="17">
        <f t="shared" si="15"/>
        <v>156.44118617614816</v>
      </c>
      <c r="E249" s="17">
        <f t="shared" si="14"/>
        <v>172.08530479376299</v>
      </c>
      <c r="F249" s="2">
        <v>154.79249999999999</v>
      </c>
      <c r="G249" s="2" t="str">
        <f t="shared" si="12"/>
        <v>Pass</v>
      </c>
      <c r="Y249" s="2">
        <v>234</v>
      </c>
      <c r="Z249" s="2">
        <v>0.28289999999999998</v>
      </c>
      <c r="AA249" s="2">
        <v>0.29649999999999999</v>
      </c>
      <c r="AB249" s="2">
        <v>158.13140000000001</v>
      </c>
    </row>
    <row r="250" spans="2:28" x14ac:dyDescent="0.4">
      <c r="B250" s="11">
        <v>233</v>
      </c>
      <c r="C250" s="16">
        <f t="shared" si="13"/>
        <v>142.13414646378769</v>
      </c>
      <c r="D250" s="17">
        <f t="shared" si="15"/>
        <v>157.92682940420855</v>
      </c>
      <c r="E250" s="17">
        <f t="shared" si="14"/>
        <v>173.71951234462941</v>
      </c>
      <c r="F250" s="2">
        <v>156.21180000000001</v>
      </c>
      <c r="G250" s="2" t="str">
        <f t="shared" si="12"/>
        <v>Pass</v>
      </c>
      <c r="Y250" s="2">
        <v>235</v>
      </c>
      <c r="Z250" s="2">
        <v>0.28270000000000001</v>
      </c>
      <c r="AA250" s="2">
        <v>0.29620000000000002</v>
      </c>
      <c r="AB250" s="2">
        <v>159.57660000000001</v>
      </c>
    </row>
    <row r="251" spans="2:28" x14ac:dyDescent="0.4">
      <c r="B251" s="11">
        <v>234</v>
      </c>
      <c r="C251" s="16">
        <f t="shared" si="13"/>
        <v>143.47812157991166</v>
      </c>
      <c r="D251" s="17">
        <f t="shared" si="15"/>
        <v>159.42013508879074</v>
      </c>
      <c r="E251" s="17">
        <f t="shared" si="14"/>
        <v>175.36214859766983</v>
      </c>
      <c r="F251" s="2">
        <v>158.13140000000001</v>
      </c>
      <c r="G251" s="2" t="str">
        <f t="shared" si="12"/>
        <v>Pass</v>
      </c>
      <c r="Y251" s="2">
        <v>236</v>
      </c>
      <c r="Z251" s="2">
        <v>0.28270000000000001</v>
      </c>
      <c r="AA251" s="2">
        <v>0.29609999999999997</v>
      </c>
      <c r="AB251" s="2">
        <v>161.53960000000001</v>
      </c>
    </row>
    <row r="252" spans="2:28" x14ac:dyDescent="0.4">
      <c r="B252" s="11">
        <v>235</v>
      </c>
      <c r="C252" s="16">
        <f t="shared" si="13"/>
        <v>144.82899880962651</v>
      </c>
      <c r="D252" s="17">
        <f t="shared" si="15"/>
        <v>160.9211097884739</v>
      </c>
      <c r="E252" s="17">
        <f t="shared" si="14"/>
        <v>177.01322076732129</v>
      </c>
      <c r="F252" s="2">
        <v>159.57660000000001</v>
      </c>
      <c r="G252" s="2" t="str">
        <f t="shared" si="12"/>
        <v>Pass</v>
      </c>
      <c r="Y252" s="2">
        <v>237</v>
      </c>
      <c r="Z252" s="2">
        <v>0.28239999999999998</v>
      </c>
      <c r="AA252" s="2">
        <v>0.2964</v>
      </c>
      <c r="AB252" s="2">
        <v>162.53059999999999</v>
      </c>
    </row>
    <row r="253" spans="2:28" x14ac:dyDescent="0.4">
      <c r="B253" s="11">
        <v>236</v>
      </c>
      <c r="C253" s="16">
        <f t="shared" si="13"/>
        <v>146.18678403553008</v>
      </c>
      <c r="D253" s="17">
        <f t="shared" si="15"/>
        <v>162.42976003947786</v>
      </c>
      <c r="E253" s="17">
        <f t="shared" si="14"/>
        <v>178.67273604342563</v>
      </c>
      <c r="F253" s="2">
        <v>161.53960000000001</v>
      </c>
      <c r="G253" s="2" t="str">
        <f t="shared" si="12"/>
        <v>Pass</v>
      </c>
      <c r="Y253" s="2">
        <v>238</v>
      </c>
      <c r="Z253" s="2">
        <v>0.28249999999999997</v>
      </c>
      <c r="AA253" s="2">
        <v>0.29649999999999999</v>
      </c>
      <c r="AB253" s="2">
        <v>164.4787</v>
      </c>
    </row>
    <row r="254" spans="2:28" x14ac:dyDescent="0.4">
      <c r="B254" s="11">
        <v>237</v>
      </c>
      <c r="C254" s="16">
        <f t="shared" si="13"/>
        <v>147.55148312025051</v>
      </c>
      <c r="D254" s="17">
        <f t="shared" si="15"/>
        <v>163.94609235583388</v>
      </c>
      <c r="E254" s="17">
        <f t="shared" si="14"/>
        <v>180.34070159141726</v>
      </c>
      <c r="F254" s="2">
        <v>162.53059999999999</v>
      </c>
      <c r="G254" s="2" t="str">
        <f t="shared" si="12"/>
        <v>Pass</v>
      </c>
      <c r="Y254" s="2">
        <v>239</v>
      </c>
      <c r="Z254" s="2">
        <v>0.28189999999999998</v>
      </c>
      <c r="AA254" s="2">
        <v>0.29520000000000002</v>
      </c>
      <c r="AB254" s="2">
        <v>165.9333</v>
      </c>
    </row>
    <row r="255" spans="2:28" x14ac:dyDescent="0.4">
      <c r="B255" s="11">
        <v>238</v>
      </c>
      <c r="C255" s="16">
        <f t="shared" si="13"/>
        <v>148.92310190659822</v>
      </c>
      <c r="D255" s="17">
        <f t="shared" si="15"/>
        <v>165.47011322955356</v>
      </c>
      <c r="E255" s="17">
        <f t="shared" si="14"/>
        <v>182.0171245525089</v>
      </c>
      <c r="F255" s="2">
        <v>164.4787</v>
      </c>
      <c r="G255" s="2" t="str">
        <f t="shared" si="12"/>
        <v>Pass</v>
      </c>
      <c r="Y255" s="2">
        <v>240</v>
      </c>
      <c r="Z255" s="2">
        <v>0.28210000000000002</v>
      </c>
      <c r="AA255" s="2">
        <v>0.2954</v>
      </c>
      <c r="AB255" s="2">
        <v>167.88550000000001</v>
      </c>
    </row>
    <row r="256" spans="2:28" x14ac:dyDescent="0.4">
      <c r="B256" s="11">
        <v>239</v>
      </c>
      <c r="C256" s="16">
        <f t="shared" si="13"/>
        <v>150.30164621771581</v>
      </c>
      <c r="D256" s="17">
        <f t="shared" si="15"/>
        <v>167.00182913079536</v>
      </c>
      <c r="E256" s="17">
        <f t="shared" si="14"/>
        <v>183.7020120438749</v>
      </c>
      <c r="F256" s="2">
        <v>165.9333</v>
      </c>
      <c r="G256" s="2" t="str">
        <f t="shared" si="12"/>
        <v>Pass</v>
      </c>
      <c r="Y256" s="2">
        <v>241</v>
      </c>
      <c r="Z256" s="2">
        <v>0.28199999999999997</v>
      </c>
      <c r="AA256" s="2">
        <v>0.29530000000000001</v>
      </c>
      <c r="AB256" s="2">
        <v>169.36869999999999</v>
      </c>
    </row>
    <row r="257" spans="2:28" x14ac:dyDescent="0.4">
      <c r="B257" s="11">
        <v>240</v>
      </c>
      <c r="C257" s="16">
        <f t="shared" si="13"/>
        <v>151.6871218572266</v>
      </c>
      <c r="D257" s="17">
        <f t="shared" si="15"/>
        <v>168.54124650802956</v>
      </c>
      <c r="E257" s="17">
        <f t="shared" si="14"/>
        <v>185.39537115883252</v>
      </c>
      <c r="F257" s="2">
        <v>167.88550000000001</v>
      </c>
      <c r="G257" s="2" t="str">
        <f t="shared" si="12"/>
        <v>Pass</v>
      </c>
      <c r="Y257" s="2">
        <v>242</v>
      </c>
      <c r="Z257" s="2">
        <v>0.28210000000000002</v>
      </c>
      <c r="AA257" s="2">
        <v>0.29530000000000001</v>
      </c>
      <c r="AB257" s="2">
        <v>171.3433</v>
      </c>
    </row>
    <row r="258" spans="2:28" x14ac:dyDescent="0.4">
      <c r="B258" s="11">
        <v>241</v>
      </c>
      <c r="C258" s="16">
        <f t="shared" si="13"/>
        <v>153.07953460938103</v>
      </c>
      <c r="D258" s="17">
        <f t="shared" si="15"/>
        <v>170.08837178820113</v>
      </c>
      <c r="E258" s="17">
        <f t="shared" si="14"/>
        <v>187.09720896702123</v>
      </c>
      <c r="F258" s="2">
        <v>169.36869999999999</v>
      </c>
      <c r="G258" s="2" t="str">
        <f t="shared" si="12"/>
        <v>Pass</v>
      </c>
      <c r="Y258" s="2">
        <v>243</v>
      </c>
      <c r="Z258" s="2">
        <v>0.2823</v>
      </c>
      <c r="AA258" s="2">
        <v>0.29549999999999998</v>
      </c>
      <c r="AB258" s="2">
        <v>172.74930000000001</v>
      </c>
    </row>
    <row r="259" spans="2:28" x14ac:dyDescent="0.4">
      <c r="B259" s="11">
        <v>242</v>
      </c>
      <c r="C259" s="16">
        <f t="shared" si="13"/>
        <v>154.47889023920172</v>
      </c>
      <c r="D259" s="17">
        <f t="shared" si="15"/>
        <v>171.6432113768908</v>
      </c>
      <c r="E259" s="17">
        <f t="shared" si="14"/>
        <v>188.80753251457989</v>
      </c>
      <c r="F259" s="2">
        <v>171.3433</v>
      </c>
      <c r="G259" s="2" t="str">
        <f t="shared" si="12"/>
        <v>Pass</v>
      </c>
      <c r="Y259" s="2">
        <v>244</v>
      </c>
      <c r="Z259" s="2">
        <v>0.28249999999999997</v>
      </c>
      <c r="AA259" s="2">
        <v>0.29570000000000002</v>
      </c>
      <c r="AB259" s="2">
        <v>174.62520000000001</v>
      </c>
    </row>
    <row r="260" spans="2:28" x14ac:dyDescent="0.4">
      <c r="B260" s="11">
        <v>243</v>
      </c>
      <c r="C260" s="16">
        <f t="shared" si="13"/>
        <v>155.88519449262665</v>
      </c>
      <c r="D260" s="17">
        <f t="shared" si="15"/>
        <v>173.20577165847405</v>
      </c>
      <c r="E260" s="17">
        <f t="shared" si="14"/>
        <v>190.52634882432145</v>
      </c>
      <c r="F260" s="2">
        <v>172.74930000000001</v>
      </c>
      <c r="G260" s="2" t="str">
        <f t="shared" si="12"/>
        <v>Pass</v>
      </c>
      <c r="Y260" s="2">
        <v>245</v>
      </c>
      <c r="Z260" s="2">
        <v>0.28170000000000001</v>
      </c>
      <c r="AA260" s="2">
        <v>0.29509999999999997</v>
      </c>
      <c r="AB260" s="2">
        <v>176.1644</v>
      </c>
    </row>
    <row r="261" spans="2:28" x14ac:dyDescent="0.4">
      <c r="B261" s="11">
        <v>244</v>
      </c>
      <c r="C261" s="16">
        <f t="shared" si="13"/>
        <v>157.29845309665066</v>
      </c>
      <c r="D261" s="17">
        <f t="shared" si="15"/>
        <v>174.77605899627852</v>
      </c>
      <c r="E261" s="17">
        <f t="shared" si="14"/>
        <v>192.25366489590638</v>
      </c>
      <c r="F261" s="2">
        <v>174.62520000000001</v>
      </c>
      <c r="G261" s="2" t="str">
        <f t="shared" si="12"/>
        <v>Pass</v>
      </c>
      <c r="Y261" s="2">
        <v>246</v>
      </c>
      <c r="Z261" s="2">
        <v>0.28189999999999998</v>
      </c>
      <c r="AA261" s="2">
        <v>0.2954</v>
      </c>
      <c r="AB261" s="2">
        <v>177.64580000000001</v>
      </c>
    </row>
    <row r="262" spans="2:28" x14ac:dyDescent="0.4">
      <c r="B262" s="11">
        <v>245</v>
      </c>
      <c r="C262" s="16">
        <f t="shared" si="13"/>
        <v>158.71867175946545</v>
      </c>
      <c r="D262" s="17">
        <f t="shared" si="15"/>
        <v>176.35407973273939</v>
      </c>
      <c r="E262" s="17">
        <f t="shared" si="14"/>
        <v>193.98948770601334</v>
      </c>
      <c r="F262" s="2">
        <v>176.1644</v>
      </c>
      <c r="G262" s="2" t="str">
        <f t="shared" si="12"/>
        <v>Pass</v>
      </c>
      <c r="Y262" s="2">
        <v>247</v>
      </c>
      <c r="Z262" s="2">
        <v>0.28210000000000002</v>
      </c>
      <c r="AA262" s="2">
        <v>0.29559999999999997</v>
      </c>
      <c r="AB262" s="2">
        <v>179.0864</v>
      </c>
    </row>
    <row r="263" spans="2:28" x14ac:dyDescent="0.4">
      <c r="B263" s="11">
        <v>246</v>
      </c>
      <c r="C263" s="16">
        <f t="shared" si="13"/>
        <v>160.14585617059794</v>
      </c>
      <c r="D263" s="17">
        <f t="shared" si="15"/>
        <v>177.93984018955325</v>
      </c>
      <c r="E263" s="17">
        <f t="shared" si="14"/>
        <v>195.73382420850857</v>
      </c>
      <c r="F263" s="2">
        <v>177.64580000000001</v>
      </c>
      <c r="G263" s="2" t="str">
        <f t="shared" si="12"/>
        <v>Pass</v>
      </c>
      <c r="Y263" s="2">
        <v>248</v>
      </c>
      <c r="Z263" s="2">
        <v>0.28249999999999997</v>
      </c>
      <c r="AA263" s="2">
        <v>0.29609999999999997</v>
      </c>
      <c r="AB263" s="2">
        <v>181.08349999999999</v>
      </c>
    </row>
    <row r="264" spans="2:28" x14ac:dyDescent="0.4">
      <c r="B264" s="11">
        <v>247</v>
      </c>
      <c r="C264" s="16">
        <f t="shared" si="13"/>
        <v>161.5800120010469</v>
      </c>
      <c r="D264" s="17">
        <f t="shared" si="15"/>
        <v>179.53334666782987</v>
      </c>
      <c r="E264" s="17">
        <f t="shared" si="14"/>
        <v>197.48668133461285</v>
      </c>
      <c r="F264" s="2">
        <v>179.0864</v>
      </c>
      <c r="G264" s="2" t="str">
        <f t="shared" si="12"/>
        <v>Pass</v>
      </c>
      <c r="Y264" s="2">
        <v>249</v>
      </c>
      <c r="Z264" s="2">
        <v>0.28270000000000001</v>
      </c>
      <c r="AA264" s="2">
        <v>0.29649999999999999</v>
      </c>
      <c r="AB264" s="2">
        <v>182.6234</v>
      </c>
    </row>
    <row r="265" spans="2:28" x14ac:dyDescent="0.4">
      <c r="B265" s="11">
        <v>248</v>
      </c>
      <c r="C265" s="16">
        <f t="shared" si="13"/>
        <v>163.02114490341836</v>
      </c>
      <c r="D265" s="17">
        <f t="shared" si="15"/>
        <v>181.13460544824264</v>
      </c>
      <c r="E265" s="17">
        <f t="shared" si="14"/>
        <v>199.24806599306692</v>
      </c>
      <c r="F265" s="2">
        <v>181.08349999999999</v>
      </c>
      <c r="G265" s="2" t="str">
        <f t="shared" si="12"/>
        <v>Pass</v>
      </c>
      <c r="Y265" s="2">
        <v>250</v>
      </c>
      <c r="Z265" s="2">
        <v>0.28260000000000002</v>
      </c>
      <c r="AA265" s="2">
        <v>0.29620000000000002</v>
      </c>
      <c r="AB265" s="2">
        <v>184.60550000000001</v>
      </c>
    </row>
    <row r="266" spans="2:28" x14ac:dyDescent="0.4">
      <c r="B266" s="11">
        <v>249</v>
      </c>
      <c r="C266" s="16">
        <f t="shared" si="13"/>
        <v>164.46926051205912</v>
      </c>
      <c r="D266" s="17">
        <f t="shared" si="15"/>
        <v>182.74362279117682</v>
      </c>
      <c r="E266" s="17">
        <f t="shared" si="14"/>
        <v>201.01798507029451</v>
      </c>
      <c r="F266" s="2">
        <v>182.6234</v>
      </c>
      <c r="G266" s="2" t="str">
        <f t="shared" si="12"/>
        <v>Pass</v>
      </c>
      <c r="Y266" s="2">
        <v>251</v>
      </c>
      <c r="Z266" s="2">
        <v>0.28270000000000001</v>
      </c>
      <c r="AA266" s="2">
        <v>0.29570000000000002</v>
      </c>
      <c r="AB266" s="2">
        <v>185.00880000000001</v>
      </c>
    </row>
    <row r="267" spans="2:28" x14ac:dyDescent="0.4">
      <c r="B267" s="11">
        <v>250</v>
      </c>
      <c r="C267" s="16">
        <f t="shared" si="13"/>
        <v>165.92436444318906</v>
      </c>
      <c r="D267" s="17">
        <f t="shared" si="15"/>
        <v>184.36040493687673</v>
      </c>
      <c r="E267" s="17">
        <f t="shared" si="14"/>
        <v>202.7964454305644</v>
      </c>
      <c r="F267" s="2">
        <v>184.60550000000001</v>
      </c>
      <c r="G267" s="2" t="str">
        <f t="shared" si="12"/>
        <v>Pass</v>
      </c>
      <c r="Y267" s="2">
        <v>252</v>
      </c>
      <c r="Z267" s="2">
        <v>0.28299999999999997</v>
      </c>
      <c r="AA267" s="2">
        <v>0.29620000000000002</v>
      </c>
      <c r="AB267" s="2">
        <v>186.50380000000001</v>
      </c>
    </row>
    <row r="268" spans="2:28" x14ac:dyDescent="0.4">
      <c r="B268" s="11">
        <v>251</v>
      </c>
      <c r="C268" s="16">
        <f t="shared" si="13"/>
        <v>167.38646229503166</v>
      </c>
      <c r="D268" s="17">
        <f t="shared" si="15"/>
        <v>185.98495810559072</v>
      </c>
      <c r="E268" s="17">
        <f t="shared" si="14"/>
        <v>204.58345391614978</v>
      </c>
      <c r="F268" s="2">
        <v>185.00880000000001</v>
      </c>
      <c r="G268" s="2" t="str">
        <f t="shared" si="12"/>
        <v>Pass</v>
      </c>
      <c r="Y268" s="2">
        <v>253</v>
      </c>
      <c r="Z268" s="2">
        <v>0.28339999999999999</v>
      </c>
      <c r="AA268" s="2">
        <v>0.29680000000000001</v>
      </c>
      <c r="AB268" s="2">
        <v>188.55699999999999</v>
      </c>
    </row>
    <row r="269" spans="2:28" x14ac:dyDescent="0.4">
      <c r="B269" s="11">
        <v>252</v>
      </c>
      <c r="C269" s="16">
        <f t="shared" si="13"/>
        <v>168.85555964794338</v>
      </c>
      <c r="D269" s="17">
        <f t="shared" si="15"/>
        <v>187.61728849771487</v>
      </c>
      <c r="E269" s="17">
        <f t="shared" si="14"/>
        <v>206.37901734748635</v>
      </c>
      <c r="F269" s="2">
        <v>186.50380000000001</v>
      </c>
      <c r="G269" s="2" t="str">
        <f t="shared" si="12"/>
        <v>Pass</v>
      </c>
      <c r="Y269" s="2">
        <v>254</v>
      </c>
      <c r="Z269" s="2">
        <v>0.28360000000000002</v>
      </c>
      <c r="AA269" s="2">
        <v>0.29720000000000002</v>
      </c>
      <c r="AB269" s="2">
        <v>190.09610000000001</v>
      </c>
    </row>
    <row r="270" spans="2:28" x14ac:dyDescent="0.4">
      <c r="B270" s="11">
        <v>253</v>
      </c>
      <c r="C270" s="16">
        <f t="shared" si="13"/>
        <v>170.33166206454135</v>
      </c>
      <c r="D270" s="17">
        <f t="shared" si="15"/>
        <v>189.25740229393483</v>
      </c>
      <c r="E270" s="17">
        <f t="shared" si="14"/>
        <v>208.18314252332831</v>
      </c>
      <c r="F270" s="2">
        <v>188.55699999999999</v>
      </c>
      <c r="G270" s="2" t="str">
        <f t="shared" si="12"/>
        <v>Pass</v>
      </c>
      <c r="Y270" s="2">
        <v>255</v>
      </c>
      <c r="Z270" s="2">
        <v>0.28420000000000001</v>
      </c>
      <c r="AA270" s="2">
        <v>0.29820000000000002</v>
      </c>
      <c r="AB270" s="2">
        <v>192.12479999999999</v>
      </c>
    </row>
    <row r="271" spans="2:28" x14ac:dyDescent="0.4">
      <c r="B271" s="11">
        <v>254</v>
      </c>
      <c r="C271" s="16">
        <f t="shared" si="13"/>
        <v>171.81477508982994</v>
      </c>
      <c r="D271" s="17">
        <f t="shared" si="15"/>
        <v>190.90530565536659</v>
      </c>
      <c r="E271" s="17">
        <f t="shared" si="14"/>
        <v>209.99583622090324</v>
      </c>
      <c r="F271" s="2">
        <v>190.09610000000001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26</v>
      </c>
    </row>
    <row r="272" spans="2:28" x14ac:dyDescent="0.4">
      <c r="B272" s="11">
        <v>255</v>
      </c>
      <c r="C272" s="16">
        <f t="shared" si="13"/>
        <v>172.91231999999999</v>
      </c>
      <c r="D272" s="18">
        <f>C12</f>
        <v>192.12479999999999</v>
      </c>
      <c r="E272" s="17">
        <f t="shared" si="14"/>
        <v>211.33727999999999</v>
      </c>
      <c r="F272" s="2">
        <v>192.12479999999999</v>
      </c>
      <c r="G272" s="2" t="str">
        <f t="shared" si="12"/>
        <v>Pass</v>
      </c>
    </row>
  </sheetData>
  <protectedRanges>
    <protectedRange password="EBF1" sqref="C2:D2 C4:D4" name="範圍1"/>
    <protectedRange password="EBF1" sqref="C11:C13" name="範圍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23" priority="1" operator="equal">
      <formula>"Fail"</formula>
    </cfRule>
    <cfRule type="cellIs" dxfId="22" priority="2" operator="equal">
      <formula>"Pass"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0704-00D6-4D4C-A6D4-7FAD45AC7EF8}">
  <dimension ref="B2:AB272"/>
  <sheetViews>
    <sheetView topLeftCell="A6" zoomScale="55" zoomScaleNormal="55" workbookViewId="0">
      <selection activeCell="AF47" sqref="AF47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45736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0.2427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189.8304</v>
      </c>
      <c r="D12" s="4" t="s">
        <v>9</v>
      </c>
      <c r="E12" s="4"/>
      <c r="Y12" s="9" t="s">
        <v>28</v>
      </c>
    </row>
    <row r="13" spans="2:28" x14ac:dyDescent="0.4">
      <c r="B13" s="1" t="s">
        <v>11</v>
      </c>
      <c r="C13" s="8">
        <v>2.6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0.27210000000000001</v>
      </c>
      <c r="AA15" s="2">
        <v>0.27489999999999998</v>
      </c>
      <c r="AB15" s="2">
        <v>0.2427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0.27160000000000001</v>
      </c>
      <c r="AA16" s="2">
        <v>0.27489999999999998</v>
      </c>
      <c r="AB16" s="2">
        <v>0.2427</v>
      </c>
    </row>
    <row r="17" spans="2:28" ht="17.5" thickTop="1" x14ac:dyDescent="0.4">
      <c r="B17" s="11">
        <v>0</v>
      </c>
      <c r="C17" s="16">
        <f>D17-D17*(C$14/100)</f>
        <v>2.3811415953505088E-6</v>
      </c>
      <c r="D17" s="17">
        <f>D$272*((B17+F$17)/B$272)^C$13</f>
        <v>2.6457128837227874E-6</v>
      </c>
      <c r="E17" s="17">
        <f>D17+D17*(C$14/100)</f>
        <v>2.910284172095066E-6</v>
      </c>
      <c r="F17" s="2">
        <v>0.2427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0.27179999999999999</v>
      </c>
      <c r="AA17" s="2">
        <v>0.2742</v>
      </c>
      <c r="AB17" s="2">
        <v>0.24229999999999999</v>
      </c>
    </row>
    <row r="18" spans="2:28" x14ac:dyDescent="0.4">
      <c r="B18" s="11">
        <v>1</v>
      </c>
      <c r="C18" s="16">
        <f t="shared" ref="C18:C81" si="1">D18-D18*(C$14/100)</f>
        <v>1.6632448172758857E-4</v>
      </c>
      <c r="D18" s="17">
        <f>D$272*((B18+F$17)/B$272)^C$13</f>
        <v>1.8480497969732064E-4</v>
      </c>
      <c r="E18" s="17">
        <f t="shared" ref="E18:E81" si="2">D18+D18*(C$14/100)</f>
        <v>2.0328547766705271E-4</v>
      </c>
      <c r="F18" s="2">
        <v>0.2427</v>
      </c>
      <c r="G18" s="2" t="str">
        <f t="shared" si="0"/>
        <v>Fail</v>
      </c>
      <c r="Y18" s="2">
        <v>3</v>
      </c>
      <c r="Z18" s="2">
        <v>0.2712</v>
      </c>
      <c r="AA18" s="2">
        <v>0.27400000000000002</v>
      </c>
      <c r="AB18" s="2">
        <v>0.24160000000000001</v>
      </c>
    </row>
    <row r="19" spans="2:28" x14ac:dyDescent="0.4">
      <c r="B19" s="11">
        <v>2</v>
      </c>
      <c r="C19" s="16">
        <f t="shared" si="1"/>
        <v>7.719850306087048E-4</v>
      </c>
      <c r="D19" s="17">
        <f t="shared" ref="D19:D82" si="3">D$272*((B19+F$17)/B$272)^C$13</f>
        <v>8.5776114512078308E-4</v>
      </c>
      <c r="E19" s="17">
        <f t="shared" si="2"/>
        <v>9.4353725963286137E-4</v>
      </c>
      <c r="F19" s="2">
        <v>0.24229999999999999</v>
      </c>
      <c r="G19" s="2" t="str">
        <f t="shared" si="0"/>
        <v>Fail</v>
      </c>
      <c r="Y19" s="2">
        <v>4</v>
      </c>
      <c r="Z19" s="2">
        <v>0.27289999999999998</v>
      </c>
      <c r="AA19" s="2">
        <v>0.27679999999999999</v>
      </c>
      <c r="AB19" s="2">
        <v>0.25509999999999999</v>
      </c>
    </row>
    <row r="20" spans="2:28" x14ac:dyDescent="0.4">
      <c r="B20" s="11">
        <v>3</v>
      </c>
      <c r="C20" s="16">
        <f t="shared" si="1"/>
        <v>2.0135453212396987E-3</v>
      </c>
      <c r="D20" s="17">
        <f t="shared" si="3"/>
        <v>2.237272579155221E-3</v>
      </c>
      <c r="E20" s="17">
        <f t="shared" si="2"/>
        <v>2.4609998370707432E-3</v>
      </c>
      <c r="F20" s="2">
        <v>0.24160000000000001</v>
      </c>
      <c r="G20" s="2" t="str">
        <f t="shared" si="0"/>
        <v>Fail</v>
      </c>
      <c r="Y20" s="2">
        <v>5</v>
      </c>
      <c r="Z20" s="2">
        <v>0.27289999999999998</v>
      </c>
      <c r="AA20" s="2">
        <v>0.27700000000000002</v>
      </c>
      <c r="AB20" s="2">
        <v>0.2555</v>
      </c>
    </row>
    <row r="21" spans="2:28" x14ac:dyDescent="0.4">
      <c r="B21" s="11">
        <v>4</v>
      </c>
      <c r="C21" s="16">
        <f t="shared" si="1"/>
        <v>4.0501755317019199E-3</v>
      </c>
      <c r="D21" s="17">
        <f t="shared" si="3"/>
        <v>4.5001950352243558E-3</v>
      </c>
      <c r="E21" s="17">
        <f t="shared" si="2"/>
        <v>4.9502145387467916E-3</v>
      </c>
      <c r="F21" s="2">
        <v>0.25509999999999999</v>
      </c>
      <c r="G21" s="2" t="str">
        <f t="shared" si="0"/>
        <v>Fail</v>
      </c>
      <c r="Y21" s="2">
        <v>6</v>
      </c>
      <c r="Z21" s="2">
        <v>0.27300000000000002</v>
      </c>
      <c r="AA21" s="2">
        <v>0.27610000000000001</v>
      </c>
      <c r="AB21" s="2">
        <v>0.25530000000000003</v>
      </c>
    </row>
    <row r="22" spans="2:28" x14ac:dyDescent="0.4">
      <c r="B22" s="11">
        <v>5</v>
      </c>
      <c r="C22" s="16">
        <f t="shared" si="1"/>
        <v>7.021773582105934E-3</v>
      </c>
      <c r="D22" s="17">
        <f t="shared" si="3"/>
        <v>7.8019706467843709E-3</v>
      </c>
      <c r="E22" s="17">
        <f t="shared" si="2"/>
        <v>8.5821677114628087E-3</v>
      </c>
      <c r="F22" s="2">
        <v>0.2555</v>
      </c>
      <c r="G22" s="2" t="str">
        <f t="shared" si="0"/>
        <v>Fail</v>
      </c>
      <c r="Y22" s="2">
        <v>7</v>
      </c>
      <c r="Z22" s="2">
        <v>0.2727</v>
      </c>
      <c r="AA22" s="2">
        <v>0.2767</v>
      </c>
      <c r="AB22" s="2">
        <v>0.27129999999999999</v>
      </c>
    </row>
    <row r="23" spans="2:28" x14ac:dyDescent="0.4">
      <c r="B23" s="11">
        <v>6</v>
      </c>
      <c r="C23" s="16">
        <f t="shared" si="1"/>
        <v>1.1055342759220387E-2</v>
      </c>
      <c r="D23" s="17">
        <f t="shared" si="3"/>
        <v>1.2283714176911542E-2</v>
      </c>
      <c r="E23" s="17">
        <f t="shared" si="2"/>
        <v>1.3512085594602697E-2</v>
      </c>
      <c r="F23" s="2">
        <v>0.25530000000000003</v>
      </c>
      <c r="G23" s="2" t="str">
        <f t="shared" si="0"/>
        <v>Fail</v>
      </c>
      <c r="Y23" s="2">
        <v>8</v>
      </c>
      <c r="Z23" s="2">
        <v>0.27129999999999999</v>
      </c>
      <c r="AA23" s="2">
        <v>0.2772</v>
      </c>
      <c r="AB23" s="2">
        <v>0.2722</v>
      </c>
    </row>
    <row r="24" spans="2:28" x14ac:dyDescent="0.4">
      <c r="B24" s="11">
        <v>7</v>
      </c>
      <c r="C24" s="16">
        <f t="shared" si="1"/>
        <v>1.6268409453737639E-2</v>
      </c>
      <c r="D24" s="17">
        <f t="shared" si="3"/>
        <v>1.8076010504152931E-2</v>
      </c>
      <c r="E24" s="17">
        <f t="shared" si="2"/>
        <v>1.9883611554568224E-2</v>
      </c>
      <c r="F24" s="2">
        <v>0.27129999999999999</v>
      </c>
      <c r="G24" s="2" t="str">
        <f t="shared" si="0"/>
        <v>Fail</v>
      </c>
      <c r="Y24" s="2">
        <v>9</v>
      </c>
      <c r="Z24" s="2">
        <v>0.26989999999999997</v>
      </c>
      <c r="AA24" s="2">
        <v>0.27789999999999998</v>
      </c>
      <c r="AB24" s="2">
        <v>0.28649999999999998</v>
      </c>
    </row>
    <row r="25" spans="2:28" x14ac:dyDescent="0.4">
      <c r="B25" s="11">
        <v>8</v>
      </c>
      <c r="C25" s="16">
        <f t="shared" si="1"/>
        <v>2.2771124960996758E-2</v>
      </c>
      <c r="D25" s="17">
        <f t="shared" si="3"/>
        <v>2.5301249956663063E-2</v>
      </c>
      <c r="E25" s="17">
        <f t="shared" si="2"/>
        <v>2.7831374952329367E-2</v>
      </c>
      <c r="F25" s="2">
        <v>0.2722</v>
      </c>
      <c r="G25" s="2" t="str">
        <f t="shared" si="0"/>
        <v>Fail</v>
      </c>
      <c r="Y25" s="2">
        <v>10</v>
      </c>
      <c r="Z25" s="2">
        <v>0.2732</v>
      </c>
      <c r="AA25" s="2">
        <v>0.27689999999999998</v>
      </c>
      <c r="AB25" s="2">
        <v>0.28689999999999999</v>
      </c>
    </row>
    <row r="26" spans="2:28" x14ac:dyDescent="0.4">
      <c r="B26" s="11">
        <v>9</v>
      </c>
      <c r="C26" s="16">
        <f t="shared" si="1"/>
        <v>3.0667673514631434E-2</v>
      </c>
      <c r="D26" s="17">
        <f t="shared" si="3"/>
        <v>3.4075192794034925E-2</v>
      </c>
      <c r="E26" s="17">
        <f t="shared" si="2"/>
        <v>3.7482712073438416E-2</v>
      </c>
      <c r="F26" s="2">
        <v>0.28649999999999998</v>
      </c>
      <c r="G26" s="2" t="str">
        <f t="shared" si="0"/>
        <v>Fail</v>
      </c>
      <c r="Y26" s="2">
        <v>11</v>
      </c>
      <c r="Z26" s="2">
        <v>0.26779999999999998</v>
      </c>
      <c r="AA26" s="2">
        <v>0.2666</v>
      </c>
      <c r="AB26" s="2">
        <v>0.29299999999999998</v>
      </c>
    </row>
    <row r="27" spans="2:28" x14ac:dyDescent="0.4">
      <c r="B27" s="11">
        <v>10</v>
      </c>
      <c r="C27" s="16">
        <f t="shared" si="1"/>
        <v>4.0057273013295001E-2</v>
      </c>
      <c r="D27" s="17">
        <f t="shared" si="3"/>
        <v>4.4508081125883336E-2</v>
      </c>
      <c r="E27" s="17">
        <f t="shared" si="2"/>
        <v>4.8958889238471671E-2</v>
      </c>
      <c r="F27" s="2">
        <v>0.28689999999999999</v>
      </c>
      <c r="G27" s="2" t="str">
        <f t="shared" si="0"/>
        <v>Fail</v>
      </c>
      <c r="Y27" s="2">
        <v>12</v>
      </c>
      <c r="Z27" s="2">
        <v>0.27179999999999999</v>
      </c>
      <c r="AA27" s="2">
        <v>0.27600000000000002</v>
      </c>
      <c r="AB27" s="2">
        <v>0.30859999999999999</v>
      </c>
    </row>
    <row r="28" spans="2:28" x14ac:dyDescent="0.4">
      <c r="B28" s="11">
        <v>11</v>
      </c>
      <c r="C28" s="16">
        <f t="shared" si="1"/>
        <v>5.1034917924300295E-2</v>
      </c>
      <c r="D28" s="17">
        <f t="shared" si="3"/>
        <v>5.6705464360333663E-2</v>
      </c>
      <c r="E28" s="17">
        <f t="shared" si="2"/>
        <v>6.237601079636703E-2</v>
      </c>
      <c r="F28" s="2">
        <v>0.29299999999999998</v>
      </c>
      <c r="G28" s="2" t="str">
        <f t="shared" si="0"/>
        <v>Fail</v>
      </c>
      <c r="Y28" s="2">
        <v>13</v>
      </c>
      <c r="Z28" s="2">
        <v>0.26790000000000003</v>
      </c>
      <c r="AA28" s="2">
        <v>0.26619999999999999</v>
      </c>
      <c r="AB28" s="2">
        <v>0.30969999999999998</v>
      </c>
    </row>
    <row r="29" spans="2:28" x14ac:dyDescent="0.4">
      <c r="B29" s="11">
        <v>12</v>
      </c>
      <c r="C29" s="16">
        <f t="shared" si="1"/>
        <v>6.3691949584615271E-2</v>
      </c>
      <c r="D29" s="17">
        <f t="shared" si="3"/>
        <v>7.0768832871794751E-2</v>
      </c>
      <c r="E29" s="17">
        <f t="shared" si="2"/>
        <v>7.7845716158974232E-2</v>
      </c>
      <c r="F29" s="2">
        <v>0.30859999999999999</v>
      </c>
      <c r="G29" s="2" t="str">
        <f t="shared" si="0"/>
        <v>Fail</v>
      </c>
      <c r="Y29" s="2">
        <v>14</v>
      </c>
      <c r="Z29" s="2">
        <v>0.27089999999999997</v>
      </c>
      <c r="AA29" s="2">
        <v>0.27800000000000002</v>
      </c>
      <c r="AB29" s="2">
        <v>0.33310000000000001</v>
      </c>
    </row>
    <row r="30" spans="2:28" x14ac:dyDescent="0.4">
      <c r="B30" s="11">
        <v>13</v>
      </c>
      <c r="C30" s="16">
        <f t="shared" si="1"/>
        <v>7.811650581750175E-2</v>
      </c>
      <c r="D30" s="17">
        <f t="shared" si="3"/>
        <v>8.6796117575001941E-2</v>
      </c>
      <c r="E30" s="17">
        <f t="shared" si="2"/>
        <v>9.5475729332502132E-2</v>
      </c>
      <c r="F30" s="2">
        <v>0.30969999999999998</v>
      </c>
      <c r="G30" s="2" t="str">
        <f t="shared" si="0"/>
        <v>Fail</v>
      </c>
      <c r="Y30" s="2">
        <v>15</v>
      </c>
      <c r="Z30" s="2">
        <v>0.26640000000000003</v>
      </c>
      <c r="AA30" s="2">
        <v>0.26860000000000001</v>
      </c>
      <c r="AB30" s="2">
        <v>0.33339999999999997</v>
      </c>
    </row>
    <row r="31" spans="2:28" x14ac:dyDescent="0.4">
      <c r="B31" s="11">
        <v>14</v>
      </c>
      <c r="C31" s="16">
        <f t="shared" si="1"/>
        <v>9.439388317878615E-2</v>
      </c>
      <c r="D31" s="17">
        <f t="shared" si="3"/>
        <v>0.1048820924208735</v>
      </c>
      <c r="E31" s="17">
        <f t="shared" si="2"/>
        <v>0.11537030166296085</v>
      </c>
      <c r="F31" s="2">
        <v>0.33310000000000001</v>
      </c>
      <c r="G31" s="2" t="str">
        <f t="shared" si="0"/>
        <v>Fail</v>
      </c>
      <c r="Y31" s="2">
        <v>16</v>
      </c>
      <c r="Z31" s="2">
        <v>0.27410000000000001</v>
      </c>
      <c r="AA31" s="2">
        <v>0.28270000000000001</v>
      </c>
      <c r="AB31" s="2">
        <v>0.37459999999999999</v>
      </c>
    </row>
    <row r="32" spans="2:28" x14ac:dyDescent="0.4">
      <c r="B32" s="11">
        <v>15</v>
      </c>
      <c r="C32" s="16">
        <f t="shared" si="1"/>
        <v>0.11260683412094373</v>
      </c>
      <c r="D32" s="17">
        <f t="shared" si="3"/>
        <v>0.12511870457882637</v>
      </c>
      <c r="E32" s="17">
        <f t="shared" si="2"/>
        <v>0.137630575036709</v>
      </c>
      <c r="F32" s="2">
        <v>0.33339999999999997</v>
      </c>
      <c r="G32" s="2" t="str">
        <f t="shared" si="0"/>
        <v>Fail</v>
      </c>
      <c r="Y32" s="2">
        <v>17</v>
      </c>
      <c r="Z32" s="2">
        <v>0.26929999999999998</v>
      </c>
      <c r="AA32" s="2">
        <v>0.27260000000000001</v>
      </c>
      <c r="AB32" s="2">
        <v>0.37419999999999998</v>
      </c>
    </row>
    <row r="33" spans="2:28" x14ac:dyDescent="0.4">
      <c r="B33" s="11">
        <v>16</v>
      </c>
      <c r="C33" s="16">
        <f t="shared" si="1"/>
        <v>0.1328358145087023</v>
      </c>
      <c r="D33" s="17">
        <f t="shared" si="3"/>
        <v>0.14759534945411368</v>
      </c>
      <c r="E33" s="17">
        <f t="shared" si="2"/>
        <v>0.16235488439952506</v>
      </c>
      <c r="F33" s="2">
        <v>0.37459999999999999</v>
      </c>
      <c r="G33" s="2" t="str">
        <f t="shared" si="0"/>
        <v>Fail</v>
      </c>
      <c r="Y33" s="2">
        <v>18</v>
      </c>
      <c r="Z33" s="2">
        <v>0.27589999999999998</v>
      </c>
      <c r="AA33" s="2">
        <v>0.28610000000000002</v>
      </c>
      <c r="AB33" s="2">
        <v>0.40689999999999998</v>
      </c>
    </row>
    <row r="34" spans="2:28" x14ac:dyDescent="0.4">
      <c r="B34" s="11">
        <v>17</v>
      </c>
      <c r="C34" s="16">
        <f t="shared" si="1"/>
        <v>0.1551591924865896</v>
      </c>
      <c r="D34" s="17">
        <f t="shared" si="3"/>
        <v>0.17239910276287734</v>
      </c>
      <c r="E34" s="17">
        <f t="shared" si="2"/>
        <v>0.18963901303916508</v>
      </c>
      <c r="F34" s="2">
        <v>0.37419999999999998</v>
      </c>
      <c r="G34" s="2" t="str">
        <f t="shared" si="0"/>
        <v>Fail</v>
      </c>
      <c r="Y34" s="2">
        <v>19</v>
      </c>
      <c r="Z34" s="2">
        <v>0.26960000000000001</v>
      </c>
      <c r="AA34" s="2">
        <v>0.27139999999999997</v>
      </c>
      <c r="AB34" s="2">
        <v>0.40799999999999997</v>
      </c>
    </row>
    <row r="35" spans="2:28" x14ac:dyDescent="0.4">
      <c r="B35" s="11">
        <v>18</v>
      </c>
      <c r="C35" s="16">
        <f t="shared" si="1"/>
        <v>0.17965342673430956</v>
      </c>
      <c r="D35" s="17">
        <f t="shared" si="3"/>
        <v>0.19961491859367728</v>
      </c>
      <c r="E35" s="17">
        <f t="shared" si="2"/>
        <v>0.21957641045304499</v>
      </c>
      <c r="F35" s="2">
        <v>0.40689999999999998</v>
      </c>
      <c r="G35" s="2" t="str">
        <f t="shared" si="0"/>
        <v>Fail</v>
      </c>
      <c r="Y35" s="2">
        <v>20</v>
      </c>
      <c r="Z35" s="2">
        <v>0.26989999999999997</v>
      </c>
      <c r="AA35" s="2">
        <v>0.2727</v>
      </c>
      <c r="AB35" s="2">
        <v>0.45619999999999999</v>
      </c>
    </row>
    <row r="36" spans="2:28" x14ac:dyDescent="0.4">
      <c r="B36" s="11">
        <v>19</v>
      </c>
      <c r="C36" s="16">
        <f t="shared" si="1"/>
        <v>0.20639322010611971</v>
      </c>
      <c r="D36" s="17">
        <f t="shared" si="3"/>
        <v>0.22932580011791079</v>
      </c>
      <c r="E36" s="17">
        <f t="shared" si="2"/>
        <v>0.25225838012970186</v>
      </c>
      <c r="F36" s="2">
        <v>0.40799999999999997</v>
      </c>
      <c r="G36" s="2" t="str">
        <f t="shared" si="0"/>
        <v>Fail</v>
      </c>
      <c r="Y36" s="2">
        <v>21</v>
      </c>
      <c r="Z36" s="2">
        <v>0.27289999999999998</v>
      </c>
      <c r="AA36" s="2">
        <v>0.28960000000000002</v>
      </c>
      <c r="AB36" s="2">
        <v>0.49259999999999998</v>
      </c>
    </row>
    <row r="37" spans="2:28" x14ac:dyDescent="0.4">
      <c r="B37" s="11">
        <v>20</v>
      </c>
      <c r="C37" s="16">
        <f t="shared" si="1"/>
        <v>0.23545165321195768</v>
      </c>
      <c r="D37" s="17">
        <f t="shared" si="3"/>
        <v>0.26161294801328633</v>
      </c>
      <c r="E37" s="17">
        <f t="shared" si="2"/>
        <v>0.28777424281461494</v>
      </c>
      <c r="F37" s="2">
        <v>0.45619999999999999</v>
      </c>
      <c r="G37" s="2" t="str">
        <f t="shared" si="0"/>
        <v>Fail</v>
      </c>
      <c r="Y37" s="2">
        <v>22</v>
      </c>
      <c r="Z37" s="2">
        <v>0.27100000000000002</v>
      </c>
      <c r="AA37" s="2">
        <v>0.2762</v>
      </c>
      <c r="AB37" s="2">
        <v>0.50570000000000004</v>
      </c>
    </row>
    <row r="38" spans="2:28" x14ac:dyDescent="0.4">
      <c r="B38" s="11">
        <v>21</v>
      </c>
      <c r="C38" s="16">
        <f t="shared" si="1"/>
        <v>0.26690030146154142</v>
      </c>
      <c r="D38" s="17">
        <f t="shared" si="3"/>
        <v>0.29655589051282377</v>
      </c>
      <c r="E38" s="17">
        <f t="shared" si="2"/>
        <v>0.32621147956410612</v>
      </c>
      <c r="F38" s="2">
        <v>0.49259999999999998</v>
      </c>
      <c r="G38" s="2" t="str">
        <f t="shared" si="0"/>
        <v>Fail</v>
      </c>
      <c r="Y38" s="2">
        <v>23</v>
      </c>
      <c r="Z38" s="2">
        <v>0.26840000000000003</v>
      </c>
      <c r="AA38" s="2">
        <v>0.28249999999999997</v>
      </c>
      <c r="AB38" s="2">
        <v>0.5625</v>
      </c>
    </row>
    <row r="39" spans="2:28" x14ac:dyDescent="0.4">
      <c r="B39" s="11">
        <v>22</v>
      </c>
      <c r="C39" s="16">
        <f t="shared" si="1"/>
        <v>0.30080933833143847</v>
      </c>
      <c r="D39" s="17">
        <f t="shared" si="3"/>
        <v>0.33423259814604273</v>
      </c>
      <c r="E39" s="17">
        <f t="shared" si="2"/>
        <v>0.36765585796064698</v>
      </c>
      <c r="F39" s="2">
        <v>0.50570000000000004</v>
      </c>
      <c r="G39" s="2" t="str">
        <f t="shared" si="0"/>
        <v>Fail</v>
      </c>
      <c r="Y39" s="2">
        <v>24</v>
      </c>
      <c r="Z39" s="2">
        <v>0.2752</v>
      </c>
      <c r="AA39" s="2">
        <v>0.27950000000000003</v>
      </c>
      <c r="AB39" s="2">
        <v>0.58069999999999999</v>
      </c>
    </row>
    <row r="40" spans="2:28" x14ac:dyDescent="0.4">
      <c r="B40" s="11">
        <v>23</v>
      </c>
      <c r="C40" s="16">
        <f t="shared" si="1"/>
        <v>0.33724762704649913</v>
      </c>
      <c r="D40" s="17">
        <f t="shared" si="3"/>
        <v>0.37471958560722129</v>
      </c>
      <c r="E40" s="17">
        <f t="shared" si="2"/>
        <v>0.41219154416794346</v>
      </c>
      <c r="F40" s="2">
        <v>0.5625</v>
      </c>
      <c r="G40" s="2" t="str">
        <f t="shared" si="0"/>
        <v>Fail</v>
      </c>
      <c r="Y40" s="2">
        <v>25</v>
      </c>
      <c r="Z40" s="2">
        <v>0.27600000000000002</v>
      </c>
      <c r="AA40" s="2">
        <v>0.28129999999999999</v>
      </c>
      <c r="AB40" s="2">
        <v>0.63919999999999999</v>
      </c>
    </row>
    <row r="41" spans="2:28" x14ac:dyDescent="0.4">
      <c r="B41" s="11">
        <v>24</v>
      </c>
      <c r="C41" s="16">
        <f t="shared" si="1"/>
        <v>0.37628280243586043</v>
      </c>
      <c r="D41" s="17">
        <f t="shared" si="3"/>
        <v>0.41809200270651159</v>
      </c>
      <c r="E41" s="17">
        <f t="shared" si="2"/>
        <v>0.45990120297716275</v>
      </c>
      <c r="F41" s="2">
        <v>0.58069999999999999</v>
      </c>
      <c r="G41" s="2" t="str">
        <f t="shared" si="0"/>
        <v>Fail</v>
      </c>
      <c r="Y41" s="2">
        <v>26</v>
      </c>
      <c r="Z41" s="2">
        <v>0.27379999999999999</v>
      </c>
      <c r="AA41" s="2">
        <v>0.28610000000000002</v>
      </c>
      <c r="AB41" s="2">
        <v>0.70779999999999998</v>
      </c>
    </row>
    <row r="42" spans="2:28" x14ac:dyDescent="0.4">
      <c r="B42" s="11">
        <v>25</v>
      </c>
      <c r="C42" s="16">
        <f t="shared" si="1"/>
        <v>0.4179813443922703</v>
      </c>
      <c r="D42" s="17">
        <f t="shared" si="3"/>
        <v>0.46442371599141147</v>
      </c>
      <c r="E42" s="17">
        <f t="shared" si="2"/>
        <v>0.51086608759055263</v>
      </c>
      <c r="F42" s="2">
        <v>0.63919999999999999</v>
      </c>
      <c r="G42" s="2" t="str">
        <f t="shared" si="0"/>
        <v>Fail</v>
      </c>
      <c r="Y42" s="2">
        <v>27</v>
      </c>
      <c r="Z42" s="2">
        <v>0.27750000000000002</v>
      </c>
      <c r="AA42" s="2">
        <v>0.28320000000000001</v>
      </c>
      <c r="AB42" s="2">
        <v>0.70350000000000001</v>
      </c>
    </row>
    <row r="43" spans="2:28" x14ac:dyDescent="0.4">
      <c r="B43" s="11">
        <v>26</v>
      </c>
      <c r="C43" s="16">
        <f t="shared" si="1"/>
        <v>0.46240864410550797</v>
      </c>
      <c r="D43" s="17">
        <f t="shared" si="3"/>
        <v>0.51378738233945331</v>
      </c>
      <c r="E43" s="17">
        <f t="shared" si="2"/>
        <v>0.56516612057339866</v>
      </c>
      <c r="F43" s="2">
        <v>0.70779999999999998</v>
      </c>
      <c r="G43" s="2" t="str">
        <f t="shared" si="0"/>
        <v>Fail</v>
      </c>
      <c r="Y43" s="2">
        <v>28</v>
      </c>
      <c r="Z43" s="2">
        <v>0.27479999999999999</v>
      </c>
      <c r="AA43" s="2">
        <v>0.28949999999999998</v>
      </c>
      <c r="AB43" s="2">
        <v>0.7823</v>
      </c>
    </row>
    <row r="44" spans="2:28" x14ac:dyDescent="0.4">
      <c r="B44" s="11">
        <v>27</v>
      </c>
      <c r="C44" s="16">
        <f t="shared" si="1"/>
        <v>0.50962906403765507</v>
      </c>
      <c r="D44" s="17">
        <f t="shared" si="3"/>
        <v>0.56625451559739448</v>
      </c>
      <c r="E44" s="17">
        <f t="shared" si="2"/>
        <v>0.6228799671571339</v>
      </c>
      <c r="F44" s="2">
        <v>0.70350000000000001</v>
      </c>
      <c r="G44" s="2" t="str">
        <f t="shared" si="0"/>
        <v>Fail</v>
      </c>
      <c r="Y44" s="2">
        <v>29</v>
      </c>
      <c r="Z44" s="2">
        <v>0.27710000000000001</v>
      </c>
      <c r="AA44" s="2">
        <v>0.29199999999999998</v>
      </c>
      <c r="AB44" s="2">
        <v>0.88460000000000005</v>
      </c>
    </row>
    <row r="45" spans="2:28" x14ac:dyDescent="0.4">
      <c r="B45" s="11">
        <v>28</v>
      </c>
      <c r="C45" s="16">
        <f t="shared" si="1"/>
        <v>0.55970599244651087</v>
      </c>
      <c r="D45" s="17">
        <f t="shared" si="3"/>
        <v>0.62189554716278983</v>
      </c>
      <c r="E45" s="17">
        <f t="shared" si="2"/>
        <v>0.68408510187906879</v>
      </c>
      <c r="F45" s="2">
        <v>0.7823</v>
      </c>
      <c r="G45" s="2" t="str">
        <f t="shared" si="0"/>
        <v>Fail</v>
      </c>
      <c r="Y45" s="2">
        <v>30</v>
      </c>
      <c r="Z45" s="2">
        <v>0.27860000000000001</v>
      </c>
      <c r="AA45" s="2">
        <v>0.28189999999999998</v>
      </c>
      <c r="AB45" s="2">
        <v>0.90959999999999996</v>
      </c>
    </row>
    <row r="46" spans="2:28" x14ac:dyDescent="0.4">
      <c r="B46" s="11">
        <v>29</v>
      </c>
      <c r="C46" s="16">
        <f t="shared" si="1"/>
        <v>0.61270189313389334</v>
      </c>
      <c r="D46" s="17">
        <f t="shared" si="3"/>
        <v>0.68077988125988154</v>
      </c>
      <c r="E46" s="17">
        <f t="shared" si="2"/>
        <v>0.74885786938586973</v>
      </c>
      <c r="F46" s="2">
        <v>0.88460000000000005</v>
      </c>
      <c r="G46" s="2" t="str">
        <f t="shared" si="0"/>
        <v>Fail</v>
      </c>
      <c r="Y46" s="2">
        <v>31</v>
      </c>
      <c r="Z46" s="2">
        <v>0.2747</v>
      </c>
      <c r="AA46" s="2">
        <v>0.28670000000000001</v>
      </c>
      <c r="AB46" s="2">
        <v>0.96709999999999996</v>
      </c>
    </row>
    <row r="47" spans="2:28" x14ac:dyDescent="0.4">
      <c r="B47" s="11">
        <v>30</v>
      </c>
      <c r="C47" s="16">
        <f t="shared" si="1"/>
        <v>0.66867835099061756</v>
      </c>
      <c r="D47" s="17">
        <f t="shared" si="3"/>
        <v>0.74297594554513069</v>
      </c>
      <c r="E47" s="17">
        <f t="shared" si="2"/>
        <v>0.81727354009964381</v>
      </c>
      <c r="F47" s="2">
        <v>0.90959999999999996</v>
      </c>
      <c r="G47" s="2" t="str">
        <f t="shared" si="0"/>
        <v>Fail</v>
      </c>
      <c r="Y47" s="2">
        <v>32</v>
      </c>
      <c r="Z47" s="2">
        <v>0.28129999999999999</v>
      </c>
      <c r="AA47" s="2">
        <v>0.29870000000000002</v>
      </c>
      <c r="AB47" s="2">
        <v>1.0482</v>
      </c>
    </row>
    <row r="48" spans="2:28" x14ac:dyDescent="0.4">
      <c r="B48" s="11">
        <v>31</v>
      </c>
      <c r="C48" s="16">
        <f t="shared" si="1"/>
        <v>0.72769611382433819</v>
      </c>
      <c r="D48" s="17">
        <f t="shared" si="3"/>
        <v>0.80855123758259795</v>
      </c>
      <c r="E48" s="17">
        <f t="shared" si="2"/>
        <v>0.88940636134085771</v>
      </c>
      <c r="F48" s="2">
        <v>0.96709999999999996</v>
      </c>
      <c r="G48" s="2" t="str">
        <f t="shared" si="0"/>
        <v>Fail</v>
      </c>
      <c r="Y48" s="2">
        <v>33</v>
      </c>
      <c r="Z48" s="2">
        <v>0.28620000000000001</v>
      </c>
      <c r="AA48" s="2">
        <v>0.30130000000000001</v>
      </c>
      <c r="AB48" s="2">
        <v>1.1611</v>
      </c>
    </row>
    <row r="49" spans="2:28" x14ac:dyDescent="0.4">
      <c r="B49" s="11">
        <v>32</v>
      </c>
      <c r="C49" s="16">
        <f t="shared" si="1"/>
        <v>0.7898151308860365</v>
      </c>
      <c r="D49" s="17">
        <f t="shared" si="3"/>
        <v>0.87757236765115165</v>
      </c>
      <c r="E49" s="17">
        <f t="shared" si="2"/>
        <v>0.96532960441626681</v>
      </c>
      <c r="F49" s="2">
        <v>1.0482</v>
      </c>
      <c r="G49" s="2" t="str">
        <f t="shared" si="0"/>
        <v>Fail</v>
      </c>
      <c r="Y49" s="2">
        <v>34</v>
      </c>
      <c r="Z49" s="2">
        <v>0.28100000000000003</v>
      </c>
      <c r="AA49" s="2">
        <v>0.2923</v>
      </c>
      <c r="AB49" s="2">
        <v>1.1519999999999999</v>
      </c>
    </row>
    <row r="50" spans="2:28" x14ac:dyDescent="0.4">
      <c r="B50" s="11">
        <v>33</v>
      </c>
      <c r="C50" s="16">
        <f t="shared" si="1"/>
        <v>0.85509458845264774</v>
      </c>
      <c r="D50" s="17">
        <f t="shared" si="3"/>
        <v>0.95010509828071976</v>
      </c>
      <c r="E50" s="17">
        <f t="shared" si="2"/>
        <v>1.0451156081087918</v>
      </c>
      <c r="F50" s="2">
        <v>1.1611</v>
      </c>
      <c r="G50" s="2" t="str">
        <f t="shared" si="0"/>
        <v>Fail</v>
      </c>
      <c r="Y50" s="2">
        <v>35</v>
      </c>
      <c r="Z50" s="2">
        <v>0.2838</v>
      </c>
      <c r="AA50" s="2">
        <v>0.29580000000000001</v>
      </c>
      <c r="AB50" s="2">
        <v>1.2682</v>
      </c>
    </row>
    <row r="51" spans="2:28" x14ac:dyDescent="0.4">
      <c r="B51" s="11">
        <v>34</v>
      </c>
      <c r="C51" s="16">
        <f t="shared" si="1"/>
        <v>0.92359294277473813</v>
      </c>
      <c r="D51" s="17">
        <f t="shared" si="3"/>
        <v>1.0262143808608202</v>
      </c>
      <c r="E51" s="17">
        <f t="shared" si="2"/>
        <v>1.1288358189469021</v>
      </c>
      <c r="F51" s="2">
        <v>1.1519999999999999</v>
      </c>
      <c r="G51" s="2" t="str">
        <f t="shared" si="0"/>
        <v>Fail</v>
      </c>
      <c r="Y51" s="2">
        <v>36</v>
      </c>
      <c r="Z51" s="2">
        <v>0.28449999999999998</v>
      </c>
      <c r="AA51" s="2">
        <v>0.2969</v>
      </c>
      <c r="AB51" s="2">
        <v>1.3499000000000001</v>
      </c>
    </row>
    <row r="52" spans="2:28" x14ac:dyDescent="0.4">
      <c r="B52" s="11">
        <v>35</v>
      </c>
      <c r="C52" s="16">
        <f t="shared" si="1"/>
        <v>0.9953679506574824</v>
      </c>
      <c r="D52" s="17">
        <f t="shared" si="3"/>
        <v>1.1059643896194249</v>
      </c>
      <c r="E52" s="17">
        <f t="shared" si="2"/>
        <v>1.2165608285813674</v>
      </c>
      <c r="F52" s="2">
        <v>1.2682</v>
      </c>
      <c r="G52" s="2" t="str">
        <f t="shared" si="0"/>
        <v>Fail</v>
      </c>
      <c r="Y52" s="2">
        <v>37</v>
      </c>
      <c r="Z52" s="2">
        <v>0.28289999999999998</v>
      </c>
      <c r="AA52" s="2">
        <v>0.29980000000000001</v>
      </c>
      <c r="AB52" s="2">
        <v>1.4301999999999999</v>
      </c>
    </row>
    <row r="53" spans="2:28" x14ac:dyDescent="0.4">
      <c r="B53" s="11">
        <v>36</v>
      </c>
      <c r="C53" s="16">
        <f t="shared" si="1"/>
        <v>1.0704766979088061</v>
      </c>
      <c r="D53" s="17">
        <f t="shared" si="3"/>
        <v>1.1894185532320067</v>
      </c>
      <c r="E53" s="17">
        <f t="shared" si="2"/>
        <v>1.3083604085552074</v>
      </c>
      <c r="F53" s="2">
        <v>1.3499000000000001</v>
      </c>
      <c r="G53" s="2" t="str">
        <f t="shared" si="0"/>
        <v>Fail</v>
      </c>
      <c r="Y53" s="2">
        <v>38</v>
      </c>
      <c r="Z53" s="2">
        <v>0.28270000000000001</v>
      </c>
      <c r="AA53" s="2">
        <v>0.29060000000000002</v>
      </c>
      <c r="AB53" s="2">
        <v>1.4556</v>
      </c>
    </row>
    <row r="54" spans="2:28" x14ac:dyDescent="0.4">
      <c r="B54" s="11">
        <v>37</v>
      </c>
      <c r="C54" s="16">
        <f t="shared" si="1"/>
        <v>1.1489756258595594</v>
      </c>
      <c r="D54" s="17">
        <f t="shared" si="3"/>
        <v>1.2766395842883993</v>
      </c>
      <c r="E54" s="17">
        <f t="shared" si="2"/>
        <v>1.4043035427172392</v>
      </c>
      <c r="F54" s="2">
        <v>1.4301999999999999</v>
      </c>
      <c r="G54" s="2" t="str">
        <f t="shared" si="0"/>
        <v>Fail</v>
      </c>
      <c r="Y54" s="2">
        <v>39</v>
      </c>
      <c r="Z54" s="2">
        <v>0.28260000000000002</v>
      </c>
      <c r="AA54" s="2">
        <v>0.29260000000000003</v>
      </c>
      <c r="AB54" s="2">
        <v>1.5482</v>
      </c>
    </row>
    <row r="55" spans="2:28" x14ac:dyDescent="0.4">
      <c r="B55" s="11">
        <v>38</v>
      </c>
      <c r="C55" s="16">
        <f t="shared" si="1"/>
        <v>1.2309205561357546</v>
      </c>
      <c r="D55" s="17">
        <f t="shared" si="3"/>
        <v>1.367689506817505</v>
      </c>
      <c r="E55" s="17">
        <f t="shared" si="2"/>
        <v>1.5044584574992554</v>
      </c>
      <c r="F55" s="2">
        <v>1.4556</v>
      </c>
      <c r="G55" s="2" t="str">
        <f t="shared" si="0"/>
        <v>Pass</v>
      </c>
      <c r="Y55" s="2">
        <v>40</v>
      </c>
      <c r="Z55" s="2">
        <v>0.28189999999999998</v>
      </c>
      <c r="AA55" s="2">
        <v>0.29289999999999999</v>
      </c>
      <c r="AB55" s="2">
        <v>1.6347</v>
      </c>
    </row>
    <row r="56" spans="2:28" x14ac:dyDescent="0.4">
      <c r="B56" s="11">
        <v>39</v>
      </c>
      <c r="C56" s="16">
        <f t="shared" si="1"/>
        <v>1.3163667138417647</v>
      </c>
      <c r="D56" s="17">
        <f t="shared" si="3"/>
        <v>1.4626296820464053</v>
      </c>
      <c r="E56" s="17">
        <f t="shared" si="2"/>
        <v>1.6088926502510459</v>
      </c>
      <c r="F56" s="2">
        <v>1.5482</v>
      </c>
      <c r="G56" s="2" t="str">
        <f t="shared" si="0"/>
        <v>Pass</v>
      </c>
      <c r="Y56" s="2">
        <v>41</v>
      </c>
      <c r="Z56" s="2">
        <v>0.27639999999999998</v>
      </c>
      <c r="AA56" s="2">
        <v>0.29360000000000003</v>
      </c>
      <c r="AB56" s="2">
        <v>1.7036</v>
      </c>
    </row>
    <row r="57" spans="2:28" x14ac:dyDescent="0.4">
      <c r="B57" s="11">
        <v>40</v>
      </c>
      <c r="C57" s="16">
        <f t="shared" si="1"/>
        <v>1.4053687492951417</v>
      </c>
      <c r="D57" s="17">
        <f t="shared" si="3"/>
        <v>1.5615208325501573</v>
      </c>
      <c r="E57" s="17">
        <f t="shared" si="2"/>
        <v>1.7176729158051729</v>
      </c>
      <c r="F57" s="2">
        <v>1.6347</v>
      </c>
      <c r="G57" s="2" t="str">
        <f t="shared" si="0"/>
        <v>Pass</v>
      </c>
      <c r="Y57" s="2">
        <v>42</v>
      </c>
      <c r="Z57" s="2">
        <v>0.2782</v>
      </c>
      <c r="AA57" s="2">
        <v>0.29499999999999998</v>
      </c>
      <c r="AB57" s="2">
        <v>1.8273999999999999</v>
      </c>
    </row>
    <row r="58" spans="2:28" x14ac:dyDescent="0.4">
      <c r="B58" s="11">
        <v>41</v>
      </c>
      <c r="C58" s="16">
        <f t="shared" si="1"/>
        <v>1.4979807584380365</v>
      </c>
      <c r="D58" s="17">
        <f t="shared" si="3"/>
        <v>1.6644230649311518</v>
      </c>
      <c r="E58" s="17">
        <f t="shared" si="2"/>
        <v>1.8308653714242671</v>
      </c>
      <c r="F58" s="2">
        <v>1.7036</v>
      </c>
      <c r="G58" s="2" t="str">
        <f t="shared" si="0"/>
        <v>Pass</v>
      </c>
      <c r="Y58" s="2">
        <v>43</v>
      </c>
      <c r="Z58" s="2">
        <v>0.27739999999999998</v>
      </c>
      <c r="AA58" s="2">
        <v>0.2979</v>
      </c>
      <c r="AB58" s="2">
        <v>2.0432000000000001</v>
      </c>
    </row>
    <row r="59" spans="2:28" x14ac:dyDescent="0.4">
      <c r="B59" s="11">
        <v>42</v>
      </c>
      <c r="C59" s="16">
        <f t="shared" si="1"/>
        <v>1.5942563020365395</v>
      </c>
      <c r="D59" s="17">
        <f t="shared" si="3"/>
        <v>1.7713958911517105</v>
      </c>
      <c r="E59" s="17">
        <f t="shared" si="2"/>
        <v>1.9485354802668815</v>
      </c>
      <c r="F59" s="2">
        <v>1.8273999999999999</v>
      </c>
      <c r="G59" s="2" t="str">
        <f t="shared" si="0"/>
        <v>Pass</v>
      </c>
      <c r="Y59" s="2">
        <v>44</v>
      </c>
      <c r="Z59" s="2">
        <v>0.27579999999999999</v>
      </c>
      <c r="AA59" s="2">
        <v>0.2893</v>
      </c>
      <c r="AB59" s="2">
        <v>2.0792000000000002</v>
      </c>
    </row>
    <row r="60" spans="2:28" x14ac:dyDescent="0.4">
      <c r="B60" s="11">
        <v>43</v>
      </c>
      <c r="C60" s="16">
        <f t="shared" si="1"/>
        <v>1.6942484237675033</v>
      </c>
      <c r="D60" s="17">
        <f t="shared" si="3"/>
        <v>1.8824982486305593</v>
      </c>
      <c r="E60" s="17">
        <f t="shared" si="2"/>
        <v>2.0707480734936152</v>
      </c>
      <c r="F60" s="2">
        <v>2.0432000000000001</v>
      </c>
      <c r="G60" s="2" t="str">
        <f t="shared" si="0"/>
        <v>Pass</v>
      </c>
      <c r="Y60" s="2">
        <v>45</v>
      </c>
      <c r="Z60" s="2">
        <v>0.2747</v>
      </c>
      <c r="AA60" s="2">
        <v>0.29060000000000002</v>
      </c>
      <c r="AB60" s="2">
        <v>2.1905000000000001</v>
      </c>
    </row>
    <row r="61" spans="2:28" x14ac:dyDescent="0.4">
      <c r="B61" s="11">
        <v>44</v>
      </c>
      <c r="C61" s="16">
        <f t="shared" si="1"/>
        <v>1.7980096672819967</v>
      </c>
      <c r="D61" s="17">
        <f t="shared" si="3"/>
        <v>1.9977885192022187</v>
      </c>
      <c r="E61" s="17">
        <f t="shared" si="2"/>
        <v>2.1975673711224406</v>
      </c>
      <c r="F61" s="2">
        <v>2.0792000000000002</v>
      </c>
      <c r="G61" s="2" t="str">
        <f t="shared" si="0"/>
        <v>Pass</v>
      </c>
      <c r="Y61" s="2">
        <v>46</v>
      </c>
      <c r="Z61" s="2">
        <v>0.27789999999999998</v>
      </c>
      <c r="AA61" s="2">
        <v>0.29010000000000002</v>
      </c>
      <c r="AB61" s="2">
        <v>2.3431999999999999</v>
      </c>
    </row>
    <row r="62" spans="2:28" x14ac:dyDescent="0.4">
      <c r="B62" s="11">
        <v>45</v>
      </c>
      <c r="C62" s="16">
        <f t="shared" si="1"/>
        <v>1.9055920923255838</v>
      </c>
      <c r="D62" s="17">
        <f t="shared" si="3"/>
        <v>2.1173245470284265</v>
      </c>
      <c r="E62" s="17">
        <f t="shared" si="2"/>
        <v>2.3290570017312691</v>
      </c>
      <c r="F62" s="2">
        <v>2.1905000000000001</v>
      </c>
      <c r="G62" s="2" t="str">
        <f t="shared" si="0"/>
        <v>Pass</v>
      </c>
      <c r="Y62" s="2">
        <v>47</v>
      </c>
      <c r="Z62" s="2">
        <v>0.27550000000000002</v>
      </c>
      <c r="AA62" s="2">
        <v>0.29270000000000002</v>
      </c>
      <c r="AB62" s="2">
        <v>2.4664999999999999</v>
      </c>
    </row>
    <row r="63" spans="2:28" x14ac:dyDescent="0.4">
      <c r="B63" s="11">
        <v>46</v>
      </c>
      <c r="C63" s="16">
        <f t="shared" si="1"/>
        <v>2.0170472899875755</v>
      </c>
      <c r="D63" s="17">
        <f t="shared" si="3"/>
        <v>2.2411636555417505</v>
      </c>
      <c r="E63" s="17">
        <f t="shared" si="2"/>
        <v>2.4652800210959254</v>
      </c>
      <c r="F63" s="2">
        <v>2.3431999999999999</v>
      </c>
      <c r="G63" s="2" t="str">
        <f t="shared" si="0"/>
        <v>Pass</v>
      </c>
      <c r="Y63" s="2">
        <v>48</v>
      </c>
      <c r="Z63" s="2">
        <v>0.27410000000000001</v>
      </c>
      <c r="AA63" s="2">
        <v>0.29399999999999998</v>
      </c>
      <c r="AB63" s="2">
        <v>2.6008</v>
      </c>
    </row>
    <row r="64" spans="2:28" x14ac:dyDescent="0.4">
      <c r="B64" s="11">
        <v>47</v>
      </c>
      <c r="C64" s="16">
        <f t="shared" si="1"/>
        <v>2.1324263971445432</v>
      </c>
      <c r="D64" s="17">
        <f t="shared" si="3"/>
        <v>2.3693626634939369</v>
      </c>
      <c r="E64" s="17">
        <f t="shared" si="2"/>
        <v>2.6062989298433306</v>
      </c>
      <c r="F64" s="2">
        <v>2.4664999999999999</v>
      </c>
      <c r="G64" s="2" t="str">
        <f t="shared" si="0"/>
        <v>Pass</v>
      </c>
      <c r="Y64" s="2">
        <v>49</v>
      </c>
      <c r="Z64" s="2">
        <v>0.2752</v>
      </c>
      <c r="AA64" s="2">
        <v>0.29520000000000002</v>
      </c>
      <c r="AB64" s="2">
        <v>2.7303999999999999</v>
      </c>
    </row>
    <row r="65" spans="2:28" x14ac:dyDescent="0.4">
      <c r="B65" s="11">
        <v>48</v>
      </c>
      <c r="C65" s="16">
        <f t="shared" si="1"/>
        <v>2.2517801101570445</v>
      </c>
      <c r="D65" s="17">
        <f t="shared" si="3"/>
        <v>2.5019779001744937</v>
      </c>
      <c r="E65" s="17">
        <f t="shared" si="2"/>
        <v>2.752175690191943</v>
      </c>
      <c r="F65" s="2">
        <v>2.6008</v>
      </c>
      <c r="G65" s="2" t="str">
        <f t="shared" si="0"/>
        <v>Pass</v>
      </c>
      <c r="Y65" s="2">
        <v>50</v>
      </c>
      <c r="Z65" s="2">
        <v>0.27600000000000002</v>
      </c>
      <c r="AA65" s="2">
        <v>0.29580000000000001</v>
      </c>
      <c r="AB65" s="2">
        <v>2.9138999999999999</v>
      </c>
    </row>
    <row r="66" spans="2:28" x14ac:dyDescent="0.4">
      <c r="B66" s="11">
        <v>49</v>
      </c>
      <c r="C66" s="16">
        <f t="shared" si="1"/>
        <v>2.3751586978731654</v>
      </c>
      <c r="D66" s="17">
        <f t="shared" si="3"/>
        <v>2.6390652198590727</v>
      </c>
      <c r="E66" s="17">
        <f t="shared" si="2"/>
        <v>2.9029717418449801</v>
      </c>
      <c r="F66" s="2">
        <v>2.7303999999999999</v>
      </c>
      <c r="G66" s="2" t="str">
        <f t="shared" si="0"/>
        <v>Pass</v>
      </c>
      <c r="Y66" s="2">
        <v>51</v>
      </c>
      <c r="Z66" s="2">
        <v>0.2802</v>
      </c>
      <c r="AA66" s="2">
        <v>0.30009999999999998</v>
      </c>
      <c r="AB66" s="2">
        <v>3.0684</v>
      </c>
    </row>
    <row r="67" spans="2:28" x14ac:dyDescent="0.4">
      <c r="B67" s="11">
        <v>50</v>
      </c>
      <c r="C67" s="16">
        <f t="shared" si="1"/>
        <v>2.5026120139875268</v>
      </c>
      <c r="D67" s="17">
        <f t="shared" si="3"/>
        <v>2.7806800155416962</v>
      </c>
      <c r="E67" s="17">
        <f t="shared" si="2"/>
        <v>3.0587480170958656</v>
      </c>
      <c r="F67" s="2">
        <v>2.9138999999999999</v>
      </c>
      <c r="G67" s="2" t="str">
        <f t="shared" si="0"/>
        <v>Pass</v>
      </c>
      <c r="Y67" s="2">
        <v>52</v>
      </c>
      <c r="Z67" s="2">
        <v>0.28100000000000003</v>
      </c>
      <c r="AA67" s="2">
        <v>0.3014</v>
      </c>
      <c r="AB67" s="2">
        <v>3.2707999999999999</v>
      </c>
    </row>
    <row r="68" spans="2:28" x14ac:dyDescent="0.4">
      <c r="B68" s="11">
        <v>51</v>
      </c>
      <c r="C68" s="16">
        <f t="shared" si="1"/>
        <v>2.6341895088001284</v>
      </c>
      <c r="D68" s="17">
        <f t="shared" si="3"/>
        <v>2.9268772320001424</v>
      </c>
      <c r="E68" s="17">
        <f t="shared" si="2"/>
        <v>3.2195649552001564</v>
      </c>
      <c r="F68" s="2">
        <v>3.0684</v>
      </c>
      <c r="G68" s="2" t="str">
        <f t="shared" si="0"/>
        <v>Pass</v>
      </c>
      <c r="Y68" s="2">
        <v>53</v>
      </c>
      <c r="Z68" s="2">
        <v>0.27810000000000001</v>
      </c>
      <c r="AA68" s="2">
        <v>0.29549999999999998</v>
      </c>
      <c r="AB68" s="2">
        <v>3.2789999999999999</v>
      </c>
    </row>
    <row r="69" spans="2:28" x14ac:dyDescent="0.4">
      <c r="B69" s="11">
        <v>52</v>
      </c>
      <c r="C69" s="16">
        <f t="shared" si="1"/>
        <v>2.76994024041548</v>
      </c>
      <c r="D69" s="17">
        <f t="shared" si="3"/>
        <v>3.0777113782394223</v>
      </c>
      <c r="E69" s="17">
        <f t="shared" si="2"/>
        <v>3.3854825160633646</v>
      </c>
      <c r="F69" s="2">
        <v>3.2707999999999999</v>
      </c>
      <c r="G69" s="2" t="str">
        <f t="shared" si="0"/>
        <v>Pass</v>
      </c>
      <c r="Y69" s="2">
        <v>54</v>
      </c>
      <c r="Z69" s="2">
        <v>0.27789999999999998</v>
      </c>
      <c r="AA69" s="2">
        <v>0.2964</v>
      </c>
      <c r="AB69" s="2">
        <v>3.4258000000000002</v>
      </c>
    </row>
    <row r="70" spans="2:28" x14ac:dyDescent="0.4">
      <c r="B70" s="11">
        <v>53</v>
      </c>
      <c r="C70" s="16">
        <f t="shared" si="1"/>
        <v>2.9099128854190486</v>
      </c>
      <c r="D70" s="17">
        <f t="shared" si="3"/>
        <v>3.2332365393544982</v>
      </c>
      <c r="E70" s="17">
        <f t="shared" si="2"/>
        <v>3.5565601932899478</v>
      </c>
      <c r="F70" s="2">
        <v>3.2789999999999999</v>
      </c>
      <c r="G70" s="2" t="str">
        <f t="shared" si="0"/>
        <v>Pass</v>
      </c>
      <c r="Y70" s="2">
        <v>55</v>
      </c>
      <c r="Z70" s="2">
        <v>0.27929999999999999</v>
      </c>
      <c r="AA70" s="2">
        <v>0.29580000000000001</v>
      </c>
      <c r="AB70" s="2">
        <v>3.6387999999999998</v>
      </c>
    </row>
    <row r="71" spans="2:28" x14ac:dyDescent="0.4">
      <c r="B71" s="11">
        <v>54</v>
      </c>
      <c r="C71" s="16">
        <f t="shared" si="1"/>
        <v>3.0541557490649187</v>
      </c>
      <c r="D71" s="17">
        <f t="shared" si="3"/>
        <v>3.3935063878499099</v>
      </c>
      <c r="E71" s="17">
        <f t="shared" si="2"/>
        <v>3.732857026634901</v>
      </c>
      <c r="F71" s="2">
        <v>3.4258000000000002</v>
      </c>
      <c r="G71" s="2" t="str">
        <f t="shared" si="0"/>
        <v>Pass</v>
      </c>
      <c r="Y71" s="2">
        <v>56</v>
      </c>
      <c r="Z71" s="2">
        <v>0.27850000000000003</v>
      </c>
      <c r="AA71" s="2">
        <v>0.29770000000000002</v>
      </c>
      <c r="AB71" s="2">
        <v>3.8016000000000001</v>
      </c>
    </row>
    <row r="72" spans="2:28" x14ac:dyDescent="0.4">
      <c r="B72" s="11">
        <v>55</v>
      </c>
      <c r="C72" s="16">
        <f t="shared" si="1"/>
        <v>3.2027167750057881</v>
      </c>
      <c r="D72" s="17">
        <f t="shared" si="3"/>
        <v>3.558574194450876</v>
      </c>
      <c r="E72" s="17">
        <f t="shared" si="2"/>
        <v>3.9144316138959638</v>
      </c>
      <c r="F72" s="2">
        <v>3.6387999999999998</v>
      </c>
      <c r="G72" s="2" t="str">
        <f t="shared" si="0"/>
        <v>Pass</v>
      </c>
      <c r="Y72" s="2">
        <v>57</v>
      </c>
      <c r="Z72" s="2">
        <v>0.28050000000000003</v>
      </c>
      <c r="AA72" s="2">
        <v>0.29699999999999999</v>
      </c>
      <c r="AB72" s="2">
        <v>4.0366</v>
      </c>
    </row>
    <row r="73" spans="2:28" x14ac:dyDescent="0.4">
      <c r="B73" s="11">
        <v>56</v>
      </c>
      <c r="C73" s="16">
        <f t="shared" si="1"/>
        <v>3.3556435545938621</v>
      </c>
      <c r="D73" s="17">
        <f t="shared" si="3"/>
        <v>3.7284928384376244</v>
      </c>
      <c r="E73" s="17">
        <f t="shared" si="2"/>
        <v>4.1013421222813866</v>
      </c>
      <c r="F73" s="2">
        <v>3.8016000000000001</v>
      </c>
      <c r="G73" s="2" t="str">
        <f t="shared" si="0"/>
        <v>Pass</v>
      </c>
      <c r="Y73" s="2">
        <v>58</v>
      </c>
      <c r="Z73" s="2">
        <v>0.28120000000000001</v>
      </c>
      <c r="AA73" s="2">
        <v>0.29709999999999998</v>
      </c>
      <c r="AB73" s="2">
        <v>4.2054</v>
      </c>
    </row>
    <row r="74" spans="2:28" x14ac:dyDescent="0.4">
      <c r="B74" s="11">
        <v>57</v>
      </c>
      <c r="C74" s="16">
        <f t="shared" si="1"/>
        <v>3.512983335779027</v>
      </c>
      <c r="D74" s="17">
        <f t="shared" si="3"/>
        <v>3.9033148175322525</v>
      </c>
      <c r="E74" s="17">
        <f t="shared" si="2"/>
        <v>4.293646299285478</v>
      </c>
      <c r="F74" s="2">
        <v>4.0366</v>
      </c>
      <c r="G74" s="2" t="str">
        <f t="shared" si="0"/>
        <v>Pass</v>
      </c>
      <c r="Y74" s="2">
        <v>59</v>
      </c>
      <c r="Z74" s="2">
        <v>0.27839999999999998</v>
      </c>
      <c r="AA74" s="2">
        <v>0.29649999999999999</v>
      </c>
      <c r="AB74" s="2">
        <v>4.3859000000000004</v>
      </c>
    </row>
    <row r="75" spans="2:28" x14ac:dyDescent="0.4">
      <c r="B75" s="11">
        <v>58</v>
      </c>
      <c r="C75" s="16">
        <f t="shared" si="1"/>
        <v>3.6747830316285066</v>
      </c>
      <c r="D75" s="17">
        <f t="shared" si="3"/>
        <v>4.0830922573650072</v>
      </c>
      <c r="E75" s="17">
        <f t="shared" si="2"/>
        <v>4.4914014831015079</v>
      </c>
      <c r="F75" s="2">
        <v>4.2054</v>
      </c>
      <c r="G75" s="2" t="str">
        <f t="shared" si="0"/>
        <v>Pass</v>
      </c>
      <c r="Y75" s="2">
        <v>60</v>
      </c>
      <c r="Z75" s="2">
        <v>0.27860000000000001</v>
      </c>
      <c r="AA75" s="2">
        <v>0.29780000000000001</v>
      </c>
      <c r="AB75" s="2">
        <v>4.5883000000000003</v>
      </c>
    </row>
    <row r="76" spans="2:28" x14ac:dyDescent="0.4">
      <c r="B76" s="11">
        <v>59</v>
      </c>
      <c r="C76" s="16">
        <f t="shared" si="1"/>
        <v>3.841089228490473</v>
      </c>
      <c r="D76" s="17">
        <f t="shared" si="3"/>
        <v>4.2678769205449703</v>
      </c>
      <c r="E76" s="17">
        <f t="shared" si="2"/>
        <v>4.6946646125994675</v>
      </c>
      <c r="F76" s="2">
        <v>4.3859000000000004</v>
      </c>
      <c r="G76" s="2" t="str">
        <f t="shared" si="0"/>
        <v>Pass</v>
      </c>
      <c r="Y76" s="2">
        <v>61</v>
      </c>
      <c r="Z76" s="2">
        <v>0.28000000000000003</v>
      </c>
      <c r="AA76" s="2">
        <v>0.29909999999999998</v>
      </c>
      <c r="AB76" s="2">
        <v>4.8573000000000004</v>
      </c>
    </row>
    <row r="77" spans="2:28" x14ac:dyDescent="0.4">
      <c r="B77" s="11">
        <v>60</v>
      </c>
      <c r="C77" s="16">
        <f t="shared" si="1"/>
        <v>4.0119481938222972</v>
      </c>
      <c r="D77" s="17">
        <f t="shared" si="3"/>
        <v>4.4577202153581075</v>
      </c>
      <c r="E77" s="17">
        <f t="shared" si="2"/>
        <v>4.9034922368939178</v>
      </c>
      <c r="F77" s="2">
        <v>4.5883000000000003</v>
      </c>
      <c r="G77" s="2" t="str">
        <f t="shared" si="0"/>
        <v>Pass</v>
      </c>
      <c r="Y77" s="2">
        <v>62</v>
      </c>
      <c r="Z77" s="2">
        <v>0.28029999999999999</v>
      </c>
      <c r="AA77" s="2">
        <v>0.30030000000000001</v>
      </c>
      <c r="AB77" s="2">
        <v>5.0823999999999998</v>
      </c>
    </row>
    <row r="78" spans="2:28" x14ac:dyDescent="0.4">
      <c r="B78" s="11">
        <v>61</v>
      </c>
      <c r="C78" s="16">
        <f t="shared" si="1"/>
        <v>4.1874058837026542</v>
      </c>
      <c r="D78" s="17">
        <f t="shared" si="3"/>
        <v>4.6526732041140599</v>
      </c>
      <c r="E78" s="17">
        <f t="shared" si="2"/>
        <v>5.1179405245254657</v>
      </c>
      <c r="F78" s="2">
        <v>4.8573000000000004</v>
      </c>
      <c r="G78" s="2" t="str">
        <f t="shared" si="0"/>
        <v>Pass</v>
      </c>
      <c r="Y78" s="2">
        <v>63</v>
      </c>
      <c r="Z78" s="2">
        <v>0.28210000000000002</v>
      </c>
      <c r="AA78" s="2">
        <v>0.29949999999999999</v>
      </c>
      <c r="AB78" s="2">
        <v>5.1492000000000004</v>
      </c>
    </row>
    <row r="79" spans="2:28" x14ac:dyDescent="0.4">
      <c r="B79" s="11">
        <v>62</v>
      </c>
      <c r="C79" s="16">
        <f t="shared" si="1"/>
        <v>4.3675079500452334</v>
      </c>
      <c r="D79" s="17">
        <f t="shared" si="3"/>
        <v>4.8527866111613704</v>
      </c>
      <c r="E79" s="17">
        <f t="shared" si="2"/>
        <v>5.3380652722775075</v>
      </c>
      <c r="F79" s="2">
        <v>5.0823999999999998</v>
      </c>
      <c r="G79" s="2" t="str">
        <f t="shared" si="0"/>
        <v>Pass</v>
      </c>
      <c r="Y79" s="2">
        <v>64</v>
      </c>
      <c r="Z79" s="2">
        <v>0.28100000000000003</v>
      </c>
      <c r="AA79" s="2">
        <v>0.30049999999999999</v>
      </c>
      <c r="AB79" s="2">
        <v>5.2828999999999997</v>
      </c>
    </row>
    <row r="80" spans="2:28" x14ac:dyDescent="0.4">
      <c r="B80" s="11">
        <v>63</v>
      </c>
      <c r="C80" s="16">
        <f t="shared" si="1"/>
        <v>4.5522997475306255</v>
      </c>
      <c r="D80" s="17">
        <f t="shared" si="3"/>
        <v>5.0581108305895839</v>
      </c>
      <c r="E80" s="17">
        <f t="shared" si="2"/>
        <v>5.5639219136485423</v>
      </c>
      <c r="F80" s="2">
        <v>5.1492000000000004</v>
      </c>
      <c r="G80" s="2" t="str">
        <f t="shared" si="0"/>
        <v>Pass</v>
      </c>
      <c r="Y80" s="2">
        <v>65</v>
      </c>
      <c r="Z80" s="2">
        <v>0.28100000000000003</v>
      </c>
      <c r="AA80" s="2">
        <v>0.3004</v>
      </c>
      <c r="AB80" s="2">
        <v>5.5693999999999999</v>
      </c>
    </row>
    <row r="81" spans="2:28" x14ac:dyDescent="0.4">
      <c r="B81" s="11">
        <v>64</v>
      </c>
      <c r="C81" s="16">
        <f t="shared" si="1"/>
        <v>4.7418263402717002</v>
      </c>
      <c r="D81" s="17">
        <f t="shared" si="3"/>
        <v>5.2686959336352226</v>
      </c>
      <c r="E81" s="17">
        <f t="shared" si="2"/>
        <v>5.7955655269987449</v>
      </c>
      <c r="F81" s="2">
        <v>5.2828999999999997</v>
      </c>
      <c r="G81" s="2" t="str">
        <f t="shared" ref="G81:G144" si="4">IF(F81&lt;=C81,"Fail",IF(AND(C81&lt;F81,F81&lt;E81),"Pass",IF(E81&lt;=F81,"Fail")))</f>
        <v>Pass</v>
      </c>
      <c r="Y81" s="2">
        <v>66</v>
      </c>
      <c r="Z81" s="2">
        <v>0.28189999999999998</v>
      </c>
      <c r="AA81" s="2">
        <v>0.30080000000000001</v>
      </c>
      <c r="AB81" s="2">
        <v>5.7998000000000003</v>
      </c>
    </row>
    <row r="82" spans="2:28" x14ac:dyDescent="0.4">
      <c r="B82" s="11">
        <v>65</v>
      </c>
      <c r="C82" s="16">
        <f t="shared" ref="C82:C145" si="5">D82-D82*(C$14/100)</f>
        <v>4.9361325082267635</v>
      </c>
      <c r="D82" s="17">
        <f t="shared" si="3"/>
        <v>5.4845916758075148</v>
      </c>
      <c r="E82" s="17">
        <f t="shared" ref="E82:E145" si="6">D82+D82*(C$14/100)</f>
        <v>6.0330508433882661</v>
      </c>
      <c r="F82" s="2">
        <v>5.5693999999999999</v>
      </c>
      <c r="G82" s="2" t="str">
        <f t="shared" si="4"/>
        <v>Pass</v>
      </c>
      <c r="Y82" s="2">
        <v>67</v>
      </c>
      <c r="Z82" s="2">
        <v>0.2823</v>
      </c>
      <c r="AA82" s="2">
        <v>0.30130000000000001</v>
      </c>
      <c r="AB82" s="2">
        <v>6.1029</v>
      </c>
    </row>
    <row r="83" spans="2:28" x14ac:dyDescent="0.4">
      <c r="B83" s="11">
        <v>66</v>
      </c>
      <c r="C83" s="16">
        <f t="shared" si="5"/>
        <v>5.135262753373822</v>
      </c>
      <c r="D83" s="17">
        <f t="shared" ref="D83:D146" si="7">D$272*((B83+F$17)/B$272)^C$13</f>
        <v>5.7058475037486911</v>
      </c>
      <c r="E83" s="17">
        <f t="shared" si="6"/>
        <v>6.2764322541235602</v>
      </c>
      <c r="F83" s="2">
        <v>5.7998000000000003</v>
      </c>
      <c r="G83" s="2" t="str">
        <f t="shared" si="4"/>
        <v>Pass</v>
      </c>
      <c r="Y83" s="2">
        <v>68</v>
      </c>
      <c r="Z83" s="2">
        <v>0.28270000000000001</v>
      </c>
      <c r="AA83" s="2">
        <v>0.3019</v>
      </c>
      <c r="AB83" s="2">
        <v>6.3213999999999997</v>
      </c>
    </row>
    <row r="84" spans="2:28" x14ac:dyDescent="0.4">
      <c r="B84" s="11">
        <v>67</v>
      </c>
      <c r="C84" s="16">
        <f t="shared" si="5"/>
        <v>5.3392613056583622</v>
      </c>
      <c r="D84" s="17">
        <f t="shared" si="7"/>
        <v>5.9325125618426249</v>
      </c>
      <c r="E84" s="17">
        <f t="shared" si="6"/>
        <v>6.5257638180268875</v>
      </c>
      <c r="F84" s="2">
        <v>6.1029</v>
      </c>
      <c r="G84" s="2" t="str">
        <f t="shared" si="4"/>
        <v>Pass</v>
      </c>
      <c r="Y84" s="2">
        <v>69</v>
      </c>
      <c r="Z84" s="2">
        <v>0.28349999999999997</v>
      </c>
      <c r="AA84" s="2">
        <v>0.30230000000000001</v>
      </c>
      <c r="AB84" s="2">
        <v>6.6272000000000002</v>
      </c>
    </row>
    <row r="85" spans="2:28" x14ac:dyDescent="0.4">
      <c r="B85" s="11">
        <v>68</v>
      </c>
      <c r="C85" s="16">
        <f t="shared" si="5"/>
        <v>5.5481721287262431</v>
      </c>
      <c r="D85" s="17">
        <f t="shared" si="7"/>
        <v>6.1646356985847151</v>
      </c>
      <c r="E85" s="17">
        <f t="shared" si="6"/>
        <v>6.781099268443187</v>
      </c>
      <c r="F85" s="2">
        <v>6.3213999999999997</v>
      </c>
      <c r="G85" s="2" t="str">
        <f t="shared" si="4"/>
        <v>Pass</v>
      </c>
      <c r="Y85" s="2">
        <v>70</v>
      </c>
      <c r="Z85" s="2">
        <v>0.27189999999999998</v>
      </c>
      <c r="AA85" s="2">
        <v>0.30159999999999998</v>
      </c>
      <c r="AB85" s="2">
        <v>6.6910999999999996</v>
      </c>
    </row>
    <row r="86" spans="2:28" x14ac:dyDescent="0.4">
      <c r="B86" s="11">
        <v>69</v>
      </c>
      <c r="C86" s="16">
        <f t="shared" si="5"/>
        <v>5.762038925452492</v>
      </c>
      <c r="D86" s="17">
        <f t="shared" si="7"/>
        <v>6.4022654727249915</v>
      </c>
      <c r="E86" s="17">
        <f t="shared" si="6"/>
        <v>7.042492019997491</v>
      </c>
      <c r="F86" s="2">
        <v>6.6272000000000002</v>
      </c>
      <c r="G86" s="2" t="str">
        <f t="shared" si="4"/>
        <v>Pass</v>
      </c>
      <c r="Y86" s="2">
        <v>71</v>
      </c>
      <c r="Z86" s="2">
        <v>0.28149999999999997</v>
      </c>
      <c r="AA86" s="2">
        <v>0.29749999999999999</v>
      </c>
      <c r="AB86" s="2">
        <v>6.8926999999999996</v>
      </c>
    </row>
    <row r="87" spans="2:28" x14ac:dyDescent="0.4">
      <c r="B87" s="11">
        <v>70</v>
      </c>
      <c r="C87" s="16">
        <f t="shared" si="5"/>
        <v>5.9809051432762672</v>
      </c>
      <c r="D87" s="17">
        <f t="shared" si="7"/>
        <v>6.6454501591958524</v>
      </c>
      <c r="E87" s="17">
        <f t="shared" si="6"/>
        <v>7.3099951751154375</v>
      </c>
      <c r="F87" s="2">
        <v>6.6910999999999996</v>
      </c>
      <c r="G87" s="2" t="str">
        <f t="shared" si="4"/>
        <v>Pass</v>
      </c>
      <c r="Y87" s="2">
        <v>72</v>
      </c>
      <c r="Z87" s="2">
        <v>0.28189999999999998</v>
      </c>
      <c r="AA87" s="2">
        <v>0.29809999999999998</v>
      </c>
      <c r="AB87" s="2">
        <v>7.2153</v>
      </c>
    </row>
    <row r="88" spans="2:28" x14ac:dyDescent="0.4">
      <c r="B88" s="11">
        <v>71</v>
      </c>
      <c r="C88" s="16">
        <f t="shared" si="5"/>
        <v>6.2048139793513091</v>
      </c>
      <c r="D88" s="17">
        <f t="shared" si="7"/>
        <v>6.894237754834788</v>
      </c>
      <c r="E88" s="17">
        <f t="shared" si="6"/>
        <v>7.5836615303182668</v>
      </c>
      <c r="F88" s="2">
        <v>6.8926999999999996</v>
      </c>
      <c r="G88" s="2" t="str">
        <f t="shared" si="4"/>
        <v>Pass</v>
      </c>
      <c r="Y88" s="2">
        <v>73</v>
      </c>
      <c r="Z88" s="2">
        <v>0.28260000000000002</v>
      </c>
      <c r="AA88" s="2">
        <v>0.2984</v>
      </c>
      <c r="AB88" s="2">
        <v>7.4870999999999999</v>
      </c>
    </row>
    <row r="89" spans="2:28" x14ac:dyDescent="0.4">
      <c r="B89" s="11">
        <v>72</v>
      </c>
      <c r="C89" s="16">
        <f t="shared" si="5"/>
        <v>6.4338083855209511</v>
      </c>
      <c r="D89" s="17">
        <f t="shared" si="7"/>
        <v>7.1486759839121676</v>
      </c>
      <c r="E89" s="17">
        <f t="shared" si="6"/>
        <v>7.8635435823033841</v>
      </c>
      <c r="F89" s="2">
        <v>7.2153</v>
      </c>
      <c r="G89" s="2" t="str">
        <f t="shared" si="4"/>
        <v>Pass</v>
      </c>
      <c r="Y89" s="2">
        <v>74</v>
      </c>
      <c r="Z89" s="2">
        <v>0.28299999999999997</v>
      </c>
      <c r="AA89" s="2">
        <v>0.29849999999999999</v>
      </c>
      <c r="AB89" s="2">
        <v>7.8131000000000004</v>
      </c>
    </row>
    <row r="90" spans="2:28" x14ac:dyDescent="0.4">
      <c r="B90" s="11">
        <v>73</v>
      </c>
      <c r="C90" s="16">
        <f t="shared" si="5"/>
        <v>6.6679310731258985</v>
      </c>
      <c r="D90" s="17">
        <f t="shared" si="7"/>
        <v>7.408812303473221</v>
      </c>
      <c r="E90" s="17">
        <f t="shared" si="6"/>
        <v>8.1496935338205425</v>
      </c>
      <c r="F90" s="2">
        <v>7.4870999999999999</v>
      </c>
      <c r="G90" s="2" t="str">
        <f t="shared" si="4"/>
        <v>Pass</v>
      </c>
      <c r="Y90" s="2">
        <v>75</v>
      </c>
      <c r="Z90" s="2">
        <v>0.28000000000000003</v>
      </c>
      <c r="AA90" s="2">
        <v>0.2979</v>
      </c>
      <c r="AB90" s="2">
        <v>8.0196000000000005</v>
      </c>
    </row>
    <row r="91" spans="2:28" x14ac:dyDescent="0.4">
      <c r="B91" s="11">
        <v>74</v>
      </c>
      <c r="C91" s="16">
        <f t="shared" si="5"/>
        <v>6.9072245176527884</v>
      </c>
      <c r="D91" s="17">
        <f t="shared" si="7"/>
        <v>7.6746939085030981</v>
      </c>
      <c r="E91" s="17">
        <f t="shared" si="6"/>
        <v>8.4421632993534086</v>
      </c>
      <c r="F91" s="2">
        <v>7.8131000000000004</v>
      </c>
      <c r="G91" s="2" t="str">
        <f t="shared" si="4"/>
        <v>Pass</v>
      </c>
      <c r="Y91" s="2">
        <v>76</v>
      </c>
      <c r="Z91" s="2">
        <v>0.28129999999999999</v>
      </c>
      <c r="AA91" s="2">
        <v>0.29870000000000002</v>
      </c>
      <c r="AB91" s="2">
        <v>8.3971999999999998</v>
      </c>
    </row>
    <row r="92" spans="2:28" x14ac:dyDescent="0.4">
      <c r="B92" s="11">
        <v>75</v>
      </c>
      <c r="C92" s="16">
        <f t="shared" si="5"/>
        <v>7.1517309632307038</v>
      </c>
      <c r="D92" s="17">
        <f t="shared" si="7"/>
        <v>7.9463677369230039</v>
      </c>
      <c r="E92" s="17">
        <f t="shared" si="6"/>
        <v>8.7410045106153049</v>
      </c>
      <c r="F92" s="2">
        <v>8.0196000000000005</v>
      </c>
      <c r="G92" s="2" t="str">
        <f t="shared" si="4"/>
        <v>Pass</v>
      </c>
      <c r="Y92" s="2">
        <v>77</v>
      </c>
      <c r="Z92" s="2">
        <v>0.28110000000000002</v>
      </c>
      <c r="AA92" s="2">
        <v>0.29870000000000002</v>
      </c>
      <c r="AB92" s="2">
        <v>8.6943000000000001</v>
      </c>
    </row>
    <row r="93" spans="2:28" x14ac:dyDescent="0.4">
      <c r="B93" s="11">
        <v>76</v>
      </c>
      <c r="C93" s="16">
        <f t="shared" si="5"/>
        <v>7.4014924269828057</v>
      </c>
      <c r="D93" s="17">
        <f t="shared" si="7"/>
        <v>8.2238804744253393</v>
      </c>
      <c r="E93" s="17">
        <f t="shared" si="6"/>
        <v>9.0462685218678729</v>
      </c>
      <c r="F93" s="2">
        <v>8.3971999999999998</v>
      </c>
      <c r="G93" s="2" t="str">
        <f t="shared" si="4"/>
        <v>Pass</v>
      </c>
      <c r="Y93" s="2">
        <v>78</v>
      </c>
      <c r="Z93" s="2">
        <v>0.28160000000000002</v>
      </c>
      <c r="AA93" s="2">
        <v>0.29409999999999997</v>
      </c>
      <c r="AB93" s="2">
        <v>8.7827999999999999</v>
      </c>
    </row>
    <row r="94" spans="2:28" x14ac:dyDescent="0.4">
      <c r="B94" s="11">
        <v>77</v>
      </c>
      <c r="C94" s="16">
        <f t="shared" si="5"/>
        <v>7.6565507032393807</v>
      </c>
      <c r="D94" s="17">
        <f t="shared" si="7"/>
        <v>8.5072785591548676</v>
      </c>
      <c r="E94" s="17">
        <f t="shared" si="6"/>
        <v>9.3580064150703546</v>
      </c>
      <c r="F94" s="2">
        <v>8.6943000000000001</v>
      </c>
      <c r="G94" s="2" t="str">
        <f t="shared" si="4"/>
        <v>Pass</v>
      </c>
      <c r="Y94" s="2">
        <v>79</v>
      </c>
      <c r="Z94" s="2">
        <v>0.28360000000000002</v>
      </c>
      <c r="AA94" s="2">
        <v>0.29970000000000002</v>
      </c>
      <c r="AB94" s="2">
        <v>9.0939999999999994</v>
      </c>
    </row>
    <row r="95" spans="2:28" x14ac:dyDescent="0.4">
      <c r="B95" s="11">
        <v>78</v>
      </c>
      <c r="C95" s="16">
        <f t="shared" si="5"/>
        <v>7.9169473676187341</v>
      </c>
      <c r="D95" s="17">
        <f t="shared" si="7"/>
        <v>8.7966081862430379</v>
      </c>
      <c r="E95" s="17">
        <f t="shared" si="6"/>
        <v>9.6762690048673416</v>
      </c>
      <c r="F95" s="2">
        <v>8.7827999999999999</v>
      </c>
      <c r="G95" s="2" t="str">
        <f t="shared" si="4"/>
        <v>Pass</v>
      </c>
      <c r="Y95" s="2">
        <v>80</v>
      </c>
      <c r="Z95" s="2">
        <v>0.28339999999999999</v>
      </c>
      <c r="AA95" s="2">
        <v>0.2999</v>
      </c>
      <c r="AB95" s="2">
        <v>9.4697999999999993</v>
      </c>
    </row>
    <row r="96" spans="2:28" x14ac:dyDescent="0.4">
      <c r="B96" s="11">
        <v>79</v>
      </c>
      <c r="C96" s="16">
        <f t="shared" si="5"/>
        <v>8.1827237809814637</v>
      </c>
      <c r="D96" s="17">
        <f t="shared" si="7"/>
        <v>9.0919153122016265</v>
      </c>
      <c r="E96" s="17">
        <f t="shared" si="6"/>
        <v>10.001106843421789</v>
      </c>
      <c r="F96" s="2">
        <v>9.0939999999999994</v>
      </c>
      <c r="G96" s="2" t="str">
        <f t="shared" si="4"/>
        <v>Pass</v>
      </c>
      <c r="Y96" s="2">
        <v>81</v>
      </c>
      <c r="Z96" s="2">
        <v>0.28060000000000002</v>
      </c>
      <c r="AA96" s="2">
        <v>0.2994</v>
      </c>
      <c r="AB96" s="2">
        <v>9.6780000000000008</v>
      </c>
    </row>
    <row r="97" spans="2:28" x14ac:dyDescent="0.4">
      <c r="B97" s="11">
        <v>80</v>
      </c>
      <c r="C97" s="16">
        <f t="shared" si="5"/>
        <v>8.453921093263812</v>
      </c>
      <c r="D97" s="17">
        <f t="shared" si="7"/>
        <v>9.3932456591820142</v>
      </c>
      <c r="E97" s="17">
        <f t="shared" si="6"/>
        <v>10.332570225100216</v>
      </c>
      <c r="F97" s="2">
        <v>9.4697999999999993</v>
      </c>
      <c r="G97" s="2" t="str">
        <f t="shared" si="4"/>
        <v>Pass</v>
      </c>
      <c r="Y97" s="2">
        <v>82</v>
      </c>
      <c r="Z97" s="2">
        <v>0.28149999999999997</v>
      </c>
      <c r="AA97" s="2">
        <v>0.29959999999999998</v>
      </c>
      <c r="AB97" s="2">
        <v>10.128500000000001</v>
      </c>
    </row>
    <row r="98" spans="2:28" x14ac:dyDescent="0.4">
      <c r="B98" s="11">
        <v>81</v>
      </c>
      <c r="C98" s="16">
        <f t="shared" si="5"/>
        <v>8.730580247195153</v>
      </c>
      <c r="D98" s="17">
        <f t="shared" si="7"/>
        <v>9.7006447191057266</v>
      </c>
      <c r="E98" s="17">
        <f t="shared" si="6"/>
        <v>10.6707091910163</v>
      </c>
      <c r="F98" s="2">
        <v>9.6780000000000008</v>
      </c>
      <c r="G98" s="2" t="str">
        <f t="shared" si="4"/>
        <v>Pass</v>
      </c>
      <c r="Y98" s="2">
        <v>83</v>
      </c>
      <c r="Z98" s="2">
        <v>0.2823</v>
      </c>
      <c r="AA98" s="2">
        <v>0.29930000000000001</v>
      </c>
      <c r="AB98" s="2">
        <v>10.411199999999999</v>
      </c>
    </row>
    <row r="99" spans="2:28" x14ac:dyDescent="0.4">
      <c r="B99" s="11">
        <v>82</v>
      </c>
      <c r="C99" s="16">
        <f t="shared" si="5"/>
        <v>9.0127419819045649</v>
      </c>
      <c r="D99" s="17">
        <f t="shared" si="7"/>
        <v>10.01415775767174</v>
      </c>
      <c r="E99" s="17">
        <f t="shared" si="6"/>
        <v>11.015573533438914</v>
      </c>
      <c r="F99" s="2">
        <v>10.128500000000001</v>
      </c>
      <c r="G99" s="2" t="str">
        <f t="shared" si="4"/>
        <v>Pass</v>
      </c>
      <c r="Y99" s="2">
        <v>84</v>
      </c>
      <c r="Z99" s="2">
        <v>0.28210000000000002</v>
      </c>
      <c r="AA99" s="2">
        <v>0.30020000000000002</v>
      </c>
      <c r="AB99" s="2">
        <v>10.8498</v>
      </c>
    </row>
    <row r="100" spans="2:28" x14ac:dyDescent="0.4">
      <c r="B100" s="11">
        <v>83</v>
      </c>
      <c r="C100" s="16">
        <f t="shared" si="5"/>
        <v>9.3004468364210986</v>
      </c>
      <c r="D100" s="17">
        <f t="shared" si="7"/>
        <v>10.333829818245665</v>
      </c>
      <c r="E100" s="17">
        <f t="shared" si="6"/>
        <v>11.367212800070231</v>
      </c>
      <c r="F100" s="2">
        <v>10.411199999999999</v>
      </c>
      <c r="G100" s="2" t="str">
        <f t="shared" si="4"/>
        <v>Pass</v>
      </c>
      <c r="Y100" s="2">
        <v>85</v>
      </c>
      <c r="Z100" s="2">
        <v>0.28270000000000001</v>
      </c>
      <c r="AA100" s="2">
        <v>0.2999</v>
      </c>
      <c r="AB100" s="2">
        <v>11.1774</v>
      </c>
    </row>
    <row r="101" spans="2:28" x14ac:dyDescent="0.4">
      <c r="B101" s="11">
        <v>84</v>
      </c>
      <c r="C101" s="16">
        <f t="shared" si="5"/>
        <v>9.5937351530721546</v>
      </c>
      <c r="D101" s="17">
        <f t="shared" si="7"/>
        <v>10.659705725635728</v>
      </c>
      <c r="E101" s="17">
        <f t="shared" si="6"/>
        <v>11.725676298199302</v>
      </c>
      <c r="F101" s="2">
        <v>10.8498</v>
      </c>
      <c r="G101" s="2" t="str">
        <f t="shared" si="4"/>
        <v>Pass</v>
      </c>
      <c r="Y101" s="2">
        <v>86</v>
      </c>
      <c r="Z101" s="2">
        <v>0.2828</v>
      </c>
      <c r="AA101" s="2">
        <v>0.30030000000000001</v>
      </c>
      <c r="AB101" s="2">
        <v>11.5763</v>
      </c>
    </row>
    <row r="102" spans="2:28" x14ac:dyDescent="0.4">
      <c r="B102" s="11">
        <v>85</v>
      </c>
      <c r="C102" s="16">
        <f t="shared" si="5"/>
        <v>9.8926470807840445</v>
      </c>
      <c r="D102" s="17">
        <f t="shared" si="7"/>
        <v>10.99183008976005</v>
      </c>
      <c r="E102" s="17">
        <f t="shared" si="6"/>
        <v>12.091013098736056</v>
      </c>
      <c r="F102" s="2">
        <v>11.1774</v>
      </c>
      <c r="G102" s="2" t="str">
        <f t="shared" si="4"/>
        <v>Pass</v>
      </c>
      <c r="Y102" s="2">
        <v>87</v>
      </c>
      <c r="Z102" s="2">
        <v>0.2823</v>
      </c>
      <c r="AA102" s="2">
        <v>0.29780000000000001</v>
      </c>
      <c r="AB102" s="2">
        <v>11.597099999999999</v>
      </c>
    </row>
    <row r="103" spans="2:28" x14ac:dyDescent="0.4">
      <c r="B103" s="11">
        <v>86</v>
      </c>
      <c r="C103" s="16">
        <f t="shared" si="5"/>
        <v>10.197222578288837</v>
      </c>
      <c r="D103" s="17">
        <f t="shared" si="7"/>
        <v>11.330247309209819</v>
      </c>
      <c r="E103" s="17">
        <f t="shared" si="6"/>
        <v>12.4632720401308</v>
      </c>
      <c r="F103" s="2">
        <v>11.5763</v>
      </c>
      <c r="G103" s="2" t="str">
        <f t="shared" si="4"/>
        <v>Pass</v>
      </c>
      <c r="Y103" s="2">
        <v>88</v>
      </c>
      <c r="Z103" s="2">
        <v>0.28079999999999999</v>
      </c>
      <c r="AA103" s="2">
        <v>0.2964</v>
      </c>
      <c r="AB103" s="2">
        <v>11.9381</v>
      </c>
    </row>
    <row r="104" spans="2:28" x14ac:dyDescent="0.4">
      <c r="B104" s="11">
        <v>87</v>
      </c>
      <c r="C104" s="16">
        <f t="shared" si="5"/>
        <v>10.507501417240967</v>
      </c>
      <c r="D104" s="17">
        <f t="shared" si="7"/>
        <v>11.675001574712185</v>
      </c>
      <c r="E104" s="17">
        <f t="shared" si="6"/>
        <v>12.842501732183404</v>
      </c>
      <c r="F104" s="2">
        <v>11.597099999999999</v>
      </c>
      <c r="G104" s="2" t="str">
        <f t="shared" si="4"/>
        <v>Pass</v>
      </c>
      <c r="Y104" s="2">
        <v>89</v>
      </c>
      <c r="Z104" s="2">
        <v>0.28110000000000002</v>
      </c>
      <c r="AA104" s="2">
        <v>0.29730000000000001</v>
      </c>
      <c r="AB104" s="2">
        <v>12.382099999999999</v>
      </c>
    </row>
    <row r="105" spans="2:28" x14ac:dyDescent="0.4">
      <c r="B105" s="11">
        <v>88</v>
      </c>
      <c r="C105" s="16">
        <f t="shared" si="5"/>
        <v>10.82352318524744</v>
      </c>
      <c r="D105" s="17">
        <f t="shared" si="7"/>
        <v>12.026136872497156</v>
      </c>
      <c r="E105" s="17">
        <f t="shared" si="6"/>
        <v>13.228750559746873</v>
      </c>
      <c r="F105" s="2">
        <v>11.9381</v>
      </c>
      <c r="G105" s="2" t="str">
        <f t="shared" si="4"/>
        <v>Pass</v>
      </c>
      <c r="Y105" s="2">
        <v>90</v>
      </c>
      <c r="Z105" s="2">
        <v>0.28170000000000001</v>
      </c>
      <c r="AA105" s="2">
        <v>0.29749999999999999</v>
      </c>
      <c r="AB105" s="2">
        <v>12.784700000000001</v>
      </c>
    </row>
    <row r="106" spans="2:28" x14ac:dyDescent="0.4">
      <c r="B106" s="11">
        <v>89</v>
      </c>
      <c r="C106" s="16">
        <f t="shared" si="5"/>
        <v>11.145327288814794</v>
      </c>
      <c r="D106" s="17">
        <f t="shared" si="7"/>
        <v>12.383696987571994</v>
      </c>
      <c r="E106" s="17">
        <f t="shared" si="6"/>
        <v>13.622066686329195</v>
      </c>
      <c r="F106" s="2">
        <v>12.382099999999999</v>
      </c>
      <c r="G106" s="2" t="str">
        <f t="shared" si="4"/>
        <v>Pass</v>
      </c>
      <c r="Y106" s="2">
        <v>91</v>
      </c>
      <c r="Z106" s="2">
        <v>0.28199999999999997</v>
      </c>
      <c r="AA106" s="2">
        <v>0.29809999999999998</v>
      </c>
      <c r="AB106" s="2">
        <v>13.293699999999999</v>
      </c>
    </row>
    <row r="107" spans="2:28" x14ac:dyDescent="0.4">
      <c r="B107" s="11">
        <v>90</v>
      </c>
      <c r="C107" s="16">
        <f t="shared" si="5"/>
        <v>11.472952956216059</v>
      </c>
      <c r="D107" s="17">
        <f t="shared" si="7"/>
        <v>12.747725506906733</v>
      </c>
      <c r="E107" s="17">
        <f t="shared" si="6"/>
        <v>14.022498057597407</v>
      </c>
      <c r="F107" s="2">
        <v>12.784700000000001</v>
      </c>
      <c r="G107" s="2" t="str">
        <f t="shared" si="4"/>
        <v>Pass</v>
      </c>
      <c r="Y107" s="2">
        <v>92</v>
      </c>
      <c r="Z107" s="2">
        <v>0.2833</v>
      </c>
      <c r="AA107" s="2">
        <v>0.29870000000000002</v>
      </c>
      <c r="AB107" s="2">
        <v>13.6683</v>
      </c>
    </row>
    <row r="108" spans="2:28" x14ac:dyDescent="0.4">
      <c r="B108" s="11">
        <v>91</v>
      </c>
      <c r="C108" s="16">
        <f t="shared" si="5"/>
        <v>11.806439240280842</v>
      </c>
      <c r="D108" s="17">
        <f t="shared" si="7"/>
        <v>13.118265822534267</v>
      </c>
      <c r="E108" s="17">
        <f t="shared" si="6"/>
        <v>14.430092404787693</v>
      </c>
      <c r="F108" s="2">
        <v>13.293699999999999</v>
      </c>
      <c r="G108" s="2" t="str">
        <f t="shared" si="4"/>
        <v>Pass</v>
      </c>
      <c r="Y108" s="2">
        <v>93</v>
      </c>
      <c r="Z108" s="2">
        <v>0.2833</v>
      </c>
      <c r="AA108" s="2">
        <v>0.2994</v>
      </c>
      <c r="AB108" s="2">
        <v>14.051500000000001</v>
      </c>
    </row>
    <row r="109" spans="2:28" x14ac:dyDescent="0.4">
      <c r="B109" s="11">
        <v>92</v>
      </c>
      <c r="C109" s="16">
        <f t="shared" si="5"/>
        <v>12.145825021111294</v>
      </c>
      <c r="D109" s="17">
        <f t="shared" si="7"/>
        <v>13.495361134568105</v>
      </c>
      <c r="E109" s="17">
        <f t="shared" si="6"/>
        <v>14.844897248024916</v>
      </c>
      <c r="F109" s="2">
        <v>13.6683</v>
      </c>
      <c r="G109" s="2" t="str">
        <f t="shared" si="4"/>
        <v>Pass</v>
      </c>
      <c r="Y109" s="2">
        <v>94</v>
      </c>
      <c r="Z109" s="2">
        <v>0.28120000000000001</v>
      </c>
      <c r="AA109" s="2">
        <v>0.29849999999999999</v>
      </c>
      <c r="AB109" s="2">
        <v>14.472</v>
      </c>
    </row>
    <row r="110" spans="2:28" x14ac:dyDescent="0.4">
      <c r="B110" s="11">
        <v>93</v>
      </c>
      <c r="C110" s="16">
        <f t="shared" si="5"/>
        <v>12.491149008726863</v>
      </c>
      <c r="D110" s="17">
        <f t="shared" si="7"/>
        <v>13.87905445414096</v>
      </c>
      <c r="E110" s="17">
        <f t="shared" si="6"/>
        <v>15.266959899555056</v>
      </c>
      <c r="F110" s="2">
        <v>14.051500000000001</v>
      </c>
      <c r="G110" s="2" t="str">
        <f t="shared" si="4"/>
        <v>Pass</v>
      </c>
      <c r="Y110" s="2">
        <v>95</v>
      </c>
      <c r="Z110" s="2">
        <v>0.28179999999999999</v>
      </c>
      <c r="AA110" s="2">
        <v>0.2994</v>
      </c>
      <c r="AB110" s="2">
        <v>15.041499999999999</v>
      </c>
    </row>
    <row r="111" spans="2:28" x14ac:dyDescent="0.4">
      <c r="B111" s="11">
        <v>94</v>
      </c>
      <c r="C111" s="16">
        <f t="shared" si="5"/>
        <v>12.84244974564028</v>
      </c>
      <c r="D111" s="17">
        <f t="shared" si="7"/>
        <v>14.269388606266979</v>
      </c>
      <c r="E111" s="17">
        <f t="shared" si="6"/>
        <v>15.696327466893678</v>
      </c>
      <c r="F111" s="2">
        <v>14.472</v>
      </c>
      <c r="G111" s="2" t="str">
        <f t="shared" si="4"/>
        <v>Pass</v>
      </c>
      <c r="Y111" s="2">
        <v>96</v>
      </c>
      <c r="Z111" s="2">
        <v>0.28289999999999998</v>
      </c>
      <c r="AA111" s="2">
        <v>0.29670000000000002</v>
      </c>
      <c r="AB111" s="2">
        <v>15.1503</v>
      </c>
    </row>
    <row r="112" spans="2:28" x14ac:dyDescent="0.4">
      <c r="B112" s="11">
        <v>95</v>
      </c>
      <c r="C112" s="16">
        <f t="shared" si="5"/>
        <v>13.19976560936748</v>
      </c>
      <c r="D112" s="17">
        <f t="shared" si="7"/>
        <v>14.666406232630534</v>
      </c>
      <c r="E112" s="17">
        <f t="shared" si="6"/>
        <v>16.133046855893589</v>
      </c>
      <c r="F112" s="2">
        <v>15.041499999999999</v>
      </c>
      <c r="G112" s="2" t="str">
        <f t="shared" si="4"/>
        <v>Pass</v>
      </c>
      <c r="Y112" s="2">
        <v>97</v>
      </c>
      <c r="Z112" s="2">
        <v>0.28289999999999998</v>
      </c>
      <c r="AA112" s="2">
        <v>0.29720000000000002</v>
      </c>
      <c r="AB112" s="2">
        <v>15.5387</v>
      </c>
    </row>
    <row r="113" spans="2:28" x14ac:dyDescent="0.4">
      <c r="B113" s="11">
        <v>96</v>
      </c>
      <c r="C113" s="16">
        <f t="shared" si="5"/>
        <v>13.563134814873653</v>
      </c>
      <c r="D113" s="17">
        <f t="shared" si="7"/>
        <v>15.07014979430406</v>
      </c>
      <c r="E113" s="17">
        <f t="shared" si="6"/>
        <v>16.577164773734467</v>
      </c>
      <c r="F113" s="2">
        <v>15.1503</v>
      </c>
      <c r="G113" s="2" t="str">
        <f t="shared" si="4"/>
        <v>Pass</v>
      </c>
      <c r="Y113" s="2">
        <v>98</v>
      </c>
      <c r="Z113" s="2">
        <v>0.28249999999999997</v>
      </c>
      <c r="AA113" s="2">
        <v>0.29749999999999999</v>
      </c>
      <c r="AB113" s="2">
        <v>15.92</v>
      </c>
    </row>
    <row r="114" spans="2:28" x14ac:dyDescent="0.4">
      <c r="B114" s="11">
        <v>97</v>
      </c>
      <c r="C114" s="16">
        <f t="shared" si="5"/>
        <v>13.932595416957795</v>
      </c>
      <c r="D114" s="17">
        <f t="shared" si="7"/>
        <v>15.480661574397551</v>
      </c>
      <c r="E114" s="17">
        <f t="shared" si="6"/>
        <v>17.028727731837307</v>
      </c>
      <c r="F114" s="2">
        <v>15.5387</v>
      </c>
      <c r="G114" s="2" t="str">
        <f t="shared" si="4"/>
        <v>Pass</v>
      </c>
      <c r="Y114" s="2">
        <v>99</v>
      </c>
      <c r="Z114" s="2">
        <v>0.28320000000000001</v>
      </c>
      <c r="AA114" s="2">
        <v>0.29780000000000001</v>
      </c>
      <c r="AB114" s="2">
        <v>16.504200000000001</v>
      </c>
    </row>
    <row r="115" spans="2:28" x14ac:dyDescent="0.4">
      <c r="B115" s="11">
        <v>98</v>
      </c>
      <c r="C115" s="16">
        <f t="shared" si="5"/>
        <v>14.308185312577953</v>
      </c>
      <c r="D115" s="17">
        <f t="shared" si="7"/>
        <v>15.89798368064217</v>
      </c>
      <c r="E115" s="17">
        <f t="shared" si="6"/>
        <v>17.487782048706386</v>
      </c>
      <c r="F115" s="2">
        <v>15.92</v>
      </c>
      <c r="G115" s="2" t="str">
        <f t="shared" si="4"/>
        <v>Pass</v>
      </c>
      <c r="Y115" s="2">
        <v>100</v>
      </c>
      <c r="Z115" s="2">
        <v>0.28210000000000002</v>
      </c>
      <c r="AA115" s="2">
        <v>0.29880000000000001</v>
      </c>
      <c r="AB115" s="2">
        <v>16.9053</v>
      </c>
    </row>
    <row r="116" spans="2:28" x14ac:dyDescent="0.4">
      <c r="B116" s="11">
        <v>99</v>
      </c>
      <c r="C116" s="16">
        <f t="shared" si="5"/>
        <v>14.689942243119164</v>
      </c>
      <c r="D116" s="17">
        <f t="shared" si="7"/>
        <v>16.322158047910182</v>
      </c>
      <c r="E116" s="17">
        <f t="shared" si="6"/>
        <v>17.954373852701202</v>
      </c>
      <c r="F116" s="2">
        <v>16.504200000000001</v>
      </c>
      <c r="G116" s="2" t="str">
        <f t="shared" si="4"/>
        <v>Pass</v>
      </c>
      <c r="Y116" s="2">
        <v>101</v>
      </c>
      <c r="Z116" s="2">
        <v>0.28060000000000002</v>
      </c>
      <c r="AA116" s="2">
        <v>0.29599999999999999</v>
      </c>
      <c r="AB116" s="2">
        <v>17.330400000000001</v>
      </c>
    </row>
    <row r="117" spans="2:28" x14ac:dyDescent="0.4">
      <c r="B117" s="11">
        <v>100</v>
      </c>
      <c r="C117" s="16">
        <f t="shared" si="5"/>
        <v>15.077903796606067</v>
      </c>
      <c r="D117" s="17">
        <f t="shared" si="7"/>
        <v>16.753226440673409</v>
      </c>
      <c r="E117" s="17">
        <f t="shared" si="6"/>
        <v>18.428549084740748</v>
      </c>
      <c r="F117" s="2">
        <v>16.9053</v>
      </c>
      <c r="G117" s="2" t="str">
        <f t="shared" si="4"/>
        <v>Pass</v>
      </c>
      <c r="Y117" s="2">
        <v>102</v>
      </c>
      <c r="Z117" s="2">
        <v>0.28079999999999999</v>
      </c>
      <c r="AA117" s="2">
        <v>0.29620000000000002</v>
      </c>
      <c r="AB117" s="2">
        <v>17.939299999999999</v>
      </c>
    </row>
    <row r="118" spans="2:28" x14ac:dyDescent="0.4">
      <c r="B118" s="11">
        <v>101</v>
      </c>
      <c r="C118" s="16">
        <f t="shared" si="5"/>
        <v>15.47210740986217</v>
      </c>
      <c r="D118" s="17">
        <f t="shared" si="7"/>
        <v>17.191230455402412</v>
      </c>
      <c r="E118" s="17">
        <f t="shared" si="6"/>
        <v>18.910353500942652</v>
      </c>
      <c r="F118" s="2">
        <v>17.330400000000001</v>
      </c>
      <c r="G118" s="2" t="str">
        <f t="shared" si="4"/>
        <v>Pass</v>
      </c>
      <c r="Y118" s="2">
        <v>103</v>
      </c>
      <c r="Z118" s="2">
        <v>0.28129999999999999</v>
      </c>
      <c r="AA118" s="2">
        <v>0.2964</v>
      </c>
      <c r="AB118" s="2">
        <v>18.396000000000001</v>
      </c>
    </row>
    <row r="119" spans="2:28" x14ac:dyDescent="0.4">
      <c r="B119" s="11">
        <v>102</v>
      </c>
      <c r="C119" s="16">
        <f t="shared" si="5"/>
        <v>15.87259037061747</v>
      </c>
      <c r="D119" s="17">
        <f t="shared" si="7"/>
        <v>17.636211522908301</v>
      </c>
      <c r="E119" s="17">
        <f t="shared" si="6"/>
        <v>19.399832675199132</v>
      </c>
      <c r="F119" s="2">
        <v>17.939299999999999</v>
      </c>
      <c r="G119" s="2" t="str">
        <f t="shared" si="4"/>
        <v>Pass</v>
      </c>
      <c r="Y119" s="2">
        <v>104</v>
      </c>
      <c r="Z119" s="2">
        <v>0.28199999999999997</v>
      </c>
      <c r="AA119" s="2">
        <v>0.29720000000000002</v>
      </c>
      <c r="AB119" s="2">
        <v>19.0077</v>
      </c>
    </row>
    <row r="120" spans="2:28" x14ac:dyDescent="0.4">
      <c r="B120" s="11">
        <v>103</v>
      </c>
      <c r="C120" s="16">
        <f t="shared" si="5"/>
        <v>16.279389819566241</v>
      </c>
      <c r="D120" s="17">
        <f t="shared" si="7"/>
        <v>18.088210910629154</v>
      </c>
      <c r="E120" s="17">
        <f t="shared" si="6"/>
        <v>19.897032001692068</v>
      </c>
      <c r="F120" s="2">
        <v>18.396000000000001</v>
      </c>
      <c r="G120" s="2" t="str">
        <f t="shared" si="4"/>
        <v>Pass</v>
      </c>
      <c r="Y120" s="2">
        <v>105</v>
      </c>
      <c r="Z120" s="2">
        <v>0.28260000000000002</v>
      </c>
      <c r="AA120" s="2">
        <v>0.29699999999999999</v>
      </c>
      <c r="AB120" s="2">
        <v>19.4223</v>
      </c>
    </row>
    <row r="121" spans="2:28" x14ac:dyDescent="0.4">
      <c r="B121" s="11">
        <v>104</v>
      </c>
      <c r="C121" s="16">
        <f t="shared" si="5"/>
        <v>16.692542752376561</v>
      </c>
      <c r="D121" s="17">
        <f t="shared" si="7"/>
        <v>18.547269724862847</v>
      </c>
      <c r="E121" s="17">
        <f t="shared" si="6"/>
        <v>20.401996697349134</v>
      </c>
      <c r="F121" s="2">
        <v>19.0077</v>
      </c>
      <c r="G121" s="2" t="str">
        <f t="shared" si="4"/>
        <v>Pass</v>
      </c>
      <c r="Y121" s="2">
        <v>106</v>
      </c>
      <c r="Z121" s="2">
        <v>0.28039999999999998</v>
      </c>
      <c r="AA121" s="2">
        <v>0.29659999999999997</v>
      </c>
      <c r="AB121" s="2">
        <v>19.888400000000001</v>
      </c>
    </row>
    <row r="122" spans="2:28" x14ac:dyDescent="0.4">
      <c r="B122" s="11">
        <v>105</v>
      </c>
      <c r="C122" s="16">
        <f t="shared" si="5"/>
        <v>17.112086021653269</v>
      </c>
      <c r="D122" s="17">
        <f t="shared" si="7"/>
        <v>19.013428912948076</v>
      </c>
      <c r="E122" s="17">
        <f t="shared" si="6"/>
        <v>20.914771804242882</v>
      </c>
      <c r="F122" s="2">
        <v>19.4223</v>
      </c>
      <c r="G122" s="2" t="str">
        <f t="shared" si="4"/>
        <v>Pass</v>
      </c>
      <c r="Y122" s="2">
        <v>107</v>
      </c>
      <c r="Z122" s="2">
        <v>0.28060000000000002</v>
      </c>
      <c r="AA122" s="2">
        <v>0.29699999999999999</v>
      </c>
      <c r="AB122" s="2">
        <v>20.352799999999998</v>
      </c>
    </row>
    <row r="123" spans="2:28" x14ac:dyDescent="0.4">
      <c r="B123" s="11">
        <v>106</v>
      </c>
      <c r="C123" s="16">
        <f t="shared" si="5"/>
        <v>17.538056338855739</v>
      </c>
      <c r="D123" s="17">
        <f t="shared" si="7"/>
        <v>19.486729265395265</v>
      </c>
      <c r="E123" s="17">
        <f t="shared" si="6"/>
        <v>21.435402191934791</v>
      </c>
      <c r="F123" s="2">
        <v>19.888400000000001</v>
      </c>
      <c r="G123" s="2" t="str">
        <f t="shared" si="4"/>
        <v>Pass</v>
      </c>
      <c r="Y123" s="2">
        <v>108</v>
      </c>
      <c r="Z123" s="2">
        <v>0.28110000000000002</v>
      </c>
      <c r="AA123" s="2">
        <v>0.29720000000000002</v>
      </c>
      <c r="AB123" s="2">
        <v>20.9816</v>
      </c>
    </row>
    <row r="124" spans="2:28" x14ac:dyDescent="0.4">
      <c r="B124" s="11">
        <v>107</v>
      </c>
      <c r="C124" s="16">
        <f t="shared" si="5"/>
        <v>17.970490276172111</v>
      </c>
      <c r="D124" s="17">
        <f t="shared" si="7"/>
        <v>19.967211417969011</v>
      </c>
      <c r="E124" s="17">
        <f t="shared" si="6"/>
        <v>21.963932559765912</v>
      </c>
      <c r="F124" s="2">
        <v>20.352799999999998</v>
      </c>
      <c r="G124" s="2" t="str">
        <f t="shared" si="4"/>
        <v>Pass</v>
      </c>
      <c r="Y124" s="2">
        <v>109</v>
      </c>
      <c r="Z124" s="2">
        <v>0.28120000000000001</v>
      </c>
      <c r="AA124" s="2">
        <v>0.29699999999999999</v>
      </c>
      <c r="AB124" s="2">
        <v>21.4907</v>
      </c>
    </row>
    <row r="125" spans="2:28" x14ac:dyDescent="0.4">
      <c r="B125" s="11">
        <v>108</v>
      </c>
      <c r="C125" s="16">
        <f t="shared" si="5"/>
        <v>18.40942426835112</v>
      </c>
      <c r="D125" s="17">
        <f t="shared" si="7"/>
        <v>20.454915853723467</v>
      </c>
      <c r="E125" s="17">
        <f t="shared" si="6"/>
        <v>22.500407439095813</v>
      </c>
      <c r="F125" s="2">
        <v>20.9816</v>
      </c>
      <c r="G125" s="2" t="str">
        <f t="shared" si="4"/>
        <v>Pass</v>
      </c>
      <c r="Y125" s="2">
        <v>110</v>
      </c>
      <c r="Z125" s="2">
        <v>0.28120000000000001</v>
      </c>
      <c r="AA125" s="2">
        <v>0.29430000000000001</v>
      </c>
      <c r="AB125" s="2">
        <v>21.652200000000001</v>
      </c>
    </row>
    <row r="126" spans="2:28" x14ac:dyDescent="0.4">
      <c r="B126" s="11">
        <v>109</v>
      </c>
      <c r="C126" s="16">
        <f t="shared" si="5"/>
        <v>18.854894614493073</v>
      </c>
      <c r="D126" s="17">
        <f t="shared" si="7"/>
        <v>20.949882904992304</v>
      </c>
      <c r="E126" s="17">
        <f t="shared" si="6"/>
        <v>23.044871195491535</v>
      </c>
      <c r="F126" s="2">
        <v>21.4907</v>
      </c>
      <c r="G126" s="2" t="str">
        <f t="shared" si="4"/>
        <v>Pass</v>
      </c>
      <c r="Y126" s="2">
        <v>111</v>
      </c>
      <c r="Z126" s="2">
        <v>0.28149999999999997</v>
      </c>
      <c r="AA126" s="2">
        <v>0.29459999999999997</v>
      </c>
      <c r="AB126" s="2">
        <v>22.173500000000001</v>
      </c>
    </row>
    <row r="127" spans="2:28" x14ac:dyDescent="0.4">
      <c r="B127" s="11">
        <v>110</v>
      </c>
      <c r="C127" s="16">
        <f t="shared" si="5"/>
        <v>19.306937479801249</v>
      </c>
      <c r="D127" s="17">
        <f t="shared" si="7"/>
        <v>21.452152755334723</v>
      </c>
      <c r="E127" s="17">
        <f t="shared" si="6"/>
        <v>23.597368030868196</v>
      </c>
      <c r="F127" s="2">
        <v>21.652200000000001</v>
      </c>
      <c r="G127" s="2" t="str">
        <f t="shared" si="4"/>
        <v>Pass</v>
      </c>
      <c r="Y127" s="2">
        <v>112</v>
      </c>
      <c r="Z127" s="2">
        <v>0.28160000000000002</v>
      </c>
      <c r="AA127" s="2">
        <v>0.29709999999999998</v>
      </c>
      <c r="AB127" s="2">
        <v>22.694900000000001</v>
      </c>
    </row>
    <row r="128" spans="2:28" x14ac:dyDescent="0.4">
      <c r="B128" s="11">
        <v>111</v>
      </c>
      <c r="C128" s="16">
        <f t="shared" si="5"/>
        <v>19.765588897294784</v>
      </c>
      <c r="D128" s="17">
        <f t="shared" si="7"/>
        <v>21.961765441438647</v>
      </c>
      <c r="E128" s="17">
        <f t="shared" si="6"/>
        <v>24.157941985582511</v>
      </c>
      <c r="F128" s="2">
        <v>22.173500000000001</v>
      </c>
      <c r="G128" s="2" t="str">
        <f t="shared" si="4"/>
        <v>Pass</v>
      </c>
      <c r="Y128" s="2">
        <v>113</v>
      </c>
      <c r="Z128" s="2">
        <v>0.28189999999999998</v>
      </c>
      <c r="AA128" s="2">
        <v>0.29749999999999999</v>
      </c>
      <c r="AB128" s="2">
        <v>23.226299999999998</v>
      </c>
    </row>
    <row r="129" spans="2:28" x14ac:dyDescent="0.4">
      <c r="B129" s="11">
        <v>112</v>
      </c>
      <c r="C129" s="16">
        <f t="shared" si="5"/>
        <v>20.230884769484334</v>
      </c>
      <c r="D129" s="17">
        <f t="shared" si="7"/>
        <v>22.478760854982593</v>
      </c>
      <c r="E129" s="17">
        <f t="shared" si="6"/>
        <v>24.726636940480851</v>
      </c>
      <c r="F129" s="2">
        <v>22.694900000000001</v>
      </c>
      <c r="G129" s="2" t="str">
        <f t="shared" si="4"/>
        <v>Pass</v>
      </c>
      <c r="Y129" s="2">
        <v>114</v>
      </c>
      <c r="Z129" s="2">
        <v>0.28220000000000001</v>
      </c>
      <c r="AA129" s="2">
        <v>0.29770000000000002</v>
      </c>
      <c r="AB129" s="2">
        <v>23.903600000000001</v>
      </c>
    </row>
    <row r="130" spans="2:28" x14ac:dyDescent="0.4">
      <c r="B130" s="11">
        <v>113</v>
      </c>
      <c r="C130" s="16">
        <f t="shared" si="5"/>
        <v>20.702860870011726</v>
      </c>
      <c r="D130" s="17">
        <f t="shared" si="7"/>
        <v>23.003178744457475</v>
      </c>
      <c r="E130" s="17">
        <f t="shared" si="6"/>
        <v>25.303496618903225</v>
      </c>
      <c r="F130" s="2">
        <v>23.226299999999998</v>
      </c>
      <c r="G130" s="2" t="str">
        <f t="shared" si="4"/>
        <v>Pass</v>
      </c>
      <c r="Y130" s="2">
        <v>115</v>
      </c>
      <c r="Z130" s="2">
        <v>0.28249999999999997</v>
      </c>
      <c r="AA130" s="2">
        <v>0.29809999999999998</v>
      </c>
      <c r="AB130" s="2">
        <v>24.345400000000001</v>
      </c>
    </row>
    <row r="131" spans="2:28" x14ac:dyDescent="0.4">
      <c r="B131" s="11">
        <v>114</v>
      </c>
      <c r="C131" s="16">
        <f t="shared" si="5"/>
        <v>21.181552845254608</v>
      </c>
      <c r="D131" s="17">
        <f t="shared" si="7"/>
        <v>23.535058716949564</v>
      </c>
      <c r="E131" s="17">
        <f t="shared" si="6"/>
        <v>25.88856458864452</v>
      </c>
      <c r="F131" s="2">
        <v>23.903600000000001</v>
      </c>
      <c r="G131" s="2" t="str">
        <f t="shared" si="4"/>
        <v>Pass</v>
      </c>
      <c r="Y131" s="2">
        <v>116</v>
      </c>
      <c r="Z131" s="2">
        <v>0.28289999999999998</v>
      </c>
      <c r="AA131" s="2">
        <v>0.29859999999999998</v>
      </c>
      <c r="AB131" s="2">
        <v>25.042999999999999</v>
      </c>
    </row>
    <row r="132" spans="2:28" x14ac:dyDescent="0.4">
      <c r="B132" s="11">
        <v>115</v>
      </c>
      <c r="C132" s="16">
        <f t="shared" si="5"/>
        <v>21.666996215897022</v>
      </c>
      <c r="D132" s="17">
        <f t="shared" si="7"/>
        <v>24.074440239885579</v>
      </c>
      <c r="E132" s="17">
        <f t="shared" si="6"/>
        <v>26.481884263874136</v>
      </c>
      <c r="F132" s="2">
        <v>24.345400000000001</v>
      </c>
      <c r="G132" s="2" t="str">
        <f t="shared" si="4"/>
        <v>Pass</v>
      </c>
      <c r="Y132" s="2">
        <v>117</v>
      </c>
      <c r="Z132" s="2">
        <v>0.28299999999999997</v>
      </c>
      <c r="AA132" s="2">
        <v>0.29670000000000002</v>
      </c>
      <c r="AB132" s="2">
        <v>25.207100000000001</v>
      </c>
    </row>
    <row r="133" spans="2:28" x14ac:dyDescent="0.4">
      <c r="B133" s="11">
        <v>116</v>
      </c>
      <c r="C133" s="16">
        <f t="shared" si="5"/>
        <v>22.159226378467178</v>
      </c>
      <c r="D133" s="17">
        <f t="shared" si="7"/>
        <v>24.62136264274131</v>
      </c>
      <c r="E133" s="17">
        <f t="shared" si="6"/>
        <v>27.083498907015443</v>
      </c>
      <c r="F133" s="2">
        <v>25.042999999999999</v>
      </c>
      <c r="G133" s="2" t="str">
        <f t="shared" si="4"/>
        <v>Pass</v>
      </c>
      <c r="Y133" s="2">
        <v>118</v>
      </c>
      <c r="Z133" s="2">
        <v>0.28220000000000001</v>
      </c>
      <c r="AA133" s="2">
        <v>0.2974</v>
      </c>
      <c r="AB133" s="2">
        <v>25.642099999999999</v>
      </c>
    </row>
    <row r="134" spans="2:28" x14ac:dyDescent="0.4">
      <c r="B134" s="11">
        <v>117</v>
      </c>
      <c r="C134" s="16">
        <f t="shared" si="5"/>
        <v>22.658278606843179</v>
      </c>
      <c r="D134" s="17">
        <f t="shared" si="7"/>
        <v>25.175865118714643</v>
      </c>
      <c r="E134" s="17">
        <f t="shared" si="6"/>
        <v>27.693451630586107</v>
      </c>
      <c r="F134" s="2">
        <v>25.207100000000001</v>
      </c>
      <c r="G134" s="2" t="str">
        <f t="shared" si="4"/>
        <v>Pass</v>
      </c>
      <c r="Y134" s="2">
        <v>119</v>
      </c>
      <c r="Z134" s="2">
        <v>0.28170000000000001</v>
      </c>
      <c r="AA134" s="2">
        <v>0.29749999999999999</v>
      </c>
      <c r="AB134" s="2">
        <v>26.313300000000002</v>
      </c>
    </row>
    <row r="135" spans="2:28" x14ac:dyDescent="0.4">
      <c r="B135" s="11">
        <v>118</v>
      </c>
      <c r="C135" s="16">
        <f t="shared" si="5"/>
        <v>23.16418805372777</v>
      </c>
      <c r="D135" s="17">
        <f t="shared" si="7"/>
        <v>25.737986726364188</v>
      </c>
      <c r="E135" s="17">
        <f t="shared" si="6"/>
        <v>28.311785399000605</v>
      </c>
      <c r="F135" s="2">
        <v>25.642099999999999</v>
      </c>
      <c r="G135" s="2" t="str">
        <f t="shared" si="4"/>
        <v>Pass</v>
      </c>
      <c r="Y135" s="2">
        <v>120</v>
      </c>
      <c r="Z135" s="2">
        <v>0.28210000000000002</v>
      </c>
      <c r="AA135" s="2">
        <v>0.29759999999999998</v>
      </c>
      <c r="AB135" s="2">
        <v>26.8767</v>
      </c>
    </row>
    <row r="136" spans="2:28" x14ac:dyDescent="0.4">
      <c r="B136" s="11">
        <v>119</v>
      </c>
      <c r="C136" s="16">
        <f t="shared" si="5"/>
        <v>23.676989752092844</v>
      </c>
      <c r="D136" s="17">
        <f t="shared" si="7"/>
        <v>26.307766391214273</v>
      </c>
      <c r="E136" s="17">
        <f t="shared" si="6"/>
        <v>28.938543030335701</v>
      </c>
      <c r="F136" s="2">
        <v>26.313300000000002</v>
      </c>
      <c r="G136" s="2" t="str">
        <f t="shared" si="4"/>
        <v>Pass</v>
      </c>
      <c r="Y136" s="2">
        <v>121</v>
      </c>
      <c r="Z136" s="2">
        <v>0.28249999999999997</v>
      </c>
      <c r="AA136" s="2">
        <v>0.2979</v>
      </c>
      <c r="AB136" s="2">
        <v>27.645600000000002</v>
      </c>
    </row>
    <row r="137" spans="2:28" x14ac:dyDescent="0.4">
      <c r="B137" s="11">
        <v>120</v>
      </c>
      <c r="C137" s="16">
        <f t="shared" si="5"/>
        <v>24.196718616594826</v>
      </c>
      <c r="D137" s="17">
        <f t="shared" si="7"/>
        <v>26.885242907327584</v>
      </c>
      <c r="E137" s="17">
        <f t="shared" si="6"/>
        <v>29.573767198060342</v>
      </c>
      <c r="F137" s="2">
        <v>26.8767</v>
      </c>
      <c r="G137" s="2" t="str">
        <f t="shared" si="4"/>
        <v>Pass</v>
      </c>
      <c r="Y137" s="2">
        <v>122</v>
      </c>
      <c r="Z137" s="2">
        <v>0.28270000000000001</v>
      </c>
      <c r="AA137" s="2">
        <v>0.29809999999999998</v>
      </c>
      <c r="AB137" s="2">
        <v>28.21</v>
      </c>
    </row>
    <row r="138" spans="2:28" x14ac:dyDescent="0.4">
      <c r="B138" s="11">
        <v>121</v>
      </c>
      <c r="C138" s="16">
        <f t="shared" si="5"/>
        <v>24.723409444961433</v>
      </c>
      <c r="D138" s="17">
        <f t="shared" si="7"/>
        <v>27.470454938846039</v>
      </c>
      <c r="E138" s="17">
        <f t="shared" si="6"/>
        <v>30.217500432730645</v>
      </c>
      <c r="F138" s="2">
        <v>27.645600000000002</v>
      </c>
      <c r="G138" s="2" t="str">
        <f t="shared" si="4"/>
        <v>Pass</v>
      </c>
      <c r="Y138" s="2">
        <v>123</v>
      </c>
      <c r="Z138" s="2">
        <v>0.28299999999999997</v>
      </c>
      <c r="AA138" s="2">
        <v>0.29830000000000001</v>
      </c>
      <c r="AB138" s="2">
        <v>28.779599999999999</v>
      </c>
    </row>
    <row r="139" spans="2:28" x14ac:dyDescent="0.4">
      <c r="B139" s="11">
        <v>122</v>
      </c>
      <c r="C139" s="16">
        <f t="shared" si="5"/>
        <v>25.257096919350982</v>
      </c>
      <c r="D139" s="17">
        <f t="shared" si="7"/>
        <v>28.063441021501092</v>
      </c>
      <c r="E139" s="17">
        <f t="shared" si="6"/>
        <v>30.869785123651202</v>
      </c>
      <c r="F139" s="2">
        <v>28.21</v>
      </c>
      <c r="G139" s="2" t="str">
        <f t="shared" si="4"/>
        <v>Pass</v>
      </c>
      <c r="Y139" s="2">
        <v>124</v>
      </c>
      <c r="Z139" s="2">
        <v>0.28399999999999997</v>
      </c>
      <c r="AA139" s="2">
        <v>0.2989</v>
      </c>
      <c r="AB139" s="2">
        <v>29.604399999999998</v>
      </c>
    </row>
    <row r="140" spans="2:28" x14ac:dyDescent="0.4">
      <c r="B140" s="11">
        <v>123</v>
      </c>
      <c r="C140" s="16">
        <f t="shared" si="5"/>
        <v>25.79781560768469</v>
      </c>
      <c r="D140" s="17">
        <f t="shared" si="7"/>
        <v>28.6642395640941</v>
      </c>
      <c r="E140" s="17">
        <f t="shared" si="6"/>
        <v>31.530663520503509</v>
      </c>
      <c r="F140" s="2">
        <v>28.779599999999999</v>
      </c>
      <c r="G140" s="2" t="str">
        <f t="shared" si="4"/>
        <v>Pass</v>
      </c>
      <c r="Y140" s="2">
        <v>125</v>
      </c>
      <c r="Z140" s="2">
        <v>0.28239999999999998</v>
      </c>
      <c r="AA140" s="2">
        <v>0.29799999999999999</v>
      </c>
      <c r="AB140" s="2">
        <v>30.192399999999999</v>
      </c>
    </row>
    <row r="141" spans="2:28" x14ac:dyDescent="0.4">
      <c r="B141" s="11">
        <v>124</v>
      </c>
      <c r="C141" s="16">
        <f t="shared" si="5"/>
        <v>26.345599964952982</v>
      </c>
      <c r="D141" s="17">
        <f t="shared" si="7"/>
        <v>29.272888849947758</v>
      </c>
      <c r="E141" s="17">
        <f t="shared" si="6"/>
        <v>32.200177734942535</v>
      </c>
      <c r="F141" s="2">
        <v>29.604399999999998</v>
      </c>
      <c r="G141" s="2" t="str">
        <f t="shared" si="4"/>
        <v>Pass</v>
      </c>
      <c r="Y141" s="2">
        <v>126</v>
      </c>
      <c r="Z141" s="2">
        <v>0.28270000000000001</v>
      </c>
      <c r="AA141" s="2">
        <v>0.29820000000000002</v>
      </c>
      <c r="AB141" s="2">
        <v>30.773700000000002</v>
      </c>
    </row>
    <row r="142" spans="2:28" x14ac:dyDescent="0.4">
      <c r="B142" s="11">
        <v>125</v>
      </c>
      <c r="C142" s="16">
        <f t="shared" si="5"/>
        <v>26.90048433449622</v>
      </c>
      <c r="D142" s="17">
        <f t="shared" si="7"/>
        <v>29.889427038329135</v>
      </c>
      <c r="E142" s="17">
        <f t="shared" si="6"/>
        <v>32.87836974216205</v>
      </c>
      <c r="F142" s="2">
        <v>30.192399999999999</v>
      </c>
      <c r="G142" s="2" t="str">
        <f t="shared" si="4"/>
        <v>Pass</v>
      </c>
      <c r="Y142" s="2">
        <v>127</v>
      </c>
      <c r="Z142" s="2">
        <v>0.28289999999999998</v>
      </c>
      <c r="AA142" s="2">
        <v>0.29859999999999998</v>
      </c>
      <c r="AB142" s="2">
        <v>31.3626</v>
      </c>
    </row>
    <row r="143" spans="2:28" x14ac:dyDescent="0.4">
      <c r="B143" s="11">
        <v>126</v>
      </c>
      <c r="C143" s="16">
        <f t="shared" si="5"/>
        <v>27.462502949260973</v>
      </c>
      <c r="D143" s="17">
        <f t="shared" si="7"/>
        <v>30.513892165845526</v>
      </c>
      <c r="E143" s="17">
        <f t="shared" si="6"/>
        <v>33.565281382430079</v>
      </c>
      <c r="F143" s="2">
        <v>30.773700000000002</v>
      </c>
      <c r="G143" s="2" t="str">
        <f t="shared" si="4"/>
        <v>Pass</v>
      </c>
      <c r="Y143" s="2">
        <v>128</v>
      </c>
      <c r="Z143" s="2">
        <v>0.2833</v>
      </c>
      <c r="AA143" s="2">
        <v>0.2969</v>
      </c>
      <c r="AB143" s="2">
        <v>31.563300000000002</v>
      </c>
    </row>
    <row r="144" spans="2:28" x14ac:dyDescent="0.4">
      <c r="B144" s="11">
        <v>127</v>
      </c>
      <c r="C144" s="16">
        <f t="shared" si="5"/>
        <v>28.031689933032027</v>
      </c>
      <c r="D144" s="17">
        <f t="shared" si="7"/>
        <v>31.146322147813361</v>
      </c>
      <c r="E144" s="17">
        <f t="shared" si="6"/>
        <v>34.260954362594696</v>
      </c>
      <c r="F144" s="2">
        <v>31.3626</v>
      </c>
      <c r="G144" s="2" t="str">
        <f t="shared" si="4"/>
        <v>Pass</v>
      </c>
      <c r="Y144" s="2">
        <v>129</v>
      </c>
      <c r="Z144" s="2">
        <v>0.28360000000000002</v>
      </c>
      <c r="AA144" s="2">
        <v>0.29699999999999999</v>
      </c>
      <c r="AB144" s="2">
        <v>32.323900000000002</v>
      </c>
    </row>
    <row r="145" spans="2:28" x14ac:dyDescent="0.4">
      <c r="B145" s="11">
        <v>128</v>
      </c>
      <c r="C145" s="16">
        <f t="shared" si="5"/>
        <v>28.608079301641155</v>
      </c>
      <c r="D145" s="17">
        <f t="shared" si="7"/>
        <v>31.786754779601281</v>
      </c>
      <c r="E145" s="17">
        <f t="shared" si="6"/>
        <v>34.965430257561408</v>
      </c>
      <c r="F145" s="2">
        <v>31.563300000000002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0.2833</v>
      </c>
      <c r="AA145" s="2">
        <v>0.29709999999999998</v>
      </c>
      <c r="AB145" s="2">
        <v>32.891399999999997</v>
      </c>
    </row>
    <row r="146" spans="2:28" x14ac:dyDescent="0.4">
      <c r="B146" s="11">
        <v>129</v>
      </c>
      <c r="C146" s="16">
        <f t="shared" ref="C146:C209" si="9">D146-D146*(C$14/100)</f>
        <v>29.191704964153018</v>
      </c>
      <c r="D146" s="17">
        <f t="shared" si="7"/>
        <v>32.435227737947798</v>
      </c>
      <c r="E146" s="17">
        <f t="shared" ref="E146:E209" si="10">D146+D146*(C$14/100)</f>
        <v>35.678750511742578</v>
      </c>
      <c r="F146" s="2">
        <v>32.323900000000002</v>
      </c>
      <c r="G146" s="2" t="str">
        <f t="shared" si="8"/>
        <v>Pass</v>
      </c>
      <c r="Y146" s="2">
        <v>131</v>
      </c>
      <c r="Z146" s="2">
        <v>0.28370000000000001</v>
      </c>
      <c r="AA146" s="2">
        <v>0.29770000000000002</v>
      </c>
      <c r="AB146" s="2">
        <v>33.7241</v>
      </c>
    </row>
    <row r="147" spans="2:28" x14ac:dyDescent="0.4">
      <c r="B147" s="11">
        <v>130</v>
      </c>
      <c r="C147" s="16">
        <f t="shared" si="9"/>
        <v>29.78260072402901</v>
      </c>
      <c r="D147" s="17">
        <f t="shared" ref="D147:D210" si="11">D$272*((B147+F$17)/B$272)^C$13</f>
        <v>33.091778582254456</v>
      </c>
      <c r="E147" s="17">
        <f t="shared" si="10"/>
        <v>36.400956440479902</v>
      </c>
      <c r="F147" s="2">
        <v>32.891399999999997</v>
      </c>
      <c r="G147" s="2" t="str">
        <f t="shared" si="8"/>
        <v>Pass</v>
      </c>
      <c r="Y147" s="2">
        <v>132</v>
      </c>
      <c r="Z147" s="2">
        <v>0.28389999999999999</v>
      </c>
      <c r="AA147" s="2">
        <v>0.29820000000000002</v>
      </c>
      <c r="AB147" s="2">
        <v>34.374099999999999</v>
      </c>
    </row>
    <row r="148" spans="2:28" x14ac:dyDescent="0.4">
      <c r="B148" s="11">
        <v>131</v>
      </c>
      <c r="C148" s="16">
        <f t="shared" si="9"/>
        <v>30.38080028026944</v>
      </c>
      <c r="D148" s="17">
        <f t="shared" si="11"/>
        <v>33.756444755854936</v>
      </c>
      <c r="E148" s="17">
        <f t="shared" si="10"/>
        <v>37.132089231440432</v>
      </c>
      <c r="F148" s="2">
        <v>33.7241</v>
      </c>
      <c r="G148" s="2" t="str">
        <f t="shared" si="8"/>
        <v>Pass</v>
      </c>
      <c r="Y148" s="2">
        <v>133</v>
      </c>
      <c r="Z148" s="2">
        <v>0.28399999999999997</v>
      </c>
      <c r="AA148" s="2">
        <v>0.29820000000000002</v>
      </c>
      <c r="AB148" s="2">
        <v>35.276000000000003</v>
      </c>
    </row>
    <row r="149" spans="2:28" x14ac:dyDescent="0.4">
      <c r="B149" s="11">
        <v>132</v>
      </c>
      <c r="C149" s="16">
        <f t="shared" si="9"/>
        <v>30.986337228534744</v>
      </c>
      <c r="D149" s="17">
        <f t="shared" si="11"/>
        <v>34.429263587260827</v>
      </c>
      <c r="E149" s="17">
        <f t="shared" si="10"/>
        <v>37.872189945986911</v>
      </c>
      <c r="F149" s="2">
        <v>34.374099999999999</v>
      </c>
      <c r="G149" s="2" t="str">
        <f t="shared" si="8"/>
        <v>Pass</v>
      </c>
      <c r="Y149" s="2">
        <v>134</v>
      </c>
      <c r="Z149" s="2">
        <v>0.28210000000000002</v>
      </c>
      <c r="AA149" s="2">
        <v>0.2969</v>
      </c>
      <c r="AB149" s="2">
        <v>35.7639</v>
      </c>
    </row>
    <row r="150" spans="2:28" x14ac:dyDescent="0.4">
      <c r="B150" s="11">
        <v>133</v>
      </c>
      <c r="C150" s="16">
        <f t="shared" si="9"/>
        <v>31.599245062246183</v>
      </c>
      <c r="D150" s="17">
        <f t="shared" si="11"/>
        <v>35.110272291384646</v>
      </c>
      <c r="E150" s="17">
        <f t="shared" si="10"/>
        <v>38.62129952052311</v>
      </c>
      <c r="F150" s="2">
        <v>35.276000000000003</v>
      </c>
      <c r="G150" s="2" t="str">
        <f t="shared" si="8"/>
        <v>Pass</v>
      </c>
      <c r="Y150" s="2">
        <v>135</v>
      </c>
      <c r="Z150" s="2">
        <v>0.28199999999999997</v>
      </c>
      <c r="AA150" s="2">
        <v>0.29599999999999999</v>
      </c>
      <c r="AB150" s="2">
        <v>36.627299999999998</v>
      </c>
    </row>
    <row r="151" spans="2:28" x14ac:dyDescent="0.4">
      <c r="B151" s="11">
        <v>134</v>
      </c>
      <c r="C151" s="16">
        <f t="shared" si="9"/>
        <v>32.219557173666658</v>
      </c>
      <c r="D151" s="17">
        <f t="shared" si="11"/>
        <v>35.799507970740727</v>
      </c>
      <c r="E151" s="17">
        <f t="shared" si="10"/>
        <v>39.379458767814796</v>
      </c>
      <c r="F151" s="2">
        <v>35.7639</v>
      </c>
      <c r="G151" s="2" t="str">
        <f t="shared" si="8"/>
        <v>Pass</v>
      </c>
      <c r="Y151" s="2">
        <v>136</v>
      </c>
      <c r="Z151" s="2">
        <v>0.28210000000000002</v>
      </c>
      <c r="AA151" s="2">
        <v>0.29630000000000001</v>
      </c>
      <c r="AB151" s="2">
        <v>37.279299999999999</v>
      </c>
    </row>
    <row r="152" spans="2:28" x14ac:dyDescent="0.4">
      <c r="B152" s="11">
        <v>135</v>
      </c>
      <c r="C152" s="16">
        <f t="shared" si="9"/>
        <v>32.84730685496195</v>
      </c>
      <c r="D152" s="17">
        <f t="shared" si="11"/>
        <v>36.497007616624387</v>
      </c>
      <c r="E152" s="17">
        <f t="shared" si="10"/>
        <v>40.146708378286824</v>
      </c>
      <c r="F152" s="2">
        <v>36.627299999999998</v>
      </c>
      <c r="G152" s="2" t="str">
        <f t="shared" si="8"/>
        <v>Pass</v>
      </c>
      <c r="Y152" s="2">
        <v>137</v>
      </c>
      <c r="Z152" s="2">
        <v>0.28239999999999998</v>
      </c>
      <c r="AA152" s="2">
        <v>0.29670000000000002</v>
      </c>
      <c r="AB152" s="2">
        <v>38.1723</v>
      </c>
    </row>
    <row r="153" spans="2:28" x14ac:dyDescent="0.4">
      <c r="B153" s="11">
        <v>136</v>
      </c>
      <c r="C153" s="16">
        <f t="shared" si="9"/>
        <v>33.482527299243259</v>
      </c>
      <c r="D153" s="17">
        <f t="shared" si="11"/>
        <v>37.20280811027029</v>
      </c>
      <c r="E153" s="17">
        <f t="shared" si="10"/>
        <v>40.923088921297321</v>
      </c>
      <c r="F153" s="2">
        <v>37.279299999999999</v>
      </c>
      <c r="G153" s="2" t="str">
        <f t="shared" si="8"/>
        <v>Pass</v>
      </c>
      <c r="Y153" s="2">
        <v>138</v>
      </c>
      <c r="Z153" s="2">
        <v>0.28249999999999997</v>
      </c>
      <c r="AA153" s="2">
        <v>0.29699999999999999</v>
      </c>
      <c r="AB153" s="2">
        <v>38.825400000000002</v>
      </c>
    </row>
    <row r="154" spans="2:28" x14ac:dyDescent="0.4">
      <c r="B154" s="11">
        <v>137</v>
      </c>
      <c r="C154" s="16">
        <f t="shared" si="9"/>
        <v>34.125251601591003</v>
      </c>
      <c r="D154" s="17">
        <f t="shared" si="11"/>
        <v>37.916946223990003</v>
      </c>
      <c r="E154" s="17">
        <f t="shared" si="10"/>
        <v>41.708640846389002</v>
      </c>
      <c r="F154" s="2">
        <v>38.1723</v>
      </c>
      <c r="G154" s="2" t="str">
        <f t="shared" si="8"/>
        <v>Pass</v>
      </c>
      <c r="Y154" s="2">
        <v>139</v>
      </c>
      <c r="Z154" s="2">
        <v>0.2828</v>
      </c>
      <c r="AA154" s="2">
        <v>0.29720000000000002</v>
      </c>
      <c r="AB154" s="2">
        <v>39.713700000000003</v>
      </c>
    </row>
    <row r="155" spans="2:28" x14ac:dyDescent="0.4">
      <c r="B155" s="11">
        <v>138</v>
      </c>
      <c r="C155" s="16">
        <f t="shared" si="9"/>
        <v>34.775512760060764</v>
      </c>
      <c r="D155" s="17">
        <f t="shared" si="11"/>
        <v>38.639458622289737</v>
      </c>
      <c r="E155" s="17">
        <f t="shared" si="10"/>
        <v>42.503404484518711</v>
      </c>
      <c r="F155" s="2">
        <v>38.825400000000002</v>
      </c>
      <c r="G155" s="2" t="str">
        <f t="shared" si="8"/>
        <v>Pass</v>
      </c>
      <c r="Y155" s="2">
        <v>140</v>
      </c>
      <c r="Z155" s="2">
        <v>0.28310000000000002</v>
      </c>
      <c r="AA155" s="2">
        <v>0.29749999999999999</v>
      </c>
      <c r="AB155" s="2">
        <v>40.393599999999999</v>
      </c>
    </row>
    <row r="156" spans="2:28" x14ac:dyDescent="0.4">
      <c r="B156" s="11">
        <v>139</v>
      </c>
      <c r="C156" s="16">
        <f t="shared" si="9"/>
        <v>35.433343676671619</v>
      </c>
      <c r="D156" s="17">
        <f t="shared" si="11"/>
        <v>39.370381862968465</v>
      </c>
      <c r="E156" s="17">
        <f t="shared" si="10"/>
        <v>43.307420049265311</v>
      </c>
      <c r="F156" s="2">
        <v>39.713700000000003</v>
      </c>
      <c r="G156" s="2" t="str">
        <f t="shared" si="8"/>
        <v>Pass</v>
      </c>
      <c r="Y156" s="2">
        <v>141</v>
      </c>
      <c r="Z156" s="2">
        <v>0.28389999999999999</v>
      </c>
      <c r="AA156" s="2">
        <v>0.29880000000000001</v>
      </c>
      <c r="AB156" s="2">
        <v>41.2774</v>
      </c>
    </row>
    <row r="157" spans="2:28" x14ac:dyDescent="0.4">
      <c r="B157" s="11">
        <v>140</v>
      </c>
      <c r="C157" s="16">
        <f t="shared" si="9"/>
        <v>36.098777158377331</v>
      </c>
      <c r="D157" s="17">
        <f t="shared" si="11"/>
        <v>40.109752398197038</v>
      </c>
      <c r="E157" s="17">
        <f t="shared" si="10"/>
        <v>44.120727638016746</v>
      </c>
      <c r="F157" s="2">
        <v>40.393599999999999</v>
      </c>
      <c r="G157" s="2" t="str">
        <f t="shared" si="8"/>
        <v>Pass</v>
      </c>
      <c r="Y157" s="2">
        <v>142</v>
      </c>
      <c r="Z157" s="2">
        <v>0.28410000000000002</v>
      </c>
      <c r="AA157" s="2">
        <v>0.29899999999999999</v>
      </c>
      <c r="AB157" s="2">
        <v>41.943199999999997</v>
      </c>
    </row>
    <row r="158" spans="2:28" x14ac:dyDescent="0.4">
      <c r="B158" s="11">
        <v>141</v>
      </c>
      <c r="C158" s="16">
        <f t="shared" si="9"/>
        <v>36.771845918020908</v>
      </c>
      <c r="D158" s="17">
        <f t="shared" si="11"/>
        <v>40.857606575578785</v>
      </c>
      <c r="E158" s="17">
        <f t="shared" si="10"/>
        <v>44.943367233136662</v>
      </c>
      <c r="F158" s="2">
        <v>41.2774</v>
      </c>
      <c r="G158" s="2" t="str">
        <f t="shared" si="8"/>
        <v>Pass</v>
      </c>
      <c r="Y158" s="2">
        <v>143</v>
      </c>
      <c r="Z158" s="2">
        <v>0.28320000000000001</v>
      </c>
      <c r="AA158" s="2">
        <v>0.29680000000000001</v>
      </c>
      <c r="AB158" s="2">
        <v>42.931800000000003</v>
      </c>
    </row>
    <row r="159" spans="2:28" x14ac:dyDescent="0.4">
      <c r="B159" s="11">
        <v>142</v>
      </c>
      <c r="C159" s="16">
        <f t="shared" si="9"/>
        <v>37.452582575272672</v>
      </c>
      <c r="D159" s="17">
        <f t="shared" si="11"/>
        <v>41.613980639191858</v>
      </c>
      <c r="E159" s="17">
        <f t="shared" si="10"/>
        <v>45.775378703111045</v>
      </c>
      <c r="F159" s="2">
        <v>41.943199999999997</v>
      </c>
      <c r="G159" s="2" t="str">
        <f t="shared" si="8"/>
        <v>Pass</v>
      </c>
      <c r="Y159" s="2">
        <v>144</v>
      </c>
      <c r="Z159" s="2">
        <v>0.2833</v>
      </c>
      <c r="AA159" s="2">
        <v>0.29870000000000002</v>
      </c>
      <c r="AB159" s="2">
        <v>44.330100000000002</v>
      </c>
    </row>
    <row r="160" spans="2:28" x14ac:dyDescent="0.4">
      <c r="B160" s="11">
        <v>143</v>
      </c>
      <c r="C160" s="16">
        <f t="shared" si="9"/>
        <v>38.141019657552555</v>
      </c>
      <c r="D160" s="17">
        <f t="shared" si="11"/>
        <v>42.378910730613953</v>
      </c>
      <c r="E160" s="17">
        <f t="shared" si="10"/>
        <v>46.616801803675351</v>
      </c>
      <c r="F160" s="2">
        <v>42.931800000000003</v>
      </c>
      <c r="G160" s="2" t="str">
        <f t="shared" si="8"/>
        <v>Pass</v>
      </c>
      <c r="Y160" s="2">
        <v>145</v>
      </c>
      <c r="Z160" s="2">
        <v>0.28339999999999999</v>
      </c>
      <c r="AA160" s="2">
        <v>0.2989</v>
      </c>
      <c r="AB160" s="2">
        <v>45.0764</v>
      </c>
    </row>
    <row r="161" spans="2:28" x14ac:dyDescent="0.4">
      <c r="B161" s="11">
        <v>144</v>
      </c>
      <c r="C161" s="16">
        <f t="shared" si="9"/>
        <v>38.837189600936888</v>
      </c>
      <c r="D161" s="17">
        <f t="shared" si="11"/>
        <v>43.152432889929877</v>
      </c>
      <c r="E161" s="17">
        <f t="shared" si="10"/>
        <v>47.467676178922865</v>
      </c>
      <c r="F161" s="2">
        <v>44.330100000000002</v>
      </c>
      <c r="G161" s="2" t="str">
        <f t="shared" si="8"/>
        <v>Pass</v>
      </c>
      <c r="Y161" s="2">
        <v>146</v>
      </c>
      <c r="Z161" s="2">
        <v>0.28339999999999999</v>
      </c>
      <c r="AA161" s="2">
        <v>0.29859999999999998</v>
      </c>
      <c r="AB161" s="2">
        <v>45.825899999999997</v>
      </c>
    </row>
    <row r="162" spans="2:28" x14ac:dyDescent="0.4">
      <c r="B162" s="11">
        <v>145</v>
      </c>
      <c r="C162" s="16">
        <f t="shared" si="9"/>
        <v>39.541124751049836</v>
      </c>
      <c r="D162" s="17">
        <f t="shared" si="11"/>
        <v>43.93458305672204</v>
      </c>
      <c r="E162" s="17">
        <f t="shared" si="10"/>
        <v>48.328041362394245</v>
      </c>
      <c r="F162" s="2">
        <v>45.0764</v>
      </c>
      <c r="G162" s="2" t="str">
        <f t="shared" si="8"/>
        <v>Pass</v>
      </c>
      <c r="Y162" s="2">
        <v>147</v>
      </c>
      <c r="Z162" s="2">
        <v>0.2833</v>
      </c>
      <c r="AA162" s="2">
        <v>0.29809999999999998</v>
      </c>
      <c r="AB162" s="2">
        <v>46.820300000000003</v>
      </c>
    </row>
    <row r="163" spans="2:28" x14ac:dyDescent="0.4">
      <c r="B163" s="11">
        <v>146</v>
      </c>
      <c r="C163" s="16">
        <f t="shared" si="9"/>
        <v>40.252857363940201</v>
      </c>
      <c r="D163" s="17">
        <f t="shared" si="11"/>
        <v>44.725397071044668</v>
      </c>
      <c r="E163" s="17">
        <f t="shared" si="10"/>
        <v>49.197936778149135</v>
      </c>
      <c r="F163" s="2">
        <v>45.825899999999997</v>
      </c>
      <c r="G163" s="2" t="str">
        <f t="shared" si="8"/>
        <v>Pass</v>
      </c>
      <c r="Y163" s="2">
        <v>148</v>
      </c>
      <c r="Z163" s="2">
        <v>0.2833</v>
      </c>
      <c r="AA163" s="2">
        <v>0.29809999999999998</v>
      </c>
      <c r="AB163" s="2">
        <v>47.554600000000001</v>
      </c>
    </row>
    <row r="164" spans="2:28" x14ac:dyDescent="0.4">
      <c r="B164" s="11">
        <v>147</v>
      </c>
      <c r="C164" s="16">
        <f t="shared" si="9"/>
        <v>40.972419606943667</v>
      </c>
      <c r="D164" s="17">
        <f t="shared" si="11"/>
        <v>45.52491067438185</v>
      </c>
      <c r="E164" s="17">
        <f t="shared" si="10"/>
        <v>50.077401741820033</v>
      </c>
      <c r="F164" s="2">
        <v>46.820300000000003</v>
      </c>
      <c r="G164" s="2" t="str">
        <f t="shared" si="8"/>
        <v>Pass</v>
      </c>
      <c r="Y164" s="2">
        <v>149</v>
      </c>
      <c r="Z164" s="2">
        <v>0.28370000000000001</v>
      </c>
      <c r="AA164" s="2">
        <v>0.29830000000000001</v>
      </c>
      <c r="AB164" s="2">
        <v>48.507199999999997</v>
      </c>
    </row>
    <row r="165" spans="2:28" x14ac:dyDescent="0.4">
      <c r="B165" s="11">
        <v>148</v>
      </c>
      <c r="C165" s="16">
        <f t="shared" si="9"/>
        <v>41.699843559530919</v>
      </c>
      <c r="D165" s="17">
        <f t="shared" si="11"/>
        <v>46.333159510589908</v>
      </c>
      <c r="E165" s="17">
        <f t="shared" si="10"/>
        <v>50.966475461648898</v>
      </c>
      <c r="F165" s="2">
        <v>47.554600000000001</v>
      </c>
      <c r="G165" s="2" t="str">
        <f t="shared" si="8"/>
        <v>Pass</v>
      </c>
      <c r="Y165" s="2">
        <v>150</v>
      </c>
      <c r="Z165" s="2">
        <v>0.28389999999999999</v>
      </c>
      <c r="AA165" s="2">
        <v>0.2984</v>
      </c>
      <c r="AB165" s="2">
        <v>49.267400000000002</v>
      </c>
    </row>
    <row r="166" spans="2:28" x14ac:dyDescent="0.4">
      <c r="B166" s="11">
        <v>149</v>
      </c>
      <c r="C166" s="16">
        <f t="shared" si="9"/>
        <v>42.435161214141957</v>
      </c>
      <c r="D166" s="17">
        <f t="shared" si="11"/>
        <v>47.150179126824398</v>
      </c>
      <c r="E166" s="17">
        <f t="shared" si="10"/>
        <v>51.865197039506839</v>
      </c>
      <c r="F166" s="2">
        <v>48.507199999999997</v>
      </c>
      <c r="G166" s="2" t="str">
        <f t="shared" si="8"/>
        <v>Pass</v>
      </c>
      <c r="Y166" s="2">
        <v>151</v>
      </c>
      <c r="Z166" s="2">
        <v>0.2833</v>
      </c>
      <c r="AA166" s="2">
        <v>0.29859999999999998</v>
      </c>
      <c r="AB166" s="2">
        <v>50.293500000000002</v>
      </c>
    </row>
    <row r="167" spans="2:28" x14ac:dyDescent="0.4">
      <c r="B167" s="11">
        <v>150</v>
      </c>
      <c r="C167" s="16">
        <f t="shared" si="9"/>
        <v>43.178404477006978</v>
      </c>
      <c r="D167" s="17">
        <f t="shared" si="11"/>
        <v>47.976004974452202</v>
      </c>
      <c r="E167" s="17">
        <f t="shared" si="10"/>
        <v>52.773605471897426</v>
      </c>
      <c r="F167" s="2">
        <v>49.267400000000002</v>
      </c>
      <c r="G167" s="2" t="str">
        <f t="shared" si="8"/>
        <v>Pass</v>
      </c>
      <c r="Y167" s="2">
        <v>152</v>
      </c>
      <c r="Z167" s="2">
        <v>0.28410000000000002</v>
      </c>
      <c r="AA167" s="2">
        <v>0.29849999999999999</v>
      </c>
      <c r="AB167" s="2">
        <v>51.167700000000004</v>
      </c>
    </row>
    <row r="168" spans="2:28" x14ac:dyDescent="0.4">
      <c r="B168" s="11">
        <v>151</v>
      </c>
      <c r="C168" s="16">
        <f t="shared" si="9"/>
        <v>43.929605168954005</v>
      </c>
      <c r="D168" s="17">
        <f t="shared" si="11"/>
        <v>48.810672409948893</v>
      </c>
      <c r="E168" s="17">
        <f t="shared" si="10"/>
        <v>53.691739650943781</v>
      </c>
      <c r="F168" s="2">
        <v>50.293500000000002</v>
      </c>
      <c r="G168" s="2" t="str">
        <f t="shared" si="8"/>
        <v>Pass</v>
      </c>
      <c r="Y168" s="2">
        <v>153</v>
      </c>
      <c r="Z168" s="2">
        <v>0.28370000000000001</v>
      </c>
      <c r="AA168" s="2">
        <v>0.29880000000000001</v>
      </c>
      <c r="AB168" s="2">
        <v>51.949199999999998</v>
      </c>
    </row>
    <row r="169" spans="2:28" x14ac:dyDescent="0.4">
      <c r="B169" s="11">
        <v>152</v>
      </c>
      <c r="C169" s="16">
        <f t="shared" si="9"/>
        <v>44.688795026203564</v>
      </c>
      <c r="D169" s="17">
        <f t="shared" si="11"/>
        <v>49.654216695781741</v>
      </c>
      <c r="E169" s="17">
        <f t="shared" si="10"/>
        <v>54.619638365359918</v>
      </c>
      <c r="F169" s="2">
        <v>51.167700000000004</v>
      </c>
      <c r="G169" s="2" t="str">
        <f t="shared" si="8"/>
        <v>Pass</v>
      </c>
      <c r="Y169" s="2">
        <v>154</v>
      </c>
      <c r="Z169" s="2">
        <v>0.28249999999999997</v>
      </c>
      <c r="AA169" s="2">
        <v>0.29670000000000002</v>
      </c>
      <c r="AB169" s="2">
        <v>52.756</v>
      </c>
    </row>
    <row r="170" spans="2:28" x14ac:dyDescent="0.4">
      <c r="B170" s="11">
        <v>153</v>
      </c>
      <c r="C170" s="16">
        <f t="shared" si="9"/>
        <v>45.456005701151078</v>
      </c>
      <c r="D170" s="17">
        <f t="shared" si="11"/>
        <v>50.506673001278976</v>
      </c>
      <c r="E170" s="17">
        <f t="shared" si="10"/>
        <v>55.557340301406875</v>
      </c>
      <c r="F170" s="2">
        <v>51.949199999999998</v>
      </c>
      <c r="G170" s="2" t="str">
        <f t="shared" si="8"/>
        <v>Pass</v>
      </c>
      <c r="Y170" s="2">
        <v>155</v>
      </c>
      <c r="Z170" s="2">
        <v>0.28270000000000001</v>
      </c>
      <c r="AA170" s="2">
        <v>0.29720000000000002</v>
      </c>
      <c r="AB170" s="2">
        <v>53.872700000000002</v>
      </c>
    </row>
    <row r="171" spans="2:28" x14ac:dyDescent="0.4">
      <c r="B171" s="11">
        <v>154</v>
      </c>
      <c r="C171" s="16">
        <f t="shared" si="9"/>
        <v>46.231268763136455</v>
      </c>
      <c r="D171" s="17">
        <f t="shared" si="11"/>
        <v>51.368076403484949</v>
      </c>
      <c r="E171" s="17">
        <f t="shared" si="10"/>
        <v>56.504884043833442</v>
      </c>
      <c r="F171" s="2">
        <v>52.756</v>
      </c>
      <c r="G171" s="2" t="str">
        <f t="shared" si="8"/>
        <v>Pass</v>
      </c>
      <c r="Y171" s="2">
        <v>156</v>
      </c>
      <c r="Z171" s="2">
        <v>0.2828</v>
      </c>
      <c r="AA171" s="2">
        <v>0.2974</v>
      </c>
      <c r="AB171" s="2">
        <v>54.673299999999998</v>
      </c>
    </row>
    <row r="172" spans="2:28" x14ac:dyDescent="0.4">
      <c r="B172" s="11">
        <v>155</v>
      </c>
      <c r="C172" s="16">
        <f t="shared" si="9"/>
        <v>47.01461569920211</v>
      </c>
      <c r="D172" s="17">
        <f t="shared" si="11"/>
        <v>52.238461888002341</v>
      </c>
      <c r="E172" s="17">
        <f t="shared" si="10"/>
        <v>57.462308076802572</v>
      </c>
      <c r="F172" s="2">
        <v>53.872700000000002</v>
      </c>
      <c r="G172" s="2" t="str">
        <f t="shared" si="8"/>
        <v>Pass</v>
      </c>
      <c r="Y172" s="2">
        <v>157</v>
      </c>
      <c r="Z172" s="2">
        <v>0.28299999999999997</v>
      </c>
      <c r="AA172" s="2">
        <v>0.29759999999999998</v>
      </c>
      <c r="AB172" s="2">
        <v>55.774799999999999</v>
      </c>
    </row>
    <row r="173" spans="2:28" x14ac:dyDescent="0.4">
      <c r="B173" s="11">
        <v>156</v>
      </c>
      <c r="C173" s="16">
        <f t="shared" si="9"/>
        <v>47.806077914838902</v>
      </c>
      <c r="D173" s="17">
        <f t="shared" si="11"/>
        <v>53.117864349821005</v>
      </c>
      <c r="E173" s="17">
        <f t="shared" si="10"/>
        <v>58.429650784803108</v>
      </c>
      <c r="F173" s="2">
        <v>54.673299999999998</v>
      </c>
      <c r="G173" s="2" t="str">
        <f t="shared" si="8"/>
        <v>Pass</v>
      </c>
      <c r="Y173" s="2">
        <v>158</v>
      </c>
      <c r="Z173" s="2">
        <v>0.28310000000000002</v>
      </c>
      <c r="AA173" s="2">
        <v>0.29780000000000001</v>
      </c>
      <c r="AB173" s="2">
        <v>56.584400000000002</v>
      </c>
    </row>
    <row r="174" spans="2:28" x14ac:dyDescent="0.4">
      <c r="B174" s="11">
        <v>157</v>
      </c>
      <c r="C174" s="16">
        <f t="shared" si="9"/>
        <v>48.605686734720656</v>
      </c>
      <c r="D174" s="17">
        <f t="shared" si="11"/>
        <v>54.006318594134065</v>
      </c>
      <c r="E174" s="17">
        <f t="shared" si="10"/>
        <v>59.406950453547474</v>
      </c>
      <c r="F174" s="2">
        <v>55.774799999999999</v>
      </c>
      <c r="G174" s="2" t="str">
        <f t="shared" si="8"/>
        <v>Pass</v>
      </c>
      <c r="Y174" s="2">
        <v>159</v>
      </c>
      <c r="Z174" s="2">
        <v>0.28320000000000001</v>
      </c>
      <c r="AA174" s="2">
        <v>0.29780000000000001</v>
      </c>
      <c r="AB174" s="2">
        <v>57.6721</v>
      </c>
    </row>
    <row r="175" spans="2:28" x14ac:dyDescent="0.4">
      <c r="B175" s="11">
        <v>158</v>
      </c>
      <c r="C175" s="16">
        <f t="shared" si="9"/>
        <v>49.413473403427489</v>
      </c>
      <c r="D175" s="17">
        <f t="shared" si="11"/>
        <v>54.903859337141654</v>
      </c>
      <c r="E175" s="17">
        <f t="shared" si="10"/>
        <v>60.394245270855819</v>
      </c>
      <c r="F175" s="2">
        <v>56.584400000000002</v>
      </c>
      <c r="G175" s="2" t="str">
        <f t="shared" si="8"/>
        <v>Pass</v>
      </c>
      <c r="Y175" s="2">
        <v>160</v>
      </c>
      <c r="Z175" s="2">
        <v>0.28339999999999999</v>
      </c>
      <c r="AA175" s="2">
        <v>0.29649999999999999</v>
      </c>
      <c r="AB175" s="2">
        <v>57.872999999999998</v>
      </c>
    </row>
    <row r="176" spans="2:28" x14ac:dyDescent="0.4">
      <c r="B176" s="11">
        <v>159</v>
      </c>
      <c r="C176" s="16">
        <f t="shared" si="9"/>
        <v>50.229469086157899</v>
      </c>
      <c r="D176" s="17">
        <f t="shared" si="11"/>
        <v>55.810521206842111</v>
      </c>
      <c r="E176" s="17">
        <f t="shared" si="10"/>
        <v>61.391573327526324</v>
      </c>
      <c r="F176" s="2">
        <v>57.6721</v>
      </c>
      <c r="G176" s="2" t="str">
        <f t="shared" si="8"/>
        <v>Pass</v>
      </c>
      <c r="Y176" s="2">
        <v>161</v>
      </c>
      <c r="Z176" s="2">
        <v>0.28349999999999997</v>
      </c>
      <c r="AA176" s="2">
        <v>0.29670000000000002</v>
      </c>
      <c r="AB176" s="2">
        <v>58.733899999999998</v>
      </c>
    </row>
    <row r="177" spans="2:28" x14ac:dyDescent="0.4">
      <c r="B177" s="11">
        <v>160</v>
      </c>
      <c r="C177" s="16">
        <f t="shared" si="9"/>
        <v>51.053704869430334</v>
      </c>
      <c r="D177" s="17">
        <f t="shared" si="11"/>
        <v>56.726338743811482</v>
      </c>
      <c r="E177" s="17">
        <f t="shared" si="10"/>
        <v>62.39897261819263</v>
      </c>
      <c r="F177" s="2">
        <v>57.872999999999998</v>
      </c>
      <c r="G177" s="2" t="str">
        <f t="shared" si="8"/>
        <v>Pass</v>
      </c>
      <c r="Y177" s="2">
        <v>162</v>
      </c>
      <c r="Z177" s="2">
        <v>0.28249999999999997</v>
      </c>
      <c r="AA177" s="2">
        <v>0.29609999999999997</v>
      </c>
      <c r="AB177" s="2">
        <v>59.65</v>
      </c>
    </row>
    <row r="178" spans="2:28" x14ac:dyDescent="0.4">
      <c r="B178" s="11">
        <v>161</v>
      </c>
      <c r="C178" s="16">
        <f t="shared" si="9"/>
        <v>51.886211761773964</v>
      </c>
      <c r="D178" s="17">
        <f t="shared" si="11"/>
        <v>57.651346401971075</v>
      </c>
      <c r="E178" s="17">
        <f t="shared" si="10"/>
        <v>63.416481042168186</v>
      </c>
      <c r="F178" s="2">
        <v>58.733899999999998</v>
      </c>
      <c r="G178" s="2" t="str">
        <f t="shared" si="8"/>
        <v>Pass</v>
      </c>
      <c r="Y178" s="2">
        <v>163</v>
      </c>
      <c r="Z178" s="2">
        <v>0.28260000000000002</v>
      </c>
      <c r="AA178" s="2">
        <v>0.2964</v>
      </c>
      <c r="AB178" s="2">
        <v>60.652700000000003</v>
      </c>
    </row>
    <row r="179" spans="2:28" x14ac:dyDescent="0.4">
      <c r="B179" s="11">
        <v>162</v>
      </c>
      <c r="C179" s="16">
        <f t="shared" si="9"/>
        <v>52.727020694409362</v>
      </c>
      <c r="D179" s="17">
        <f t="shared" si="11"/>
        <v>58.585578549343737</v>
      </c>
      <c r="E179" s="17">
        <f t="shared" si="10"/>
        <v>64.444136404278112</v>
      </c>
      <c r="F179" s="2">
        <v>59.65</v>
      </c>
      <c r="G179" s="2" t="str">
        <f t="shared" si="8"/>
        <v>Pass</v>
      </c>
      <c r="Y179" s="2">
        <v>164</v>
      </c>
      <c r="Z179" s="2">
        <v>0.2828</v>
      </c>
      <c r="AA179" s="2">
        <v>0.29659999999999997</v>
      </c>
      <c r="AB179" s="2">
        <v>61.787599999999998</v>
      </c>
    </row>
    <row r="180" spans="2:28" x14ac:dyDescent="0.4">
      <c r="B180" s="11">
        <v>163</v>
      </c>
      <c r="C180" s="16">
        <f t="shared" si="9"/>
        <v>53.576162521918747</v>
      </c>
      <c r="D180" s="17">
        <f t="shared" si="11"/>
        <v>59.529069468798603</v>
      </c>
      <c r="E180" s="17">
        <f t="shared" si="10"/>
        <v>65.48197641567846</v>
      </c>
      <c r="F180" s="2">
        <v>60.652700000000003</v>
      </c>
      <c r="G180" s="2" t="str">
        <f t="shared" si="8"/>
        <v>Pass</v>
      </c>
      <c r="Y180" s="2">
        <v>165</v>
      </c>
      <c r="Z180" s="2">
        <v>0.28289999999999998</v>
      </c>
      <c r="AA180" s="2">
        <v>0.29680000000000001</v>
      </c>
      <c r="AB180" s="2">
        <v>62.668999999999997</v>
      </c>
    </row>
    <row r="181" spans="2:28" x14ac:dyDescent="0.4">
      <c r="B181" s="11">
        <v>164</v>
      </c>
      <c r="C181" s="16">
        <f t="shared" si="9"/>
        <v>54.433668022906659</v>
      </c>
      <c r="D181" s="17">
        <f t="shared" si="11"/>
        <v>60.481853358785173</v>
      </c>
      <c r="E181" s="17">
        <f t="shared" si="10"/>
        <v>66.530038694663688</v>
      </c>
      <c r="F181" s="2">
        <v>61.787599999999998</v>
      </c>
      <c r="G181" s="2" t="str">
        <f t="shared" si="8"/>
        <v>Pass</v>
      </c>
      <c r="Y181" s="2">
        <v>166</v>
      </c>
      <c r="Z181" s="2">
        <v>0.28299999999999997</v>
      </c>
      <c r="AA181" s="2">
        <v>0.2969</v>
      </c>
      <c r="AB181" s="2">
        <v>63.509799999999998</v>
      </c>
    </row>
    <row r="182" spans="2:28" x14ac:dyDescent="0.4">
      <c r="B182" s="11">
        <v>165</v>
      </c>
      <c r="C182" s="16">
        <f t="shared" si="9"/>
        <v>55.299567900650665</v>
      </c>
      <c r="D182" s="17">
        <f t="shared" si="11"/>
        <v>61.443964334056297</v>
      </c>
      <c r="E182" s="17">
        <f t="shared" si="10"/>
        <v>67.588360767461921</v>
      </c>
      <c r="F182" s="2">
        <v>62.668999999999997</v>
      </c>
      <c r="G182" s="2" t="str">
        <f t="shared" si="8"/>
        <v>Pass</v>
      </c>
      <c r="Y182" s="2">
        <v>167</v>
      </c>
      <c r="Z182" s="2">
        <v>0.28310000000000002</v>
      </c>
      <c r="AA182" s="2">
        <v>0.29709999999999998</v>
      </c>
      <c r="AB182" s="2">
        <v>64.6858</v>
      </c>
    </row>
    <row r="183" spans="2:28" x14ac:dyDescent="0.4">
      <c r="B183" s="11">
        <v>166</v>
      </c>
      <c r="C183" s="16">
        <f t="shared" si="9"/>
        <v>56.173892783742801</v>
      </c>
      <c r="D183" s="17">
        <f t="shared" si="11"/>
        <v>62.415436426380886</v>
      </c>
      <c r="E183" s="17">
        <f t="shared" si="10"/>
        <v>68.656980069018971</v>
      </c>
      <c r="F183" s="2">
        <v>63.509799999999998</v>
      </c>
      <c r="G183" s="2" t="str">
        <f t="shared" si="8"/>
        <v>Pass</v>
      </c>
      <c r="Y183" s="2">
        <v>168</v>
      </c>
      <c r="Z183" s="2">
        <v>0.2833</v>
      </c>
      <c r="AA183" s="2">
        <v>0.29730000000000001</v>
      </c>
      <c r="AB183" s="2">
        <v>65.556600000000003</v>
      </c>
    </row>
    <row r="184" spans="2:28" x14ac:dyDescent="0.4">
      <c r="B184" s="11">
        <v>167</v>
      </c>
      <c r="C184" s="16">
        <f t="shared" si="9"/>
        <v>57.056673226721415</v>
      </c>
      <c r="D184" s="17">
        <f t="shared" si="11"/>
        <v>63.396303585246017</v>
      </c>
      <c r="E184" s="17">
        <f t="shared" si="10"/>
        <v>69.735933943770618</v>
      </c>
      <c r="F184" s="2">
        <v>64.6858</v>
      </c>
      <c r="G184" s="2" t="str">
        <f t="shared" si="8"/>
        <v>Pass</v>
      </c>
      <c r="Y184" s="2">
        <v>169</v>
      </c>
      <c r="Z184" s="2">
        <v>0.28360000000000002</v>
      </c>
      <c r="AA184" s="2">
        <v>0.29759999999999998</v>
      </c>
      <c r="AB184" s="2">
        <v>66.911199999999994</v>
      </c>
    </row>
    <row r="185" spans="2:28" x14ac:dyDescent="0.4">
      <c r="B185" s="11">
        <v>168</v>
      </c>
      <c r="C185" s="16">
        <f t="shared" si="9"/>
        <v>57.947939710694229</v>
      </c>
      <c r="D185" s="17">
        <f t="shared" si="11"/>
        <v>64.386599678549146</v>
      </c>
      <c r="E185" s="17">
        <f t="shared" si="10"/>
        <v>70.825259646404064</v>
      </c>
      <c r="F185" s="2">
        <v>65.556600000000003</v>
      </c>
      <c r="G185" s="2" t="str">
        <f t="shared" si="8"/>
        <v>Pass</v>
      </c>
      <c r="Y185" s="2">
        <v>170</v>
      </c>
      <c r="Z185" s="2">
        <v>0.28360000000000002</v>
      </c>
      <c r="AA185" s="2">
        <v>0.2974</v>
      </c>
      <c r="AB185" s="2">
        <v>67.917100000000005</v>
      </c>
    </row>
    <row r="186" spans="2:28" x14ac:dyDescent="0.4">
      <c r="B186" s="11">
        <v>169</v>
      </c>
      <c r="C186" s="16">
        <f t="shared" si="9"/>
        <v>58.847722643952309</v>
      </c>
      <c r="D186" s="17">
        <f t="shared" si="11"/>
        <v>65.386358493280341</v>
      </c>
      <c r="E186" s="17">
        <f t="shared" si="10"/>
        <v>71.924994342608372</v>
      </c>
      <c r="F186" s="2">
        <v>66.911199999999994</v>
      </c>
      <c r="G186" s="2" t="str">
        <f t="shared" si="8"/>
        <v>Pass</v>
      </c>
      <c r="Y186" s="2">
        <v>171</v>
      </c>
      <c r="Z186" s="2">
        <v>0.28270000000000001</v>
      </c>
      <c r="AA186" s="2">
        <v>0.29749999999999999</v>
      </c>
      <c r="AB186" s="2">
        <v>68.895399999999995</v>
      </c>
    </row>
    <row r="187" spans="2:28" x14ac:dyDescent="0.4">
      <c r="B187" s="11">
        <v>170</v>
      </c>
      <c r="C187" s="16">
        <f t="shared" si="9"/>
        <v>59.756052362575169</v>
      </c>
      <c r="D187" s="17">
        <f t="shared" si="11"/>
        <v>66.395613736194633</v>
      </c>
      <c r="E187" s="17">
        <f t="shared" si="10"/>
        <v>73.035175109814091</v>
      </c>
      <c r="F187" s="2">
        <v>67.917100000000005</v>
      </c>
      <c r="G187" s="2" t="str">
        <f t="shared" si="8"/>
        <v>Pass</v>
      </c>
      <c r="Y187" s="2">
        <v>172</v>
      </c>
      <c r="Z187" s="2">
        <v>0.2828</v>
      </c>
      <c r="AA187" s="2">
        <v>0.29770000000000002</v>
      </c>
      <c r="AB187" s="2">
        <v>69.838999999999999</v>
      </c>
    </row>
    <row r="188" spans="2:28" x14ac:dyDescent="0.4">
      <c r="B188" s="11">
        <v>171</v>
      </c>
      <c r="C188" s="16">
        <f t="shared" si="9"/>
        <v>60.672959131027511</v>
      </c>
      <c r="D188" s="17">
        <f t="shared" si="11"/>
        <v>67.414399034475011</v>
      </c>
      <c r="E188" s="17">
        <f t="shared" si="10"/>
        <v>74.15583893792251</v>
      </c>
      <c r="F188" s="2">
        <v>68.895399999999995</v>
      </c>
      <c r="G188" s="2" t="str">
        <f t="shared" si="8"/>
        <v>Pass</v>
      </c>
      <c r="Y188" s="2">
        <v>173</v>
      </c>
      <c r="Z188" s="2">
        <v>0.28289999999999998</v>
      </c>
      <c r="AA188" s="2">
        <v>0.2979</v>
      </c>
      <c r="AB188" s="2">
        <v>71.115399999999994</v>
      </c>
    </row>
    <row r="189" spans="2:28" x14ac:dyDescent="0.4">
      <c r="B189" s="11">
        <v>172</v>
      </c>
      <c r="C189" s="16">
        <f t="shared" si="9"/>
        <v>61.598473142747473</v>
      </c>
      <c r="D189" s="17">
        <f t="shared" si="11"/>
        <v>68.442747936386084</v>
      </c>
      <c r="E189" s="17">
        <f t="shared" si="10"/>
        <v>75.287022730024688</v>
      </c>
      <c r="F189" s="2">
        <v>69.838999999999999</v>
      </c>
      <c r="G189" s="2" t="str">
        <f t="shared" si="8"/>
        <v>Pass</v>
      </c>
      <c r="Y189" s="2">
        <v>174</v>
      </c>
      <c r="Z189" s="2">
        <v>0.28310000000000002</v>
      </c>
      <c r="AA189" s="2">
        <v>0.2979</v>
      </c>
      <c r="AB189" s="2">
        <v>72.014399999999995</v>
      </c>
    </row>
    <row r="190" spans="2:28" x14ac:dyDescent="0.4">
      <c r="B190" s="11">
        <v>173</v>
      </c>
      <c r="C190" s="16">
        <f t="shared" si="9"/>
        <v>62.532624520726657</v>
      </c>
      <c r="D190" s="17">
        <f t="shared" si="11"/>
        <v>69.480693911918507</v>
      </c>
      <c r="E190" s="17">
        <f t="shared" si="10"/>
        <v>76.428763303110358</v>
      </c>
      <c r="F190" s="2">
        <v>71.115399999999994</v>
      </c>
      <c r="G190" s="2" t="str">
        <f t="shared" si="8"/>
        <v>Pass</v>
      </c>
      <c r="Y190" s="2">
        <v>175</v>
      </c>
      <c r="Z190" s="2">
        <v>0.28320000000000001</v>
      </c>
      <c r="AA190" s="2">
        <v>0.29799999999999999</v>
      </c>
      <c r="AB190" s="2">
        <v>73.241200000000006</v>
      </c>
    </row>
    <row r="191" spans="2:28" x14ac:dyDescent="0.4">
      <c r="B191" s="11">
        <v>174</v>
      </c>
      <c r="C191" s="16">
        <f t="shared" si="9"/>
        <v>63.475443318082029</v>
      </c>
      <c r="D191" s="17">
        <f t="shared" si="11"/>
        <v>70.528270353424475</v>
      </c>
      <c r="E191" s="17">
        <f t="shared" si="10"/>
        <v>77.581097388766921</v>
      </c>
      <c r="F191" s="2">
        <v>72.014399999999995</v>
      </c>
      <c r="G191" s="2" t="str">
        <f t="shared" si="8"/>
        <v>Pass</v>
      </c>
      <c r="Y191" s="2">
        <v>176</v>
      </c>
      <c r="Z191" s="2">
        <v>0.28239999999999998</v>
      </c>
      <c r="AA191" s="2">
        <v>0.2964</v>
      </c>
      <c r="AB191" s="2">
        <v>74.275199999999998</v>
      </c>
    </row>
    <row r="192" spans="2:28" x14ac:dyDescent="0.4">
      <c r="B192" s="11">
        <v>175</v>
      </c>
      <c r="C192" s="16">
        <f t="shared" si="9"/>
        <v>64.426959518619924</v>
      </c>
      <c r="D192" s="17">
        <f t="shared" si="11"/>
        <v>71.58551057624436</v>
      </c>
      <c r="E192" s="17">
        <f t="shared" si="10"/>
        <v>78.744061633868796</v>
      </c>
      <c r="F192" s="2">
        <v>73.241200000000006</v>
      </c>
      <c r="G192" s="2" t="str">
        <f t="shared" si="8"/>
        <v>Pass</v>
      </c>
      <c r="Y192" s="2">
        <v>177</v>
      </c>
      <c r="Z192" s="2">
        <v>0.28220000000000001</v>
      </c>
      <c r="AA192" s="2">
        <v>0.29670000000000002</v>
      </c>
      <c r="AB192" s="2">
        <v>75.401399999999995</v>
      </c>
    </row>
    <row r="193" spans="2:28" x14ac:dyDescent="0.4">
      <c r="B193" s="11">
        <v>176</v>
      </c>
      <c r="C193" s="16">
        <f t="shared" si="9"/>
        <v>65.387203037392425</v>
      </c>
      <c r="D193" s="17">
        <f t="shared" si="11"/>
        <v>72.652447819324919</v>
      </c>
      <c r="E193" s="17">
        <f t="shared" si="10"/>
        <v>79.917692601257414</v>
      </c>
      <c r="F193" s="2">
        <v>74.275199999999998</v>
      </c>
      <c r="G193" s="2" t="str">
        <f t="shared" si="8"/>
        <v>Pass</v>
      </c>
      <c r="Y193" s="2">
        <v>178</v>
      </c>
      <c r="Z193" s="2">
        <v>0.28249999999999997</v>
      </c>
      <c r="AA193" s="2">
        <v>0.29699999999999999</v>
      </c>
      <c r="AB193" s="2">
        <v>76.415400000000005</v>
      </c>
    </row>
    <row r="194" spans="2:28" x14ac:dyDescent="0.4">
      <c r="B194" s="11">
        <v>177</v>
      </c>
      <c r="C194" s="16">
        <f t="shared" si="9"/>
        <v>66.356203721245961</v>
      </c>
      <c r="D194" s="17">
        <f t="shared" si="11"/>
        <v>73.729115245828851</v>
      </c>
      <c r="E194" s="17">
        <f t="shared" si="10"/>
        <v>81.10202677041174</v>
      </c>
      <c r="F194" s="2">
        <v>75.401399999999995</v>
      </c>
      <c r="G194" s="2" t="str">
        <f t="shared" si="8"/>
        <v>Pass</v>
      </c>
      <c r="Y194" s="2">
        <v>179</v>
      </c>
      <c r="Z194" s="2">
        <v>0.28239999999999998</v>
      </c>
      <c r="AA194" s="2">
        <v>0.2959</v>
      </c>
      <c r="AB194" s="2">
        <v>76.706599999999995</v>
      </c>
    </row>
    <row r="195" spans="2:28" x14ac:dyDescent="0.4">
      <c r="B195" s="11">
        <v>178</v>
      </c>
      <c r="C195" s="16">
        <f t="shared" si="9"/>
        <v>67.333991349362478</v>
      </c>
      <c r="D195" s="17">
        <f t="shared" si="11"/>
        <v>74.815545943736083</v>
      </c>
      <c r="E195" s="17">
        <f t="shared" si="10"/>
        <v>82.297100538109689</v>
      </c>
      <c r="F195" s="2">
        <v>76.415400000000005</v>
      </c>
      <c r="G195" s="2" t="str">
        <f t="shared" si="8"/>
        <v>Pass</v>
      </c>
      <c r="Y195" s="2">
        <v>180</v>
      </c>
      <c r="Z195" s="2">
        <v>0.28260000000000002</v>
      </c>
      <c r="AA195" s="2">
        <v>0.29620000000000002</v>
      </c>
      <c r="AB195" s="2">
        <v>78.043700000000001</v>
      </c>
    </row>
    <row r="196" spans="2:28" x14ac:dyDescent="0.4">
      <c r="B196" s="11">
        <v>179</v>
      </c>
      <c r="C196" s="16">
        <f t="shared" si="9"/>
        <v>68.320595633793346</v>
      </c>
      <c r="D196" s="17">
        <f t="shared" si="11"/>
        <v>75.911772926437052</v>
      </c>
      <c r="E196" s="17">
        <f t="shared" si="10"/>
        <v>83.502950219080759</v>
      </c>
      <c r="F196" s="2">
        <v>76.706599999999995</v>
      </c>
      <c r="G196" s="2" t="str">
        <f t="shared" si="8"/>
        <v>Pass</v>
      </c>
      <c r="Y196" s="2">
        <v>181</v>
      </c>
      <c r="Z196" s="2">
        <v>0.28260000000000002</v>
      </c>
      <c r="AA196" s="2">
        <v>0.29630000000000001</v>
      </c>
      <c r="AB196" s="2">
        <v>79.021100000000004</v>
      </c>
    </row>
    <row r="197" spans="2:28" x14ac:dyDescent="0.4">
      <c r="B197" s="11">
        <v>180</v>
      </c>
      <c r="C197" s="16">
        <f t="shared" si="9"/>
        <v>69.316046219986063</v>
      </c>
      <c r="D197" s="17">
        <f t="shared" si="11"/>
        <v>77.017829133317846</v>
      </c>
      <c r="E197" s="17">
        <f t="shared" si="10"/>
        <v>84.71961204664963</v>
      </c>
      <c r="F197" s="2">
        <v>78.043700000000001</v>
      </c>
      <c r="G197" s="2" t="str">
        <f t="shared" si="8"/>
        <v>Pass</v>
      </c>
      <c r="Y197" s="2">
        <v>182</v>
      </c>
      <c r="Z197" s="2">
        <v>0.28320000000000001</v>
      </c>
      <c r="AA197" s="2">
        <v>0.29730000000000001</v>
      </c>
      <c r="AB197" s="2">
        <v>79.972999999999999</v>
      </c>
    </row>
    <row r="198" spans="2:28" x14ac:dyDescent="0.4">
      <c r="B198" s="11">
        <v>181</v>
      </c>
      <c r="C198" s="16">
        <f t="shared" si="9"/>
        <v>70.320372687303831</v>
      </c>
      <c r="D198" s="17">
        <f t="shared" si="11"/>
        <v>78.133747430337593</v>
      </c>
      <c r="E198" s="17">
        <f t="shared" si="10"/>
        <v>85.947122173371355</v>
      </c>
      <c r="F198" s="2">
        <v>79.021100000000004</v>
      </c>
      <c r="G198" s="2" t="str">
        <f t="shared" si="8"/>
        <v>Pass</v>
      </c>
      <c r="Y198" s="2">
        <v>183</v>
      </c>
      <c r="Z198" s="2">
        <v>0.28310000000000002</v>
      </c>
      <c r="AA198" s="2">
        <v>0.29770000000000002</v>
      </c>
      <c r="AB198" s="2">
        <v>80.964200000000005</v>
      </c>
    </row>
    <row r="199" spans="2:28" x14ac:dyDescent="0.4">
      <c r="B199" s="11">
        <v>182</v>
      </c>
      <c r="C199" s="16">
        <f t="shared" si="9"/>
        <v>71.333604549538478</v>
      </c>
      <c r="D199" s="17">
        <f t="shared" si="11"/>
        <v>79.259560610598314</v>
      </c>
      <c r="E199" s="17">
        <f t="shared" si="10"/>
        <v>87.185516671658149</v>
      </c>
      <c r="F199" s="2">
        <v>79.972999999999999</v>
      </c>
      <c r="G199" s="2" t="str">
        <f t="shared" si="8"/>
        <v>Pass</v>
      </c>
      <c r="Y199" s="2">
        <v>184</v>
      </c>
      <c r="Z199" s="2">
        <v>0.2833</v>
      </c>
      <c r="AA199" s="2">
        <v>0.29780000000000001</v>
      </c>
      <c r="AB199" s="2">
        <v>82.373800000000003</v>
      </c>
    </row>
    <row r="200" spans="2:28" x14ac:dyDescent="0.4">
      <c r="B200" s="11">
        <v>183</v>
      </c>
      <c r="C200" s="16">
        <f t="shared" si="9"/>
        <v>72.35577125541613</v>
      </c>
      <c r="D200" s="17">
        <f t="shared" si="11"/>
        <v>80.395301394906809</v>
      </c>
      <c r="E200" s="17">
        <f t="shared" si="10"/>
        <v>88.434831534397489</v>
      </c>
      <c r="F200" s="2">
        <v>80.964200000000005</v>
      </c>
      <c r="G200" s="2" t="str">
        <f t="shared" si="8"/>
        <v>Pass</v>
      </c>
      <c r="Y200" s="2">
        <v>185</v>
      </c>
      <c r="Z200" s="2">
        <v>0.28349999999999997</v>
      </c>
      <c r="AA200" s="2">
        <v>0.29799999999999999</v>
      </c>
      <c r="AB200" s="2">
        <v>83.439599999999999</v>
      </c>
    </row>
    <row r="201" spans="2:28" x14ac:dyDescent="0.4">
      <c r="B201" s="11">
        <v>184</v>
      </c>
      <c r="C201" s="16">
        <f t="shared" si="9"/>
        <v>73.386902189096759</v>
      </c>
      <c r="D201" s="17">
        <f t="shared" si="11"/>
        <v>81.541002432329734</v>
      </c>
      <c r="E201" s="17">
        <f t="shared" si="10"/>
        <v>89.695102675562708</v>
      </c>
      <c r="F201" s="2">
        <v>82.373800000000003</v>
      </c>
      <c r="G201" s="2" t="str">
        <f t="shared" si="8"/>
        <v>Pass</v>
      </c>
      <c r="Y201" s="2">
        <v>186</v>
      </c>
      <c r="Z201" s="2">
        <v>0.28349999999999997</v>
      </c>
      <c r="AA201" s="2">
        <v>0.29699999999999999</v>
      </c>
      <c r="AB201" s="2">
        <v>83.892200000000003</v>
      </c>
    </row>
    <row r="202" spans="2:28" x14ac:dyDescent="0.4">
      <c r="B202" s="11">
        <v>185</v>
      </c>
      <c r="C202" s="16">
        <f t="shared" si="9"/>
        <v>74.427026670666891</v>
      </c>
      <c r="D202" s="17">
        <f t="shared" si="11"/>
        <v>82.696696300740982</v>
      </c>
      <c r="E202" s="17">
        <f t="shared" si="10"/>
        <v>90.966365930815073</v>
      </c>
      <c r="F202" s="2">
        <v>83.439599999999999</v>
      </c>
      <c r="G202" s="2" t="str">
        <f t="shared" si="8"/>
        <v>Pass</v>
      </c>
      <c r="Y202" s="2">
        <v>187</v>
      </c>
      <c r="Z202" s="2">
        <v>0.28360000000000002</v>
      </c>
      <c r="AA202" s="2">
        <v>0.29720000000000002</v>
      </c>
      <c r="AB202" s="2">
        <v>84.973100000000002</v>
      </c>
    </row>
    <row r="203" spans="2:28" x14ac:dyDescent="0.4">
      <c r="B203" s="11">
        <v>186</v>
      </c>
      <c r="C203" s="16">
        <f t="shared" si="9"/>
        <v>75.476173956625871</v>
      </c>
      <c r="D203" s="17">
        <f t="shared" si="11"/>
        <v>83.862415507362087</v>
      </c>
      <c r="E203" s="17">
        <f t="shared" si="10"/>
        <v>92.248657058098303</v>
      </c>
      <c r="F203" s="2">
        <v>83.892200000000003</v>
      </c>
      <c r="G203" s="2" t="str">
        <f t="shared" si="8"/>
        <v>Pass</v>
      </c>
      <c r="Y203" s="2">
        <v>188</v>
      </c>
      <c r="Z203" s="2">
        <v>0.28370000000000001</v>
      </c>
      <c r="AA203" s="2">
        <v>0.2974</v>
      </c>
      <c r="AB203" s="2">
        <v>86.360100000000003</v>
      </c>
    </row>
    <row r="204" spans="2:28" x14ac:dyDescent="0.4">
      <c r="B204" s="11">
        <v>187</v>
      </c>
      <c r="C204" s="16">
        <f t="shared" si="9"/>
        <v>76.534373240366065</v>
      </c>
      <c r="D204" s="17">
        <f t="shared" si="11"/>
        <v>85.038192489295625</v>
      </c>
      <c r="E204" s="17">
        <f t="shared" si="10"/>
        <v>93.542011738225185</v>
      </c>
      <c r="F204" s="2">
        <v>84.973100000000002</v>
      </c>
      <c r="G204" s="2" t="str">
        <f t="shared" si="8"/>
        <v>Pass</v>
      </c>
      <c r="Y204" s="2">
        <v>189</v>
      </c>
      <c r="Z204" s="2">
        <v>0.2828</v>
      </c>
      <c r="AA204" s="2">
        <v>0.29709999999999998</v>
      </c>
      <c r="AB204" s="2">
        <v>87.500799999999998</v>
      </c>
    </row>
    <row r="205" spans="2:28" x14ac:dyDescent="0.4">
      <c r="B205" s="11">
        <v>188</v>
      </c>
      <c r="C205" s="16">
        <f t="shared" si="9"/>
        <v>77.60165365264659</v>
      </c>
      <c r="D205" s="17">
        <f t="shared" si="11"/>
        <v>86.224059614051768</v>
      </c>
      <c r="E205" s="17">
        <f t="shared" si="10"/>
        <v>94.846465575456946</v>
      </c>
      <c r="F205" s="2">
        <v>86.360100000000003</v>
      </c>
      <c r="G205" s="2" t="str">
        <f t="shared" si="8"/>
        <v>Pass</v>
      </c>
      <c r="Y205" s="2">
        <v>190</v>
      </c>
      <c r="Z205" s="2">
        <v>0.28289999999999998</v>
      </c>
      <c r="AA205" s="2">
        <v>0.29720000000000002</v>
      </c>
      <c r="AB205" s="2">
        <v>88.592399999999998</v>
      </c>
    </row>
    <row r="206" spans="2:28" x14ac:dyDescent="0.4">
      <c r="B206" s="11">
        <v>189</v>
      </c>
      <c r="C206" s="16">
        <f t="shared" si="9"/>
        <v>78.678044262061263</v>
      </c>
      <c r="D206" s="17">
        <f t="shared" si="11"/>
        <v>87.420049180068077</v>
      </c>
      <c r="E206" s="17">
        <f t="shared" si="10"/>
        <v>96.16205409807489</v>
      </c>
      <c r="F206" s="2">
        <v>87.500799999999998</v>
      </c>
      <c r="G206" s="2" t="str">
        <f t="shared" si="8"/>
        <v>Pass</v>
      </c>
      <c r="Y206" s="2">
        <v>191</v>
      </c>
      <c r="Z206" s="2">
        <v>0.28299999999999997</v>
      </c>
      <c r="AA206" s="2">
        <v>0.29730000000000001</v>
      </c>
      <c r="AB206" s="2">
        <v>89.628299999999996</v>
      </c>
    </row>
    <row r="207" spans="2:28" x14ac:dyDescent="0.4">
      <c r="B207" s="11">
        <v>190</v>
      </c>
      <c r="C207" s="16">
        <f t="shared" si="9"/>
        <v>79.763574075500301</v>
      </c>
      <c r="D207" s="17">
        <f t="shared" si="11"/>
        <v>88.626193417222552</v>
      </c>
      <c r="E207" s="17">
        <f t="shared" si="10"/>
        <v>97.488812758944803</v>
      </c>
      <c r="F207" s="2">
        <v>88.592399999999998</v>
      </c>
      <c r="G207" s="2" t="str">
        <f t="shared" si="8"/>
        <v>Pass</v>
      </c>
      <c r="Y207" s="2">
        <v>192</v>
      </c>
      <c r="Z207" s="2">
        <v>0.28320000000000001</v>
      </c>
      <c r="AA207" s="2">
        <v>0.2974</v>
      </c>
      <c r="AB207" s="2">
        <v>91.004499999999993</v>
      </c>
    </row>
    <row r="208" spans="2:28" x14ac:dyDescent="0.4">
      <c r="B208" s="11">
        <v>191</v>
      </c>
      <c r="C208" s="16">
        <f t="shared" si="9"/>
        <v>80.858272038606515</v>
      </c>
      <c r="D208" s="17">
        <f t="shared" si="11"/>
        <v>89.842524487340569</v>
      </c>
      <c r="E208" s="17">
        <f t="shared" si="10"/>
        <v>98.826776936074623</v>
      </c>
      <c r="F208" s="2">
        <v>89.628299999999996</v>
      </c>
      <c r="G208" s="2" t="str">
        <f t="shared" si="8"/>
        <v>Pass</v>
      </c>
      <c r="Y208" s="2">
        <v>193</v>
      </c>
      <c r="Z208" s="2">
        <v>0.28249999999999997</v>
      </c>
      <c r="AA208" s="2">
        <v>0.29599999999999999</v>
      </c>
      <c r="AB208" s="2">
        <v>92.458500000000001</v>
      </c>
    </row>
    <row r="209" spans="2:28" x14ac:dyDescent="0.4">
      <c r="B209" s="11">
        <v>192</v>
      </c>
      <c r="C209" s="16">
        <f t="shared" si="9"/>
        <v>81.962167036225424</v>
      </c>
      <c r="D209" s="17">
        <f t="shared" si="11"/>
        <v>91.069074484694923</v>
      </c>
      <c r="E209" s="17">
        <f t="shared" si="10"/>
        <v>100.17598193316442</v>
      </c>
      <c r="F209" s="2">
        <v>91.004499999999993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0.2828</v>
      </c>
      <c r="AA209" s="2">
        <v>0.29630000000000001</v>
      </c>
      <c r="AB209" s="2">
        <v>93.585899999999995</v>
      </c>
    </row>
    <row r="210" spans="2:28" x14ac:dyDescent="0.4">
      <c r="B210" s="11">
        <v>193</v>
      </c>
      <c r="C210" s="16">
        <f t="shared" ref="C210:C272" si="13">D210-D210*(C$14/100)</f>
        <v>83.075287892849971</v>
      </c>
      <c r="D210" s="17">
        <f t="shared" si="11"/>
        <v>92.305875436499974</v>
      </c>
      <c r="E210" s="17">
        <f t="shared" ref="E210:E272" si="14">D210+D210*(C$14/100)</f>
        <v>101.53646298014998</v>
      </c>
      <c r="F210" s="2">
        <v>92.458500000000001</v>
      </c>
      <c r="G210" s="2" t="str">
        <f t="shared" si="12"/>
        <v>Pass</v>
      </c>
      <c r="Y210" s="2">
        <v>195</v>
      </c>
      <c r="Z210" s="2">
        <v>0.2833</v>
      </c>
      <c r="AA210" s="2">
        <v>0.2964</v>
      </c>
      <c r="AB210" s="2">
        <v>94.794399999999996</v>
      </c>
    </row>
    <row r="211" spans="2:28" x14ac:dyDescent="0.4">
      <c r="B211" s="11">
        <v>194</v>
      </c>
      <c r="C211" s="16">
        <f t="shared" si="13"/>
        <v>84.197663373059456</v>
      </c>
      <c r="D211" s="17">
        <f t="shared" ref="D211:D271" si="15">D$272*((B211+F$17)/B$272)^C$13</f>
        <v>93.55295930339939</v>
      </c>
      <c r="E211" s="17">
        <f t="shared" si="14"/>
        <v>102.90825523373933</v>
      </c>
      <c r="F211" s="2">
        <v>93.585899999999995</v>
      </c>
      <c r="G211" s="2" t="str">
        <f t="shared" si="12"/>
        <v>Pass</v>
      </c>
      <c r="Y211" s="2">
        <v>196</v>
      </c>
      <c r="Z211" s="2">
        <v>0.28360000000000002</v>
      </c>
      <c r="AA211" s="2">
        <v>0.29720000000000002</v>
      </c>
      <c r="AB211" s="2">
        <v>96.368200000000002</v>
      </c>
    </row>
    <row r="212" spans="2:28" x14ac:dyDescent="0.4">
      <c r="B212" s="11">
        <v>195</v>
      </c>
      <c r="C212" s="16">
        <f t="shared" si="13"/>
        <v>85.329322181953273</v>
      </c>
      <c r="D212" s="17">
        <f t="shared" si="15"/>
        <v>94.81035797994808</v>
      </c>
      <c r="E212" s="17">
        <f t="shared" si="14"/>
        <v>104.29139377794289</v>
      </c>
      <c r="F212" s="2">
        <v>94.794399999999996</v>
      </c>
      <c r="G212" s="2" t="str">
        <f t="shared" si="12"/>
        <v>Pass</v>
      </c>
      <c r="Y212" s="2">
        <v>197</v>
      </c>
      <c r="Z212" s="2">
        <v>0.28310000000000002</v>
      </c>
      <c r="AA212" s="2">
        <v>0.2974</v>
      </c>
      <c r="AB212" s="2">
        <v>97.572199999999995</v>
      </c>
    </row>
    <row r="213" spans="2:28" x14ac:dyDescent="0.4">
      <c r="B213" s="11">
        <v>196</v>
      </c>
      <c r="C213" s="16">
        <f t="shared" si="13"/>
        <v>86.470292965579162</v>
      </c>
      <c r="D213" s="17">
        <f t="shared" si="15"/>
        <v>96.078103295087956</v>
      </c>
      <c r="E213" s="17">
        <f t="shared" si="14"/>
        <v>105.68591362459675</v>
      </c>
      <c r="F213" s="2">
        <v>96.368200000000002</v>
      </c>
      <c r="G213" s="2" t="str">
        <f t="shared" si="12"/>
        <v>Pass</v>
      </c>
      <c r="Y213" s="2">
        <v>198</v>
      </c>
      <c r="Z213" s="2">
        <v>0.2833</v>
      </c>
      <c r="AA213" s="2">
        <v>0.29759999999999998</v>
      </c>
      <c r="AB213" s="2">
        <v>98.721599999999995</v>
      </c>
    </row>
    <row r="214" spans="2:28" x14ac:dyDescent="0.4">
      <c r="B214" s="11">
        <v>197</v>
      </c>
      <c r="C214" s="16">
        <f t="shared" si="13"/>
        <v>87.620604311356175</v>
      </c>
      <c r="D214" s="17">
        <f t="shared" si="15"/>
        <v>97.356227012617978</v>
      </c>
      <c r="E214" s="17">
        <f t="shared" si="14"/>
        <v>107.09184971387978</v>
      </c>
      <c r="F214" s="2">
        <v>97.572199999999995</v>
      </c>
      <c r="G214" s="2" t="str">
        <f t="shared" si="12"/>
        <v>Pass</v>
      </c>
      <c r="Y214" s="2">
        <v>199</v>
      </c>
      <c r="Z214" s="2">
        <v>0.2833</v>
      </c>
      <c r="AA214" s="2">
        <v>0.29770000000000002</v>
      </c>
      <c r="AB214" s="2">
        <v>99.8155</v>
      </c>
    </row>
    <row r="215" spans="2:28" x14ac:dyDescent="0.4">
      <c r="B215" s="11">
        <v>198</v>
      </c>
      <c r="C215" s="16">
        <f t="shared" si="13"/>
        <v>88.780284748492505</v>
      </c>
      <c r="D215" s="17">
        <f t="shared" si="15"/>
        <v>98.644760831658331</v>
      </c>
      <c r="E215" s="17">
        <f t="shared" si="14"/>
        <v>108.50923691482416</v>
      </c>
      <c r="F215" s="2">
        <v>98.721599999999995</v>
      </c>
      <c r="G215" s="2" t="str">
        <f t="shared" si="12"/>
        <v>Pass</v>
      </c>
      <c r="Y215" s="2">
        <v>200</v>
      </c>
      <c r="Z215" s="2">
        <v>0.28349999999999997</v>
      </c>
      <c r="AA215" s="2">
        <v>0.29780000000000001</v>
      </c>
      <c r="AB215" s="2">
        <v>101.26600000000001</v>
      </c>
    </row>
    <row r="216" spans="2:28" x14ac:dyDescent="0.4">
      <c r="B216" s="11">
        <v>199</v>
      </c>
      <c r="C216" s="16">
        <f t="shared" si="13"/>
        <v>89.949362748398286</v>
      </c>
      <c r="D216" s="17">
        <f t="shared" si="15"/>
        <v>99.943736387109212</v>
      </c>
      <c r="E216" s="17">
        <f t="shared" si="14"/>
        <v>109.93811002582014</v>
      </c>
      <c r="F216" s="2">
        <v>99.8155</v>
      </c>
      <c r="G216" s="2" t="str">
        <f t="shared" si="12"/>
        <v>Pass</v>
      </c>
      <c r="Y216" s="2">
        <v>201</v>
      </c>
      <c r="Z216" s="2">
        <v>0.2833</v>
      </c>
      <c r="AA216" s="2">
        <v>0.29799999999999999</v>
      </c>
      <c r="AB216" s="2">
        <v>102.2726</v>
      </c>
    </row>
    <row r="217" spans="2:28" x14ac:dyDescent="0.4">
      <c r="B217" s="11">
        <v>200</v>
      </c>
      <c r="C217" s="16">
        <f t="shared" si="13"/>
        <v>91.127866725093412</v>
      </c>
      <c r="D217" s="17">
        <f t="shared" si="15"/>
        <v>101.2531852501038</v>
      </c>
      <c r="E217" s="17">
        <f t="shared" si="14"/>
        <v>111.37850377511418</v>
      </c>
      <c r="F217" s="2">
        <v>101.26600000000001</v>
      </c>
      <c r="G217" s="2" t="str">
        <f t="shared" si="12"/>
        <v>Pass</v>
      </c>
      <c r="Y217" s="2">
        <v>202</v>
      </c>
      <c r="Z217" s="2">
        <v>0.28339999999999999</v>
      </c>
      <c r="AA217" s="2">
        <v>0.29830000000000001</v>
      </c>
      <c r="AB217" s="2">
        <v>103.88500000000001</v>
      </c>
    </row>
    <row r="218" spans="2:28" x14ac:dyDescent="0.4">
      <c r="B218" s="11">
        <v>201</v>
      </c>
      <c r="C218" s="16">
        <f t="shared" si="13"/>
        <v>92.315825035610331</v>
      </c>
      <c r="D218" s="17">
        <f t="shared" si="15"/>
        <v>102.57313892845592</v>
      </c>
      <c r="E218" s="17">
        <f t="shared" si="14"/>
        <v>112.83045282130151</v>
      </c>
      <c r="F218" s="2">
        <v>102.2726</v>
      </c>
      <c r="G218" s="2" t="str">
        <f t="shared" si="12"/>
        <v>Pass</v>
      </c>
      <c r="Y218" s="2">
        <v>203</v>
      </c>
      <c r="Z218" s="2">
        <v>0.2828</v>
      </c>
      <c r="AA218" s="2">
        <v>0.29659999999999997</v>
      </c>
      <c r="AB218" s="2">
        <v>105.1075</v>
      </c>
    </row>
    <row r="219" spans="2:28" x14ac:dyDescent="0.4">
      <c r="B219" s="11">
        <v>202</v>
      </c>
      <c r="C219" s="16">
        <f t="shared" si="13"/>
        <v>93.513265980392006</v>
      </c>
      <c r="D219" s="17">
        <f t="shared" si="15"/>
        <v>103.90362886710223</v>
      </c>
      <c r="E219" s="17">
        <f t="shared" si="14"/>
        <v>114.29399175381245</v>
      </c>
      <c r="F219" s="2">
        <v>103.88500000000001</v>
      </c>
      <c r="G219" s="2" t="str">
        <f t="shared" si="12"/>
        <v>Pass</v>
      </c>
      <c r="Y219" s="2">
        <v>204</v>
      </c>
      <c r="Z219" s="2">
        <v>0.28299999999999997</v>
      </c>
      <c r="AA219" s="2">
        <v>0.29699999999999999</v>
      </c>
      <c r="AB219" s="2">
        <v>106.7773</v>
      </c>
    </row>
    <row r="220" spans="2:28" x14ac:dyDescent="0.4">
      <c r="B220" s="11">
        <v>203</v>
      </c>
      <c r="C220" s="16">
        <f t="shared" si="13"/>
        <v>94.720217803685387</v>
      </c>
      <c r="D220" s="17">
        <f t="shared" si="15"/>
        <v>105.24468644853931</v>
      </c>
      <c r="E220" s="17">
        <f t="shared" si="14"/>
        <v>115.76915509339324</v>
      </c>
      <c r="F220" s="2">
        <v>105.1075</v>
      </c>
      <c r="G220" s="2" t="str">
        <f t="shared" si="12"/>
        <v>Pass</v>
      </c>
      <c r="Y220" s="2">
        <v>205</v>
      </c>
      <c r="Z220" s="2">
        <v>0.28320000000000001</v>
      </c>
      <c r="AA220" s="2">
        <v>0.29709999999999998</v>
      </c>
      <c r="AB220" s="2">
        <v>107.9898</v>
      </c>
    </row>
    <row r="221" spans="2:28" x14ac:dyDescent="0.4">
      <c r="B221" s="11">
        <v>204</v>
      </c>
      <c r="C221" s="16">
        <f t="shared" si="13"/>
        <v>95.936708693929887</v>
      </c>
      <c r="D221" s="17">
        <f t="shared" si="15"/>
        <v>106.59634299325543</v>
      </c>
      <c r="E221" s="17">
        <f t="shared" si="14"/>
        <v>117.25597729258098</v>
      </c>
      <c r="F221" s="2">
        <v>106.7773</v>
      </c>
      <c r="G221" s="2" t="str">
        <f t="shared" si="12"/>
        <v>Pass</v>
      </c>
      <c r="Y221" s="2">
        <v>206</v>
      </c>
      <c r="Z221" s="2">
        <v>0.2838</v>
      </c>
      <c r="AA221" s="2">
        <v>0.29730000000000001</v>
      </c>
      <c r="AB221" s="2">
        <v>109.69629999999999</v>
      </c>
    </row>
    <row r="222" spans="2:28" x14ac:dyDescent="0.4">
      <c r="B222" s="11">
        <v>205</v>
      </c>
      <c r="C222" s="16">
        <f t="shared" si="13"/>
        <v>97.162766784141638</v>
      </c>
      <c r="D222" s="17">
        <f t="shared" si="15"/>
        <v>107.95862976015738</v>
      </c>
      <c r="E222" s="17">
        <f t="shared" si="14"/>
        <v>118.75449273617312</v>
      </c>
      <c r="F222" s="2">
        <v>107.9898</v>
      </c>
      <c r="G222" s="2" t="str">
        <f t="shared" si="12"/>
        <v>Pass</v>
      </c>
      <c r="Y222" s="2">
        <v>207</v>
      </c>
      <c r="Z222" s="2">
        <v>0.2838</v>
      </c>
      <c r="AA222" s="2">
        <v>0.29759999999999998</v>
      </c>
      <c r="AB222" s="2">
        <v>110.93729999999999</v>
      </c>
    </row>
    <row r="223" spans="2:28" x14ac:dyDescent="0.4">
      <c r="B223" s="11">
        <v>206</v>
      </c>
      <c r="C223" s="16">
        <f t="shared" si="13"/>
        <v>98.398420152292687</v>
      </c>
      <c r="D223" s="17">
        <f t="shared" si="15"/>
        <v>109.33157794699187</v>
      </c>
      <c r="E223" s="17">
        <f t="shared" si="14"/>
        <v>120.26473574169106</v>
      </c>
      <c r="F223" s="2">
        <v>109.69629999999999</v>
      </c>
      <c r="G223" s="2" t="str">
        <f t="shared" si="12"/>
        <v>Pass</v>
      </c>
      <c r="Y223" s="2">
        <v>208</v>
      </c>
      <c r="Z223" s="2">
        <v>0.28389999999999999</v>
      </c>
      <c r="AA223" s="2">
        <v>0.29759999999999998</v>
      </c>
      <c r="AB223" s="2">
        <v>112.473</v>
      </c>
    </row>
    <row r="224" spans="2:28" x14ac:dyDescent="0.4">
      <c r="B224" s="11">
        <v>207</v>
      </c>
      <c r="C224" s="16">
        <f t="shared" si="13"/>
        <v>99.643696821686433</v>
      </c>
      <c r="D224" s="17">
        <f t="shared" si="15"/>
        <v>110.7152186907627</v>
      </c>
      <c r="E224" s="17">
        <f t="shared" si="14"/>
        <v>121.78674055983896</v>
      </c>
      <c r="F224" s="2">
        <v>110.93729999999999</v>
      </c>
      <c r="G224" s="2" t="str">
        <f t="shared" si="12"/>
        <v>Pass</v>
      </c>
      <c r="Y224" s="2">
        <v>209</v>
      </c>
      <c r="Z224" s="2">
        <v>0.28399999999999997</v>
      </c>
      <c r="AA224" s="2">
        <v>0.29770000000000002</v>
      </c>
      <c r="AB224" s="2">
        <v>113.6835</v>
      </c>
    </row>
    <row r="225" spans="2:28" x14ac:dyDescent="0.4">
      <c r="B225" s="11">
        <v>208</v>
      </c>
      <c r="C225" s="16">
        <f t="shared" si="13"/>
        <v>100.89862476132824</v>
      </c>
      <c r="D225" s="17">
        <f t="shared" si="15"/>
        <v>112.10958306814248</v>
      </c>
      <c r="E225" s="17">
        <f t="shared" si="14"/>
        <v>123.32054137495673</v>
      </c>
      <c r="F225" s="2">
        <v>112.473</v>
      </c>
      <c r="G225" s="2" t="str">
        <f t="shared" si="12"/>
        <v>Pass</v>
      </c>
      <c r="Y225" s="2">
        <v>210</v>
      </c>
      <c r="Z225" s="2">
        <v>0.28389999999999999</v>
      </c>
      <c r="AA225" s="2">
        <v>0.29799999999999999</v>
      </c>
      <c r="AB225" s="2">
        <v>116.092</v>
      </c>
    </row>
    <row r="226" spans="2:28" x14ac:dyDescent="0.4">
      <c r="B226" s="11">
        <v>209</v>
      </c>
      <c r="C226" s="16">
        <f t="shared" si="13"/>
        <v>102.1632318862919</v>
      </c>
      <c r="D226" s="17">
        <f t="shared" si="15"/>
        <v>113.51470209587988</v>
      </c>
      <c r="E226" s="17">
        <f t="shared" si="14"/>
        <v>124.86617230546787</v>
      </c>
      <c r="F226" s="2">
        <v>113.6835</v>
      </c>
      <c r="G226" s="2" t="str">
        <f t="shared" si="12"/>
        <v>Pass</v>
      </c>
      <c r="Y226" s="2">
        <v>211</v>
      </c>
      <c r="Z226" s="2">
        <v>0.28410000000000002</v>
      </c>
      <c r="AA226" s="2">
        <v>0.29820000000000002</v>
      </c>
      <c r="AB226" s="2">
        <v>117.86620000000001</v>
      </c>
    </row>
    <row r="227" spans="2:28" x14ac:dyDescent="0.4">
      <c r="B227" s="11">
        <v>210</v>
      </c>
      <c r="C227" s="16">
        <f t="shared" si="13"/>
        <v>103.43754605808178</v>
      </c>
      <c r="D227" s="17">
        <f t="shared" si="15"/>
        <v>114.93060673120198</v>
      </c>
      <c r="E227" s="17">
        <f t="shared" si="14"/>
        <v>126.42366740432217</v>
      </c>
      <c r="F227" s="2">
        <v>116.092</v>
      </c>
      <c r="G227" s="2" t="str">
        <f t="shared" si="12"/>
        <v>Pass</v>
      </c>
      <c r="Y227" s="2">
        <v>212</v>
      </c>
      <c r="Z227" s="2">
        <v>0.28420000000000001</v>
      </c>
      <c r="AA227" s="2">
        <v>0.2984</v>
      </c>
      <c r="AB227" s="2">
        <v>119.07729999999999</v>
      </c>
    </row>
    <row r="228" spans="2:28" x14ac:dyDescent="0.4">
      <c r="B228" s="11">
        <v>211</v>
      </c>
      <c r="C228" s="16">
        <f t="shared" si="13"/>
        <v>104.72159508499111</v>
      </c>
      <c r="D228" s="17">
        <f t="shared" si="15"/>
        <v>116.35732787221234</v>
      </c>
      <c r="E228" s="17">
        <f t="shared" si="14"/>
        <v>127.99306065943357</v>
      </c>
      <c r="F228" s="2">
        <v>117.86620000000001</v>
      </c>
      <c r="G228" s="2" t="str">
        <f t="shared" si="12"/>
        <v>Pass</v>
      </c>
      <c r="Y228" s="2">
        <v>213</v>
      </c>
      <c r="Z228" s="2">
        <v>0.2843</v>
      </c>
      <c r="AA228" s="2">
        <v>0.2984</v>
      </c>
      <c r="AB228" s="2">
        <v>120.2127</v>
      </c>
    </row>
    <row r="229" spans="2:28" x14ac:dyDescent="0.4">
      <c r="B229" s="11">
        <v>212</v>
      </c>
      <c r="C229" s="16">
        <f t="shared" si="13"/>
        <v>106.01540672245581</v>
      </c>
      <c r="D229" s="17">
        <f t="shared" si="15"/>
        <v>117.79489635828423</v>
      </c>
      <c r="E229" s="17">
        <f t="shared" si="14"/>
        <v>129.57438599411265</v>
      </c>
      <c r="F229" s="2">
        <v>119.07729999999999</v>
      </c>
      <c r="G229" s="2" t="str">
        <f t="shared" si="12"/>
        <v>Pass</v>
      </c>
      <c r="Y229" s="2">
        <v>214</v>
      </c>
      <c r="Z229" s="2">
        <v>0.28460000000000002</v>
      </c>
      <c r="AA229" s="2">
        <v>0.29849999999999999</v>
      </c>
      <c r="AB229" s="2">
        <v>121.97069999999999</v>
      </c>
    </row>
    <row r="230" spans="2:28" x14ac:dyDescent="0.4">
      <c r="B230" s="11">
        <v>213</v>
      </c>
      <c r="C230" s="16">
        <f t="shared" si="13"/>
        <v>107.31900867340455</v>
      </c>
      <c r="D230" s="17">
        <f t="shared" si="15"/>
        <v>119.2433429704495</v>
      </c>
      <c r="E230" s="17">
        <f t="shared" si="14"/>
        <v>131.16767726749447</v>
      </c>
      <c r="F230" s="2">
        <v>120.2127</v>
      </c>
      <c r="G230" s="2" t="str">
        <f t="shared" si="12"/>
        <v>Pass</v>
      </c>
      <c r="Y230" s="2">
        <v>215</v>
      </c>
      <c r="Z230" s="2">
        <v>0.28360000000000002</v>
      </c>
      <c r="AA230" s="2">
        <v>0.29720000000000002</v>
      </c>
      <c r="AB230" s="2">
        <v>123.64060000000001</v>
      </c>
    </row>
    <row r="231" spans="2:28" x14ac:dyDescent="0.4">
      <c r="B231" s="11">
        <v>214</v>
      </c>
      <c r="C231" s="16">
        <f t="shared" si="13"/>
        <v>108.63242858860471</v>
      </c>
      <c r="D231" s="17">
        <f t="shared" si="15"/>
        <v>120.70269843178302</v>
      </c>
      <c r="E231" s="17">
        <f t="shared" si="14"/>
        <v>132.77296827496133</v>
      </c>
      <c r="F231" s="2">
        <v>121.97069999999999</v>
      </c>
      <c r="G231" s="2" t="str">
        <f t="shared" si="12"/>
        <v>Pass</v>
      </c>
      <c r="Y231" s="2">
        <v>216</v>
      </c>
      <c r="Z231" s="2">
        <v>0.2838</v>
      </c>
      <c r="AA231" s="2">
        <v>0.29730000000000001</v>
      </c>
      <c r="AB231" s="2">
        <v>124.8973</v>
      </c>
    </row>
    <row r="232" spans="2:28" x14ac:dyDescent="0.4">
      <c r="B232" s="11">
        <v>215</v>
      </c>
      <c r="C232" s="16">
        <f t="shared" si="13"/>
        <v>109.95569406700461</v>
      </c>
      <c r="D232" s="17">
        <f t="shared" si="15"/>
        <v>122.17299340778291</v>
      </c>
      <c r="E232" s="17">
        <f t="shared" si="14"/>
        <v>134.39029274856119</v>
      </c>
      <c r="F232" s="2">
        <v>123.64060000000001</v>
      </c>
      <c r="G232" s="2" t="str">
        <f t="shared" si="12"/>
        <v>Pass</v>
      </c>
      <c r="Y232" s="2">
        <v>217</v>
      </c>
      <c r="Z232" s="2">
        <v>0.28389999999999999</v>
      </c>
      <c r="AA232" s="2">
        <v>0.2974</v>
      </c>
      <c r="AB232" s="2">
        <v>126.143</v>
      </c>
    </row>
    <row r="233" spans="2:28" x14ac:dyDescent="0.4">
      <c r="B233" s="11">
        <v>216</v>
      </c>
      <c r="C233" s="16">
        <f t="shared" si="13"/>
        <v>111.2888326560718</v>
      </c>
      <c r="D233" s="17">
        <f t="shared" si="15"/>
        <v>123.65425850674646</v>
      </c>
      <c r="E233" s="17">
        <f t="shared" si="14"/>
        <v>136.01968435742111</v>
      </c>
      <c r="F233" s="2">
        <v>124.8973</v>
      </c>
      <c r="G233" s="2" t="str">
        <f t="shared" si="12"/>
        <v>Pass</v>
      </c>
      <c r="Y233" s="2">
        <v>218</v>
      </c>
      <c r="Z233" s="2">
        <v>0.28399999999999997</v>
      </c>
      <c r="AA233" s="2">
        <v>0.29749999999999999</v>
      </c>
      <c r="AB233" s="2">
        <v>127.8497</v>
      </c>
    </row>
    <row r="234" spans="2:28" x14ac:dyDescent="0.4">
      <c r="B234" s="11">
        <v>217</v>
      </c>
      <c r="C234" s="16">
        <f t="shared" si="13"/>
        <v>112.63187185212756</v>
      </c>
      <c r="D234" s="17">
        <f t="shared" si="15"/>
        <v>125.14652428014173</v>
      </c>
      <c r="E234" s="17">
        <f t="shared" si="14"/>
        <v>137.66117670815589</v>
      </c>
      <c r="F234" s="2">
        <v>126.143</v>
      </c>
      <c r="G234" s="2" t="str">
        <f t="shared" si="12"/>
        <v>Pass</v>
      </c>
      <c r="Y234" s="2">
        <v>219</v>
      </c>
      <c r="Z234" s="2">
        <v>0.28410000000000002</v>
      </c>
      <c r="AA234" s="2">
        <v>0.29759999999999998</v>
      </c>
      <c r="AB234" s="2">
        <v>129.0883</v>
      </c>
    </row>
    <row r="235" spans="2:28" x14ac:dyDescent="0.4">
      <c r="B235" s="11">
        <v>218</v>
      </c>
      <c r="C235" s="16">
        <f t="shared" si="13"/>
        <v>113.98483910067769</v>
      </c>
      <c r="D235" s="17">
        <f t="shared" si="15"/>
        <v>126.64982122297521</v>
      </c>
      <c r="E235" s="17">
        <f t="shared" si="14"/>
        <v>139.31480334527274</v>
      </c>
      <c r="F235" s="2">
        <v>127.8497</v>
      </c>
      <c r="G235" s="2" t="str">
        <f t="shared" si="12"/>
        <v>Pass</v>
      </c>
      <c r="Y235" s="2">
        <v>220</v>
      </c>
      <c r="Z235" s="2">
        <v>0.28410000000000002</v>
      </c>
      <c r="AA235" s="2">
        <v>0.2974</v>
      </c>
      <c r="AB235" s="2">
        <v>130.80539999999999</v>
      </c>
    </row>
    <row r="236" spans="2:28" x14ac:dyDescent="0.4">
      <c r="B236" s="11">
        <v>219</v>
      </c>
      <c r="C236" s="16">
        <f t="shared" si="13"/>
        <v>115.3477617967398</v>
      </c>
      <c r="D236" s="17">
        <f t="shared" si="15"/>
        <v>128.16417977415534</v>
      </c>
      <c r="E236" s="17">
        <f t="shared" si="14"/>
        <v>140.98059775157088</v>
      </c>
      <c r="F236" s="2">
        <v>129.0883</v>
      </c>
      <c r="G236" s="2" t="str">
        <f t="shared" si="12"/>
        <v>Pass</v>
      </c>
      <c r="Y236" s="2">
        <v>221</v>
      </c>
      <c r="Z236" s="2">
        <v>0.28339999999999999</v>
      </c>
      <c r="AA236" s="2">
        <v>0.29599999999999999</v>
      </c>
      <c r="AB236" s="2">
        <v>132.24600000000001</v>
      </c>
    </row>
    <row r="237" spans="2:28" x14ac:dyDescent="0.4">
      <c r="B237" s="11">
        <v>220</v>
      </c>
      <c r="C237" s="16">
        <f t="shared" si="13"/>
        <v>116.72066728516688</v>
      </c>
      <c r="D237" s="17">
        <f t="shared" si="15"/>
        <v>129.68963031685209</v>
      </c>
      <c r="E237" s="17">
        <f t="shared" si="14"/>
        <v>142.65859334853729</v>
      </c>
      <c r="F237" s="2">
        <v>130.80539999999999</v>
      </c>
      <c r="G237" s="2" t="str">
        <f t="shared" si="12"/>
        <v>Pass</v>
      </c>
      <c r="Y237" s="2">
        <v>222</v>
      </c>
      <c r="Z237" s="2">
        <v>0.28349999999999997</v>
      </c>
      <c r="AA237" s="2">
        <v>0.29609999999999997</v>
      </c>
      <c r="AB237" s="2">
        <v>133.94980000000001</v>
      </c>
    </row>
    <row r="238" spans="2:28" x14ac:dyDescent="0.4">
      <c r="B238" s="11">
        <v>221</v>
      </c>
      <c r="C238" s="16">
        <f t="shared" si="13"/>
        <v>118.10358286096728</v>
      </c>
      <c r="D238" s="17">
        <f t="shared" si="15"/>
        <v>131.22620317885253</v>
      </c>
      <c r="E238" s="17">
        <f t="shared" si="14"/>
        <v>144.34882349673779</v>
      </c>
      <c r="F238" s="2">
        <v>132.24600000000001</v>
      </c>
      <c r="G238" s="2" t="str">
        <f t="shared" si="12"/>
        <v>Pass</v>
      </c>
      <c r="Y238" s="2">
        <v>223</v>
      </c>
      <c r="Z238" s="2">
        <v>0.28370000000000001</v>
      </c>
      <c r="AA238" s="2">
        <v>0.29630000000000001</v>
      </c>
      <c r="AB238" s="2">
        <v>135.2724</v>
      </c>
    </row>
    <row r="239" spans="2:28" x14ac:dyDescent="0.4">
      <c r="B239" s="11">
        <v>222</v>
      </c>
      <c r="C239" s="16">
        <f t="shared" si="13"/>
        <v>119.49653576962119</v>
      </c>
      <c r="D239" s="17">
        <f t="shared" si="15"/>
        <v>132.77392863291243</v>
      </c>
      <c r="E239" s="17">
        <f t="shared" si="14"/>
        <v>146.05132149620368</v>
      </c>
      <c r="F239" s="2">
        <v>133.94980000000001</v>
      </c>
      <c r="G239" s="2" t="str">
        <f t="shared" si="12"/>
        <v>Pass</v>
      </c>
      <c r="Y239" s="2">
        <v>224</v>
      </c>
      <c r="Z239" s="2">
        <v>0.2838</v>
      </c>
      <c r="AA239" s="2">
        <v>0.2964</v>
      </c>
      <c r="AB239" s="2">
        <v>137.08690000000001</v>
      </c>
    </row>
    <row r="240" spans="2:28" x14ac:dyDescent="0.4">
      <c r="B240" s="11">
        <v>223</v>
      </c>
      <c r="C240" s="16">
        <f t="shared" si="13"/>
        <v>120.89955320739399</v>
      </c>
      <c r="D240" s="17">
        <f t="shared" si="15"/>
        <v>134.33283689710444</v>
      </c>
      <c r="E240" s="17">
        <f t="shared" si="14"/>
        <v>147.76612058681488</v>
      </c>
      <c r="F240" s="2">
        <v>135.2724</v>
      </c>
      <c r="G240" s="2" t="str">
        <f t="shared" si="12"/>
        <v>Pass</v>
      </c>
      <c r="Y240" s="2">
        <v>225</v>
      </c>
      <c r="Z240" s="2">
        <v>0.28389999999999999</v>
      </c>
      <c r="AA240" s="2">
        <v>0.29659999999999997</v>
      </c>
      <c r="AB240" s="2">
        <v>138.434</v>
      </c>
    </row>
    <row r="241" spans="2:28" x14ac:dyDescent="0.4">
      <c r="B241" s="11">
        <v>224</v>
      </c>
      <c r="C241" s="16">
        <f t="shared" si="13"/>
        <v>122.31266232164589</v>
      </c>
      <c r="D241" s="17">
        <f t="shared" si="15"/>
        <v>135.90295813516209</v>
      </c>
      <c r="E241" s="17">
        <f t="shared" si="14"/>
        <v>149.4932539486783</v>
      </c>
      <c r="F241" s="2">
        <v>137.08690000000001</v>
      </c>
      <c r="G241" s="2" t="str">
        <f t="shared" si="12"/>
        <v>Pass</v>
      </c>
      <c r="Y241" s="2">
        <v>226</v>
      </c>
      <c r="Z241" s="2">
        <v>0.28410000000000002</v>
      </c>
      <c r="AA241" s="2">
        <v>0.29680000000000001</v>
      </c>
      <c r="AB241" s="2">
        <v>140.2253</v>
      </c>
    </row>
    <row r="242" spans="2:28" x14ac:dyDescent="0.4">
      <c r="B242" s="11">
        <v>225</v>
      </c>
      <c r="C242" s="16">
        <f t="shared" si="13"/>
        <v>123.7358902111383</v>
      </c>
      <c r="D242" s="17">
        <f t="shared" si="15"/>
        <v>137.48432245682034</v>
      </c>
      <c r="E242" s="17">
        <f t="shared" si="14"/>
        <v>151.23275470250238</v>
      </c>
      <c r="F242" s="2">
        <v>138.434</v>
      </c>
      <c r="G242" s="2" t="str">
        <f t="shared" si="12"/>
        <v>Pass</v>
      </c>
      <c r="Y242" s="2">
        <v>227</v>
      </c>
      <c r="Z242" s="2">
        <v>0.28289999999999998</v>
      </c>
      <c r="AA242" s="2">
        <v>0.29559999999999997</v>
      </c>
      <c r="AB242" s="2">
        <v>141.22130000000001</v>
      </c>
    </row>
    <row r="243" spans="2:28" x14ac:dyDescent="0.4">
      <c r="B243" s="11">
        <v>226</v>
      </c>
      <c r="C243" s="16">
        <f t="shared" si="13"/>
        <v>125.16926392633711</v>
      </c>
      <c r="D243" s="17">
        <f t="shared" si="15"/>
        <v>139.07695991815234</v>
      </c>
      <c r="E243" s="17">
        <f t="shared" si="14"/>
        <v>152.98465590996759</v>
      </c>
      <c r="F243" s="2">
        <v>140.2253</v>
      </c>
      <c r="G243" s="2" t="str">
        <f t="shared" si="12"/>
        <v>Pass</v>
      </c>
      <c r="Y243" s="2">
        <v>228</v>
      </c>
      <c r="Z243" s="2">
        <v>0.28299999999999997</v>
      </c>
      <c r="AA243" s="2">
        <v>0.29570000000000002</v>
      </c>
      <c r="AB243" s="2">
        <v>142.95400000000001</v>
      </c>
    </row>
    <row r="244" spans="2:28" x14ac:dyDescent="0.4">
      <c r="B244" s="11">
        <v>227</v>
      </c>
      <c r="C244" s="16">
        <f t="shared" si="13"/>
        <v>126.61281046971239</v>
      </c>
      <c r="D244" s="17">
        <f t="shared" si="15"/>
        <v>140.68090052190266</v>
      </c>
      <c r="E244" s="17">
        <f t="shared" si="14"/>
        <v>154.74899057409291</v>
      </c>
      <c r="F244" s="2">
        <v>141.22130000000001</v>
      </c>
      <c r="G244" s="2" t="str">
        <f t="shared" si="12"/>
        <v>Pass</v>
      </c>
      <c r="Y244" s="2">
        <v>229</v>
      </c>
      <c r="Z244" s="2">
        <v>0.28310000000000002</v>
      </c>
      <c r="AA244" s="2">
        <v>0.29580000000000001</v>
      </c>
      <c r="AB244" s="2">
        <v>144.3477</v>
      </c>
    </row>
    <row r="245" spans="2:28" x14ac:dyDescent="0.4">
      <c r="B245" s="11">
        <v>228</v>
      </c>
      <c r="C245" s="16">
        <f t="shared" si="13"/>
        <v>128.06655679603537</v>
      </c>
      <c r="D245" s="17">
        <f t="shared" si="15"/>
        <v>142.29617421781708</v>
      </c>
      <c r="E245" s="17">
        <f t="shared" si="14"/>
        <v>156.52579163959879</v>
      </c>
      <c r="F245" s="2">
        <v>142.95400000000001</v>
      </c>
      <c r="G245" s="2" t="str">
        <f t="shared" si="12"/>
        <v>Pass</v>
      </c>
      <c r="Y245" s="2">
        <v>230</v>
      </c>
      <c r="Z245" s="2">
        <v>0.28339999999999999</v>
      </c>
      <c r="AA245" s="2">
        <v>0.29630000000000001</v>
      </c>
      <c r="AB245" s="2">
        <v>146.1858</v>
      </c>
    </row>
    <row r="246" spans="2:28" x14ac:dyDescent="0.4">
      <c r="B246" s="11">
        <v>229</v>
      </c>
      <c r="C246" s="16">
        <f t="shared" si="13"/>
        <v>129.53052981267203</v>
      </c>
      <c r="D246" s="17">
        <f t="shared" si="15"/>
        <v>143.92281090296893</v>
      </c>
      <c r="E246" s="17">
        <f t="shared" si="14"/>
        <v>158.31509199326584</v>
      </c>
      <c r="F246" s="2">
        <v>144.3477</v>
      </c>
      <c r="G246" s="2" t="str">
        <f t="shared" si="12"/>
        <v>Pass</v>
      </c>
      <c r="Y246" s="2">
        <v>231</v>
      </c>
      <c r="Z246" s="2">
        <v>0.28360000000000002</v>
      </c>
      <c r="AA246" s="2">
        <v>0.29659999999999997</v>
      </c>
      <c r="AB246" s="2">
        <v>147.54599999999999</v>
      </c>
    </row>
    <row r="247" spans="2:28" x14ac:dyDescent="0.4">
      <c r="B247" s="11">
        <v>230</v>
      </c>
      <c r="C247" s="16">
        <f t="shared" si="13"/>
        <v>131.00475637987336</v>
      </c>
      <c r="D247" s="17">
        <f t="shared" si="15"/>
        <v>145.5608404220815</v>
      </c>
      <c r="E247" s="17">
        <f t="shared" si="14"/>
        <v>160.11692446428964</v>
      </c>
      <c r="F247" s="2">
        <v>146.1858</v>
      </c>
      <c r="G247" s="2" t="str">
        <f t="shared" si="12"/>
        <v>Pass</v>
      </c>
      <c r="Y247" s="2">
        <v>232</v>
      </c>
      <c r="Z247" s="2">
        <v>0.28360000000000002</v>
      </c>
      <c r="AA247" s="2">
        <v>0.29659999999999997</v>
      </c>
      <c r="AB247" s="2">
        <v>149.44049999999999</v>
      </c>
    </row>
    <row r="248" spans="2:28" x14ac:dyDescent="0.4">
      <c r="B248" s="11">
        <v>231</v>
      </c>
      <c r="C248" s="16">
        <f t="shared" si="13"/>
        <v>132.48926331106307</v>
      </c>
      <c r="D248" s="17">
        <f t="shared" si="15"/>
        <v>147.21029256784786</v>
      </c>
      <c r="E248" s="17">
        <f t="shared" si="14"/>
        <v>161.93132182463265</v>
      </c>
      <c r="F248" s="2">
        <v>147.54599999999999</v>
      </c>
      <c r="G248" s="2" t="str">
        <f t="shared" si="12"/>
        <v>Pass</v>
      </c>
      <c r="Y248" s="2">
        <v>233</v>
      </c>
      <c r="Z248" s="2">
        <v>0.28389999999999999</v>
      </c>
      <c r="AA248" s="2">
        <v>0.29759999999999998</v>
      </c>
      <c r="AB248" s="2">
        <v>152.22980000000001</v>
      </c>
    </row>
    <row r="249" spans="2:28" x14ac:dyDescent="0.4">
      <c r="B249" s="11">
        <v>232</v>
      </c>
      <c r="C249" s="16">
        <f t="shared" si="13"/>
        <v>133.9840773731222</v>
      </c>
      <c r="D249" s="17">
        <f t="shared" si="15"/>
        <v>148.87119708124689</v>
      </c>
      <c r="E249" s="17">
        <f t="shared" si="14"/>
        <v>163.75831678937158</v>
      </c>
      <c r="F249" s="2">
        <v>149.44049999999999</v>
      </c>
      <c r="G249" s="2" t="str">
        <f t="shared" si="12"/>
        <v>Pass</v>
      </c>
      <c r="Y249" s="2">
        <v>234</v>
      </c>
      <c r="Z249" s="2">
        <v>0.28360000000000002</v>
      </c>
      <c r="AA249" s="2">
        <v>0.2969</v>
      </c>
      <c r="AB249" s="2">
        <v>153.62379999999999</v>
      </c>
    </row>
    <row r="250" spans="2:28" x14ac:dyDescent="0.4">
      <c r="B250" s="11">
        <v>233</v>
      </c>
      <c r="C250" s="16">
        <f t="shared" si="13"/>
        <v>135.48922528667035</v>
      </c>
      <c r="D250" s="17">
        <f t="shared" si="15"/>
        <v>150.54358365185595</v>
      </c>
      <c r="E250" s="17">
        <f t="shared" si="14"/>
        <v>165.59794201704156</v>
      </c>
      <c r="F250" s="2">
        <v>152.22980000000001</v>
      </c>
      <c r="G250" s="2" t="str">
        <f t="shared" si="12"/>
        <v>Pass</v>
      </c>
      <c r="Y250" s="2">
        <v>235</v>
      </c>
      <c r="Z250" s="2">
        <v>0.28360000000000002</v>
      </c>
      <c r="AA250" s="2">
        <v>0.29699999999999999</v>
      </c>
      <c r="AB250" s="2">
        <v>155.51679999999999</v>
      </c>
    </row>
    <row r="251" spans="2:28" x14ac:dyDescent="0.4">
      <c r="B251" s="11">
        <v>234</v>
      </c>
      <c r="C251" s="16">
        <f t="shared" si="13"/>
        <v>137.00473372634454</v>
      </c>
      <c r="D251" s="17">
        <f t="shared" si="15"/>
        <v>152.22748191816061</v>
      </c>
      <c r="E251" s="17">
        <f t="shared" si="14"/>
        <v>167.45023010997667</v>
      </c>
      <c r="F251" s="2">
        <v>153.62379999999999</v>
      </c>
      <c r="G251" s="2" t="str">
        <f t="shared" si="12"/>
        <v>Pass</v>
      </c>
      <c r="Y251" s="2">
        <v>236</v>
      </c>
      <c r="Z251" s="2">
        <v>0.28289999999999998</v>
      </c>
      <c r="AA251" s="2">
        <v>0.29659999999999997</v>
      </c>
      <c r="AB251" s="2">
        <v>156.47749999999999</v>
      </c>
    </row>
    <row r="252" spans="2:28" x14ac:dyDescent="0.4">
      <c r="B252" s="11">
        <v>235</v>
      </c>
      <c r="C252" s="16">
        <f t="shared" si="13"/>
        <v>138.53062932107491</v>
      </c>
      <c r="D252" s="17">
        <f t="shared" si="15"/>
        <v>153.92292146786102</v>
      </c>
      <c r="E252" s="17">
        <f t="shared" si="14"/>
        <v>169.31521361464712</v>
      </c>
      <c r="F252" s="2">
        <v>155.51679999999999</v>
      </c>
      <c r="G252" s="2" t="str">
        <f t="shared" si="12"/>
        <v>Pass</v>
      </c>
      <c r="Y252" s="2">
        <v>237</v>
      </c>
      <c r="Z252" s="2">
        <v>0.28299999999999997</v>
      </c>
      <c r="AA252" s="2">
        <v>0.29670000000000002</v>
      </c>
      <c r="AB252" s="2">
        <v>158.3914</v>
      </c>
    </row>
    <row r="253" spans="2:28" x14ac:dyDescent="0.4">
      <c r="B253" s="11">
        <v>236</v>
      </c>
      <c r="C253" s="16">
        <f t="shared" si="13"/>
        <v>140.06693865435764</v>
      </c>
      <c r="D253" s="17">
        <f t="shared" si="15"/>
        <v>155.62993183817517</v>
      </c>
      <c r="E253" s="17">
        <f t="shared" si="14"/>
        <v>171.19292502199269</v>
      </c>
      <c r="F253" s="2">
        <v>156.47749999999999</v>
      </c>
      <c r="G253" s="2" t="str">
        <f t="shared" si="12"/>
        <v>Pass</v>
      </c>
      <c r="Y253" s="2">
        <v>238</v>
      </c>
      <c r="Z253" s="2">
        <v>0.28289999999999998</v>
      </c>
      <c r="AA253" s="2">
        <v>0.2964</v>
      </c>
      <c r="AB253" s="2">
        <v>159.8424</v>
      </c>
    </row>
    <row r="254" spans="2:28" x14ac:dyDescent="0.4">
      <c r="B254" s="11">
        <v>237</v>
      </c>
      <c r="C254" s="16">
        <f t="shared" si="13"/>
        <v>141.61368826452519</v>
      </c>
      <c r="D254" s="17">
        <f t="shared" si="15"/>
        <v>157.3485425161391</v>
      </c>
      <c r="E254" s="17">
        <f t="shared" si="14"/>
        <v>173.08339676775302</v>
      </c>
      <c r="F254" s="2">
        <v>158.3914</v>
      </c>
      <c r="G254" s="2" t="str">
        <f t="shared" si="12"/>
        <v>Pass</v>
      </c>
      <c r="Y254" s="2">
        <v>239</v>
      </c>
      <c r="Z254" s="2">
        <v>0.28289999999999998</v>
      </c>
      <c r="AA254" s="2">
        <v>0.29630000000000001</v>
      </c>
      <c r="AB254" s="2">
        <v>161.8152</v>
      </c>
    </row>
    <row r="255" spans="2:28" x14ac:dyDescent="0.4">
      <c r="B255" s="11">
        <v>238</v>
      </c>
      <c r="C255" s="16">
        <f t="shared" si="13"/>
        <v>143.17090464501356</v>
      </c>
      <c r="D255" s="17">
        <f t="shared" si="15"/>
        <v>159.07878293890397</v>
      </c>
      <c r="E255" s="17">
        <f t="shared" si="14"/>
        <v>174.98666123279438</v>
      </c>
      <c r="F255" s="2">
        <v>159.8424</v>
      </c>
      <c r="G255" s="2" t="str">
        <f t="shared" si="12"/>
        <v>Pass</v>
      </c>
      <c r="Y255" s="2">
        <v>240</v>
      </c>
      <c r="Z255" s="2">
        <v>0.28270000000000001</v>
      </c>
      <c r="AA255" s="2">
        <v>0.29580000000000001</v>
      </c>
      <c r="AB255" s="2">
        <v>163.27180000000001</v>
      </c>
    </row>
    <row r="256" spans="2:28" x14ac:dyDescent="0.4">
      <c r="B256" s="11">
        <v>239</v>
      </c>
      <c r="C256" s="16">
        <f t="shared" si="13"/>
        <v>144.73861424462729</v>
      </c>
      <c r="D256" s="17">
        <f t="shared" si="15"/>
        <v>160.82068249403031</v>
      </c>
      <c r="E256" s="17">
        <f t="shared" si="14"/>
        <v>176.90275074343333</v>
      </c>
      <c r="F256" s="2">
        <v>161.8152</v>
      </c>
      <c r="G256" s="2" t="str">
        <f t="shared" si="12"/>
        <v>Pass</v>
      </c>
      <c r="Y256" s="2">
        <v>241</v>
      </c>
      <c r="Z256" s="2">
        <v>0.2828</v>
      </c>
      <c r="AA256" s="2">
        <v>0.2959</v>
      </c>
      <c r="AB256" s="2">
        <v>165.21270000000001</v>
      </c>
    </row>
    <row r="257" spans="2:28" x14ac:dyDescent="0.4">
      <c r="B257" s="11">
        <v>240</v>
      </c>
      <c r="C257" s="16">
        <f t="shared" si="13"/>
        <v>146.31684346780122</v>
      </c>
      <c r="D257" s="17">
        <f t="shared" si="15"/>
        <v>162.57427051977913</v>
      </c>
      <c r="E257" s="17">
        <f t="shared" si="14"/>
        <v>178.83169757175705</v>
      </c>
      <c r="F257" s="2">
        <v>163.27180000000001</v>
      </c>
      <c r="G257" s="2" t="str">
        <f t="shared" si="12"/>
        <v>Pass</v>
      </c>
      <c r="Y257" s="2">
        <v>242</v>
      </c>
      <c r="Z257" s="2">
        <v>0.28289999999999998</v>
      </c>
      <c r="AA257" s="2">
        <v>0.29599999999999999</v>
      </c>
      <c r="AB257" s="2">
        <v>166.66210000000001</v>
      </c>
    </row>
    <row r="258" spans="2:28" x14ac:dyDescent="0.4">
      <c r="B258" s="11">
        <v>241</v>
      </c>
      <c r="C258" s="16">
        <f t="shared" si="13"/>
        <v>147.90561867486011</v>
      </c>
      <c r="D258" s="17">
        <f t="shared" si="15"/>
        <v>164.33957630540013</v>
      </c>
      <c r="E258" s="17">
        <f t="shared" si="14"/>
        <v>180.77353393594015</v>
      </c>
      <c r="F258" s="2">
        <v>165.21270000000001</v>
      </c>
      <c r="G258" s="2" t="str">
        <f t="shared" si="12"/>
        <v>Pass</v>
      </c>
      <c r="Y258" s="2">
        <v>243</v>
      </c>
      <c r="Z258" s="2">
        <v>0.28199999999999997</v>
      </c>
      <c r="AA258" s="2">
        <v>0.29470000000000002</v>
      </c>
      <c r="AB258" s="2">
        <v>168.6908</v>
      </c>
    </row>
    <row r="259" spans="2:28" x14ac:dyDescent="0.4">
      <c r="B259" s="11">
        <v>242</v>
      </c>
      <c r="C259" s="16">
        <f t="shared" si="13"/>
        <v>149.50496618227541</v>
      </c>
      <c r="D259" s="17">
        <f t="shared" si="15"/>
        <v>166.11662909141711</v>
      </c>
      <c r="E259" s="17">
        <f t="shared" si="14"/>
        <v>182.72829200055881</v>
      </c>
      <c r="F259" s="2">
        <v>166.66210000000001</v>
      </c>
      <c r="G259" s="2" t="str">
        <f t="shared" si="12"/>
        <v>Pass</v>
      </c>
      <c r="Y259" s="2">
        <v>244</v>
      </c>
      <c r="Z259" s="2">
        <v>0.28160000000000002</v>
      </c>
      <c r="AA259" s="2">
        <v>0.29420000000000002</v>
      </c>
      <c r="AB259" s="2">
        <v>170.16130000000001</v>
      </c>
    </row>
    <row r="260" spans="2:28" x14ac:dyDescent="0.4">
      <c r="B260" s="11">
        <v>243</v>
      </c>
      <c r="C260" s="16">
        <f t="shared" si="13"/>
        <v>151.11491226291957</v>
      </c>
      <c r="D260" s="17">
        <f t="shared" si="15"/>
        <v>167.90545806991062</v>
      </c>
      <c r="E260" s="17">
        <f t="shared" si="14"/>
        <v>184.69600387690167</v>
      </c>
      <c r="F260" s="2">
        <v>168.6908</v>
      </c>
      <c r="G260" s="2" t="str">
        <f t="shared" si="12"/>
        <v>Pass</v>
      </c>
      <c r="Y260" s="2">
        <v>245</v>
      </c>
      <c r="Z260" s="2">
        <v>0.28179999999999999</v>
      </c>
      <c r="AA260" s="2">
        <v>0.2944</v>
      </c>
      <c r="AB260" s="2">
        <v>171.60669999999999</v>
      </c>
    </row>
    <row r="261" spans="2:28" x14ac:dyDescent="0.4">
      <c r="B261" s="11">
        <v>244</v>
      </c>
      <c r="C261" s="16">
        <f t="shared" si="13"/>
        <v>152.7354831463177</v>
      </c>
      <c r="D261" s="17">
        <f t="shared" si="15"/>
        <v>169.70609238479744</v>
      </c>
      <c r="E261" s="17">
        <f t="shared" si="14"/>
        <v>186.67670162327718</v>
      </c>
      <c r="F261" s="2">
        <v>170.16130000000001</v>
      </c>
      <c r="G261" s="2" t="str">
        <f t="shared" si="12"/>
        <v>Pass</v>
      </c>
      <c r="Y261" s="2">
        <v>246</v>
      </c>
      <c r="Z261" s="2">
        <v>0.28170000000000001</v>
      </c>
      <c r="AA261" s="2">
        <v>0.29420000000000002</v>
      </c>
      <c r="AB261" s="2">
        <v>173.49440000000001</v>
      </c>
    </row>
    <row r="262" spans="2:28" x14ac:dyDescent="0.4">
      <c r="B262" s="11">
        <v>245</v>
      </c>
      <c r="C262" s="16">
        <f t="shared" si="13"/>
        <v>154.36670501889716</v>
      </c>
      <c r="D262" s="17">
        <f t="shared" si="15"/>
        <v>171.51856113210795</v>
      </c>
      <c r="E262" s="17">
        <f t="shared" si="14"/>
        <v>188.67041724531873</v>
      </c>
      <c r="F262" s="2">
        <v>171.60669999999999</v>
      </c>
      <c r="G262" s="2" t="str">
        <f t="shared" si="12"/>
        <v>Pass</v>
      </c>
      <c r="Y262" s="2">
        <v>247</v>
      </c>
      <c r="Z262" s="2">
        <v>0.28189999999999998</v>
      </c>
      <c r="AA262" s="2">
        <v>0.2944</v>
      </c>
      <c r="AB262" s="2">
        <v>174.93430000000001</v>
      </c>
    </row>
    <row r="263" spans="2:28" x14ac:dyDescent="0.4">
      <c r="B263" s="11">
        <v>246</v>
      </c>
      <c r="C263" s="16">
        <f t="shared" si="13"/>
        <v>156.00860402423388</v>
      </c>
      <c r="D263" s="17">
        <f t="shared" si="15"/>
        <v>173.34289336025986</v>
      </c>
      <c r="E263" s="17">
        <f t="shared" si="14"/>
        <v>190.67718269628585</v>
      </c>
      <c r="F263" s="2">
        <v>173.49440000000001</v>
      </c>
      <c r="G263" s="2" t="str">
        <f t="shared" si="12"/>
        <v>Pass</v>
      </c>
      <c r="Y263" s="2">
        <v>248</v>
      </c>
      <c r="Z263" s="2">
        <v>0.28220000000000001</v>
      </c>
      <c r="AA263" s="2">
        <v>0.29480000000000001</v>
      </c>
      <c r="AB263" s="2">
        <v>176.9385</v>
      </c>
    </row>
    <row r="264" spans="2:28" x14ac:dyDescent="0.4">
      <c r="B264" s="11">
        <v>247</v>
      </c>
      <c r="C264" s="16">
        <f t="shared" si="13"/>
        <v>157.66120626329732</v>
      </c>
      <c r="D264" s="17">
        <f t="shared" si="15"/>
        <v>175.17911807033036</v>
      </c>
      <c r="E264" s="17">
        <f t="shared" si="14"/>
        <v>192.69702987736341</v>
      </c>
      <c r="F264" s="2">
        <v>174.93430000000001</v>
      </c>
      <c r="G264" s="2" t="str">
        <f t="shared" si="12"/>
        <v>Pass</v>
      </c>
      <c r="Y264" s="2">
        <v>249</v>
      </c>
      <c r="Z264" s="2">
        <v>0.28170000000000001</v>
      </c>
      <c r="AA264" s="2">
        <v>0.29420000000000002</v>
      </c>
      <c r="AB264" s="2">
        <v>178.38310000000001</v>
      </c>
    </row>
    <row r="265" spans="2:28" x14ac:dyDescent="0.4">
      <c r="B265" s="11">
        <v>248</v>
      </c>
      <c r="C265" s="16">
        <f t="shared" si="13"/>
        <v>159.32453779469219</v>
      </c>
      <c r="D265" s="17">
        <f t="shared" si="15"/>
        <v>177.02726421632465</v>
      </c>
      <c r="E265" s="17">
        <f t="shared" si="14"/>
        <v>194.72999063795712</v>
      </c>
      <c r="F265" s="2">
        <v>176.9385</v>
      </c>
      <c r="G265" s="2" t="str">
        <f t="shared" si="12"/>
        <v>Pass</v>
      </c>
      <c r="Y265" s="2">
        <v>250</v>
      </c>
      <c r="Z265" s="2">
        <v>0.28199999999999997</v>
      </c>
      <c r="AA265" s="2">
        <v>0.29459999999999997</v>
      </c>
      <c r="AB265" s="2">
        <v>180.32</v>
      </c>
    </row>
    <row r="266" spans="2:28" x14ac:dyDescent="0.4">
      <c r="B266" s="11">
        <v>249</v>
      </c>
      <c r="C266" s="16">
        <f t="shared" si="13"/>
        <v>160.99862463489831</v>
      </c>
      <c r="D266" s="17">
        <f t="shared" si="15"/>
        <v>178.88736070544257</v>
      </c>
      <c r="E266" s="17">
        <f t="shared" si="14"/>
        <v>196.77609677598684</v>
      </c>
      <c r="F266" s="2">
        <v>178.38310000000001</v>
      </c>
      <c r="G266" s="2" t="str">
        <f t="shared" si="12"/>
        <v>Pass</v>
      </c>
      <c r="Y266" s="2">
        <v>251</v>
      </c>
      <c r="Z266" s="2">
        <v>0.2823</v>
      </c>
      <c r="AA266" s="2">
        <v>0.29559999999999997</v>
      </c>
      <c r="AB266" s="2">
        <v>183.33969999999999</v>
      </c>
    </row>
    <row r="267" spans="2:28" x14ac:dyDescent="0.4">
      <c r="B267" s="11">
        <v>250</v>
      </c>
      <c r="C267" s="16">
        <f t="shared" si="13"/>
        <v>162.68349275850784</v>
      </c>
      <c r="D267" s="17">
        <f t="shared" si="15"/>
        <v>180.75943639834205</v>
      </c>
      <c r="E267" s="17">
        <f t="shared" si="14"/>
        <v>198.83538003817625</v>
      </c>
      <c r="F267" s="2">
        <v>180.32</v>
      </c>
      <c r="G267" s="2" t="str">
        <f t="shared" si="12"/>
        <v>Pass</v>
      </c>
      <c r="Y267" s="2">
        <v>252</v>
      </c>
      <c r="Z267" s="2">
        <v>0.28199999999999997</v>
      </c>
      <c r="AA267" s="2">
        <v>0.29580000000000001</v>
      </c>
      <c r="AB267" s="2">
        <v>184.8854</v>
      </c>
    </row>
    <row r="268" spans="2:28" x14ac:dyDescent="0.4">
      <c r="B268" s="11">
        <v>251</v>
      </c>
      <c r="C268" s="16">
        <f t="shared" si="13"/>
        <v>164.37916809846053</v>
      </c>
      <c r="D268" s="17">
        <f t="shared" si="15"/>
        <v>182.64352010940058</v>
      </c>
      <c r="E268" s="17">
        <f t="shared" si="14"/>
        <v>200.90787212034064</v>
      </c>
      <c r="F268" s="2">
        <v>183.33969999999999</v>
      </c>
      <c r="G268" s="2" t="str">
        <f t="shared" si="12"/>
        <v>Pass</v>
      </c>
      <c r="Y268" s="2">
        <v>253</v>
      </c>
      <c r="Z268" s="2">
        <v>0.28189999999999998</v>
      </c>
      <c r="AA268" s="2">
        <v>0.29549999999999998</v>
      </c>
      <c r="AB268" s="2">
        <v>186.38550000000001</v>
      </c>
    </row>
    <row r="269" spans="2:28" x14ac:dyDescent="0.4">
      <c r="B269" s="11">
        <v>252</v>
      </c>
      <c r="C269" s="16">
        <f t="shared" si="13"/>
        <v>166.08567654627643</v>
      </c>
      <c r="D269" s="17">
        <f t="shared" si="15"/>
        <v>184.53964060697382</v>
      </c>
      <c r="E269" s="17">
        <f t="shared" si="14"/>
        <v>202.99360466767121</v>
      </c>
      <c r="F269" s="2">
        <v>184.8854</v>
      </c>
      <c r="G269" s="2" t="str">
        <f t="shared" si="12"/>
        <v>Pass</v>
      </c>
      <c r="Y269" s="2">
        <v>254</v>
      </c>
      <c r="Z269" s="2">
        <v>0.2823</v>
      </c>
      <c r="AA269" s="2">
        <v>0.29599999999999999</v>
      </c>
      <c r="AB269" s="2">
        <v>188.36250000000001</v>
      </c>
    </row>
    <row r="270" spans="2:28" x14ac:dyDescent="0.4">
      <c r="B270" s="11">
        <v>253</v>
      </c>
      <c r="C270" s="16">
        <f t="shared" si="13"/>
        <v>167.80304395228671</v>
      </c>
      <c r="D270" s="17">
        <f t="shared" si="15"/>
        <v>186.4478266136519</v>
      </c>
      <c r="E270" s="17">
        <f t="shared" si="14"/>
        <v>205.09260927501708</v>
      </c>
      <c r="F270" s="2">
        <v>186.38550000000001</v>
      </c>
      <c r="G270" s="2" t="str">
        <f t="shared" si="12"/>
        <v>Pass</v>
      </c>
      <c r="Y270" s="2">
        <v>255</v>
      </c>
      <c r="Z270" s="2">
        <v>0.2828</v>
      </c>
      <c r="AA270" s="2">
        <v>0.29699999999999999</v>
      </c>
      <c r="AB270" s="2">
        <v>189.8304</v>
      </c>
    </row>
    <row r="271" spans="2:28" x14ac:dyDescent="0.4">
      <c r="B271" s="11">
        <v>254</v>
      </c>
      <c r="C271" s="16">
        <f t="shared" si="13"/>
        <v>169.53129612586176</v>
      </c>
      <c r="D271" s="17">
        <f t="shared" si="15"/>
        <v>188.36810680651305</v>
      </c>
      <c r="E271" s="17">
        <f t="shared" si="14"/>
        <v>207.20491748716435</v>
      </c>
      <c r="F271" s="2">
        <v>188.36250000000001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47</v>
      </c>
    </row>
    <row r="272" spans="2:28" x14ac:dyDescent="0.4">
      <c r="B272" s="11">
        <v>255</v>
      </c>
      <c r="C272" s="16">
        <f t="shared" si="13"/>
        <v>170.84736000000001</v>
      </c>
      <c r="D272" s="18">
        <f>C12</f>
        <v>189.8304</v>
      </c>
      <c r="E272" s="17">
        <f t="shared" si="14"/>
        <v>208.81343999999999</v>
      </c>
      <c r="F272" s="2">
        <v>189.8304</v>
      </c>
      <c r="G272" s="2" t="str">
        <f t="shared" si="12"/>
        <v>Pass</v>
      </c>
    </row>
  </sheetData>
  <protectedRanges>
    <protectedRange password="EBF1" sqref="C2:D2 C4:D4" name="範圍1"/>
    <protectedRange password="EBF1" sqref="C11:C13" name="範圍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21" priority="1" operator="equal">
      <formula>"Fail"</formula>
    </cfRule>
    <cfRule type="cellIs" dxfId="20" priority="2" operator="equal">
      <formula>"Pass"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198C-75D3-4BE9-9337-ED16064E73E7}">
  <dimension ref="B2:AB272"/>
  <sheetViews>
    <sheetView zoomScale="55" zoomScaleNormal="55" workbookViewId="0">
      <selection activeCell="AD36" sqref="AD36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45736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0.27329999999999999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233.2996</v>
      </c>
      <c r="D12" s="4" t="s">
        <v>9</v>
      </c>
      <c r="E12" s="4"/>
      <c r="Y12" s="9" t="s">
        <v>29</v>
      </c>
    </row>
    <row r="13" spans="2:28" x14ac:dyDescent="0.4">
      <c r="B13" s="1" t="s">
        <v>11</v>
      </c>
      <c r="C13" s="8">
        <v>1.8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0.27439999999999998</v>
      </c>
      <c r="AA15" s="2">
        <v>0.28720000000000001</v>
      </c>
      <c r="AB15" s="2">
        <v>0.27329999999999999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0.27779999999999999</v>
      </c>
      <c r="AA16" s="2">
        <v>0.28549999999999998</v>
      </c>
      <c r="AB16" s="2">
        <v>0.28839999999999999</v>
      </c>
    </row>
    <row r="17" spans="2:28" ht="17.5" thickTop="1" x14ac:dyDescent="0.4">
      <c r="B17" s="11">
        <v>0</v>
      </c>
      <c r="C17" s="16">
        <f>D17-D17*(C$14/100)</f>
        <v>9.4696846300447121E-4</v>
      </c>
      <c r="D17" s="17">
        <f>D$272*((B17+F$17)/B$272)^C$13</f>
        <v>1.0521871811160792E-3</v>
      </c>
      <c r="E17" s="17">
        <f>D17+D17*(C$14/100)</f>
        <v>1.1574058992276871E-3</v>
      </c>
      <c r="F17" s="2">
        <v>0.27329999999999999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0.27679999999999999</v>
      </c>
      <c r="AA17" s="2">
        <v>0.28420000000000001</v>
      </c>
      <c r="AB17" s="2">
        <v>0.30509999999999998</v>
      </c>
    </row>
    <row r="18" spans="2:28" x14ac:dyDescent="0.4">
      <c r="B18" s="11">
        <v>1</v>
      </c>
      <c r="C18" s="16">
        <f t="shared" ref="C18:C81" si="1">D18-D18*(C$14/100)</f>
        <v>1.5109827600791515E-2</v>
      </c>
      <c r="D18" s="17">
        <f>D$272*((B18+F$17)/B$272)^C$13</f>
        <v>1.6788697334212795E-2</v>
      </c>
      <c r="E18" s="17">
        <f t="shared" ref="E18:E81" si="2">D18+D18*(C$14/100)</f>
        <v>1.8467567067634073E-2</v>
      </c>
      <c r="F18" s="2">
        <v>0.28839999999999999</v>
      </c>
      <c r="G18" s="2" t="str">
        <f t="shared" si="0"/>
        <v>Fail</v>
      </c>
      <c r="Y18" s="2">
        <v>3</v>
      </c>
      <c r="Z18" s="2">
        <v>0.27679999999999999</v>
      </c>
      <c r="AA18" s="2">
        <v>0.2843</v>
      </c>
      <c r="AB18" s="2">
        <v>0.3196</v>
      </c>
    </row>
    <row r="19" spans="2:28" x14ac:dyDescent="0.4">
      <c r="B19" s="11">
        <v>2</v>
      </c>
      <c r="C19" s="16">
        <f t="shared" si="1"/>
        <v>4.2891015843979911E-2</v>
      </c>
      <c r="D19" s="17">
        <f t="shared" ref="D19:D82" si="3">D$272*((B19+F$17)/B$272)^C$13</f>
        <v>4.7656684271088788E-2</v>
      </c>
      <c r="E19" s="17">
        <f t="shared" si="2"/>
        <v>5.2422352698197665E-2</v>
      </c>
      <c r="F19" s="2">
        <v>0.30509999999999998</v>
      </c>
      <c r="G19" s="2" t="str">
        <f t="shared" si="0"/>
        <v>Fail</v>
      </c>
      <c r="Y19" s="2">
        <v>4</v>
      </c>
      <c r="Z19" s="2">
        <v>0.27589999999999998</v>
      </c>
      <c r="AA19" s="2">
        <v>0.28239999999999998</v>
      </c>
      <c r="AB19" s="2">
        <v>0.34189999999999998</v>
      </c>
    </row>
    <row r="20" spans="2:28" x14ac:dyDescent="0.4">
      <c r="B20" s="11">
        <v>3</v>
      </c>
      <c r="C20" s="16">
        <f t="shared" si="1"/>
        <v>8.2672036839827684E-2</v>
      </c>
      <c r="D20" s="17">
        <f t="shared" si="3"/>
        <v>9.185781871091965E-2</v>
      </c>
      <c r="E20" s="17">
        <f t="shared" si="2"/>
        <v>0.10104360058201162</v>
      </c>
      <c r="F20" s="2">
        <v>0.3196</v>
      </c>
      <c r="G20" s="2" t="str">
        <f t="shared" si="0"/>
        <v>Fail</v>
      </c>
      <c r="Y20" s="2">
        <v>5</v>
      </c>
      <c r="Z20" s="2">
        <v>0.28050000000000003</v>
      </c>
      <c r="AA20" s="2">
        <v>0.29730000000000001</v>
      </c>
      <c r="AB20" s="2">
        <v>0.39660000000000001</v>
      </c>
    </row>
    <row r="21" spans="2:28" x14ac:dyDescent="0.4">
      <c r="B21" s="11">
        <v>4</v>
      </c>
      <c r="C21" s="16">
        <f t="shared" si="1"/>
        <v>0.13358517628581387</v>
      </c>
      <c r="D21" s="17">
        <f t="shared" si="3"/>
        <v>0.14842797365090429</v>
      </c>
      <c r="E21" s="17">
        <f t="shared" si="2"/>
        <v>0.16327077101599471</v>
      </c>
      <c r="F21" s="2">
        <v>0.34189999999999998</v>
      </c>
      <c r="G21" s="2" t="str">
        <f t="shared" si="0"/>
        <v>Fail</v>
      </c>
      <c r="Y21" s="2">
        <v>6</v>
      </c>
      <c r="Z21" s="2">
        <v>0.28439999999999999</v>
      </c>
      <c r="AA21" s="2">
        <v>0.29909999999999998</v>
      </c>
      <c r="AB21" s="2">
        <v>0.43740000000000001</v>
      </c>
    </row>
    <row r="22" spans="2:28" x14ac:dyDescent="0.4">
      <c r="B22" s="11">
        <v>5</v>
      </c>
      <c r="C22" s="16">
        <f t="shared" si="1"/>
        <v>0.1950440208634984</v>
      </c>
      <c r="D22" s="17">
        <f t="shared" si="3"/>
        <v>0.21671557873722044</v>
      </c>
      <c r="E22" s="17">
        <f t="shared" si="2"/>
        <v>0.23838713661094249</v>
      </c>
      <c r="F22" s="2">
        <v>0.39660000000000001</v>
      </c>
      <c r="G22" s="2" t="str">
        <f t="shared" si="0"/>
        <v>Fail</v>
      </c>
      <c r="Y22" s="2">
        <v>7</v>
      </c>
      <c r="Z22" s="2">
        <v>0.27889999999999998</v>
      </c>
      <c r="AA22" s="2">
        <v>0.28860000000000002</v>
      </c>
      <c r="AB22" s="2">
        <v>0.47210000000000002</v>
      </c>
    </row>
    <row r="23" spans="2:28" x14ac:dyDescent="0.4">
      <c r="B23" s="11">
        <v>6</v>
      </c>
      <c r="C23" s="16">
        <f t="shared" si="1"/>
        <v>0.26661039663002661</v>
      </c>
      <c r="D23" s="17">
        <f t="shared" si="3"/>
        <v>0.29623377403336293</v>
      </c>
      <c r="E23" s="17">
        <f t="shared" si="2"/>
        <v>0.32585715143669924</v>
      </c>
      <c r="F23" s="2">
        <v>0.43740000000000001</v>
      </c>
      <c r="G23" s="2" t="str">
        <f t="shared" si="0"/>
        <v>Fail</v>
      </c>
      <c r="Y23" s="2">
        <v>8</v>
      </c>
      <c r="Z23" s="2">
        <v>0.28910000000000002</v>
      </c>
      <c r="AA23" s="2">
        <v>0.30719999999999997</v>
      </c>
      <c r="AB23" s="2">
        <v>0.59279999999999999</v>
      </c>
    </row>
    <row r="24" spans="2:28" x14ac:dyDescent="0.4">
      <c r="B24" s="11">
        <v>7</v>
      </c>
      <c r="C24" s="16">
        <f t="shared" si="1"/>
        <v>0.34793721343374473</v>
      </c>
      <c r="D24" s="17">
        <f t="shared" si="3"/>
        <v>0.38659690381527195</v>
      </c>
      <c r="E24" s="17">
        <f t="shared" si="2"/>
        <v>0.42525659419679918</v>
      </c>
      <c r="F24" s="2">
        <v>0.47210000000000002</v>
      </c>
      <c r="G24" s="2" t="str">
        <f t="shared" si="0"/>
        <v>Fail</v>
      </c>
      <c r="Y24" s="2">
        <v>9</v>
      </c>
      <c r="Z24" s="2">
        <v>0.2913</v>
      </c>
      <c r="AA24" s="2">
        <v>0.30919999999999997</v>
      </c>
      <c r="AB24" s="2">
        <v>0.67030000000000001</v>
      </c>
    </row>
    <row r="25" spans="2:28" x14ac:dyDescent="0.4">
      <c r="B25" s="11">
        <v>8</v>
      </c>
      <c r="C25" s="16">
        <f t="shared" si="1"/>
        <v>0.43873872581372914</v>
      </c>
      <c r="D25" s="17">
        <f t="shared" si="3"/>
        <v>0.4874874731263657</v>
      </c>
      <c r="E25" s="17">
        <f t="shared" si="2"/>
        <v>0.53623622043900232</v>
      </c>
      <c r="F25" s="2">
        <v>0.59279999999999999</v>
      </c>
      <c r="G25" s="2" t="str">
        <f t="shared" si="0"/>
        <v>Fail</v>
      </c>
      <c r="Y25" s="2">
        <v>10</v>
      </c>
      <c r="Z25" s="2">
        <v>0.28499999999999998</v>
      </c>
      <c r="AA25" s="2">
        <v>0.30940000000000001</v>
      </c>
      <c r="AB25" s="2">
        <v>0.81110000000000004</v>
      </c>
    </row>
    <row r="26" spans="2:28" x14ac:dyDescent="0.4">
      <c r="B26" s="11">
        <v>9</v>
      </c>
      <c r="C26" s="16">
        <f t="shared" si="1"/>
        <v>0.53877314036350499</v>
      </c>
      <c r="D26" s="17">
        <f t="shared" si="3"/>
        <v>0.59863682262611662</v>
      </c>
      <c r="E26" s="17">
        <f t="shared" si="2"/>
        <v>0.65850050488872824</v>
      </c>
      <c r="F26" s="2">
        <v>0.67030000000000001</v>
      </c>
      <c r="G26" s="2" t="str">
        <f t="shared" si="0"/>
        <v>Fail</v>
      </c>
      <c r="Y26" s="2">
        <v>11</v>
      </c>
      <c r="Z26" s="2">
        <v>0.2954</v>
      </c>
      <c r="AA26" s="2">
        <v>0.31540000000000001</v>
      </c>
      <c r="AB26" s="2">
        <v>0.91539999999999999</v>
      </c>
    </row>
    <row r="27" spans="2:28" x14ac:dyDescent="0.4">
      <c r="B27" s="11">
        <v>10</v>
      </c>
      <c r="C27" s="16">
        <f t="shared" si="1"/>
        <v>0.64783159632626286</v>
      </c>
      <c r="D27" s="17">
        <f t="shared" si="3"/>
        <v>0.71981288480695871</v>
      </c>
      <c r="E27" s="17">
        <f t="shared" si="2"/>
        <v>0.79179417328765456</v>
      </c>
      <c r="F27" s="2">
        <v>0.81110000000000004</v>
      </c>
      <c r="G27" s="2" t="str">
        <f t="shared" si="0"/>
        <v>Fail</v>
      </c>
      <c r="Y27" s="2">
        <v>12</v>
      </c>
      <c r="Z27" s="2">
        <v>0.29099999999999998</v>
      </c>
      <c r="AA27" s="2">
        <v>0.31440000000000001</v>
      </c>
      <c r="AB27" s="2">
        <v>1.0839000000000001</v>
      </c>
    </row>
    <row r="28" spans="2:28" x14ac:dyDescent="0.4">
      <c r="B28" s="11">
        <v>11</v>
      </c>
      <c r="C28" s="16">
        <f t="shared" si="1"/>
        <v>0.76573076242948124</v>
      </c>
      <c r="D28" s="17">
        <f t="shared" si="3"/>
        <v>0.85081195825497913</v>
      </c>
      <c r="E28" s="17">
        <f t="shared" si="2"/>
        <v>0.93589315408047702</v>
      </c>
      <c r="F28" s="2">
        <v>0.91539999999999999</v>
      </c>
      <c r="G28" s="2" t="str">
        <f t="shared" si="0"/>
        <v>Pass</v>
      </c>
      <c r="Y28" s="2">
        <v>13</v>
      </c>
      <c r="Z28" s="2">
        <v>0.29930000000000001</v>
      </c>
      <c r="AA28" s="2">
        <v>0.318</v>
      </c>
      <c r="AB28" s="2">
        <v>1.1842999999999999</v>
      </c>
    </row>
    <row r="29" spans="2:28" x14ac:dyDescent="0.4">
      <c r="B29" s="11">
        <v>12</v>
      </c>
      <c r="C29" s="16">
        <f t="shared" si="1"/>
        <v>0.89230763439126626</v>
      </c>
      <c r="D29" s="17">
        <f t="shared" si="3"/>
        <v>0.99145292710140698</v>
      </c>
      <c r="E29" s="17">
        <f t="shared" si="2"/>
        <v>1.0905982198115476</v>
      </c>
      <c r="F29" s="2">
        <v>1.0839000000000001</v>
      </c>
      <c r="G29" s="2" t="str">
        <f t="shared" si="0"/>
        <v>Pass</v>
      </c>
      <c r="Y29" s="2">
        <v>14</v>
      </c>
      <c r="Z29" s="2">
        <v>0.3029</v>
      </c>
      <c r="AA29" s="2">
        <v>0.32479999999999998</v>
      </c>
      <c r="AB29" s="2">
        <v>1.3471</v>
      </c>
    </row>
    <row r="30" spans="2:28" x14ac:dyDescent="0.4">
      <c r="B30" s="11">
        <v>13</v>
      </c>
      <c r="C30" s="16">
        <f t="shared" si="1"/>
        <v>1.0274157461520255</v>
      </c>
      <c r="D30" s="17">
        <f t="shared" si="3"/>
        <v>1.1415730512800282</v>
      </c>
      <c r="E30" s="17">
        <f t="shared" si="2"/>
        <v>1.2557303564080309</v>
      </c>
      <c r="F30" s="2">
        <v>1.1842999999999999</v>
      </c>
      <c r="G30" s="2" t="str">
        <f t="shared" si="0"/>
        <v>Pass</v>
      </c>
      <c r="Y30" s="2">
        <v>15</v>
      </c>
      <c r="Z30" s="2">
        <v>0.30349999999999999</v>
      </c>
      <c r="AA30" s="2">
        <v>0.3216</v>
      </c>
      <c r="AB30" s="2">
        <v>1.4631000000000001</v>
      </c>
    </row>
    <row r="31" spans="2:28" x14ac:dyDescent="0.4">
      <c r="B31" s="11">
        <v>14</v>
      </c>
      <c r="C31" s="16">
        <f t="shared" si="1"/>
        <v>1.1709223294162259</v>
      </c>
      <c r="D31" s="17">
        <f t="shared" si="3"/>
        <v>1.3010248104624733</v>
      </c>
      <c r="E31" s="17">
        <f t="shared" si="2"/>
        <v>1.4311272915087208</v>
      </c>
      <c r="F31" s="2">
        <v>1.3471</v>
      </c>
      <c r="G31" s="2" t="str">
        <f t="shared" si="0"/>
        <v>Pass</v>
      </c>
      <c r="Y31" s="2">
        <v>16</v>
      </c>
      <c r="Z31" s="2">
        <v>0.2989</v>
      </c>
      <c r="AA31" s="2">
        <v>0.32779999999999998</v>
      </c>
      <c r="AB31" s="2">
        <v>1.6202000000000001</v>
      </c>
    </row>
    <row r="32" spans="2:28" x14ac:dyDescent="0.4">
      <c r="B32" s="11">
        <v>15</v>
      </c>
      <c r="C32" s="16">
        <f t="shared" si="1"/>
        <v>1.3227061322175657</v>
      </c>
      <c r="D32" s="17">
        <f t="shared" si="3"/>
        <v>1.4696734802417397</v>
      </c>
      <c r="E32" s="17">
        <f t="shared" si="2"/>
        <v>1.6166408282659137</v>
      </c>
      <c r="F32" s="2">
        <v>1.4631000000000001</v>
      </c>
      <c r="G32" s="2" t="str">
        <f t="shared" si="0"/>
        <v>Pass</v>
      </c>
      <c r="Y32" s="2">
        <v>17</v>
      </c>
      <c r="Z32" s="2">
        <v>0.30070000000000002</v>
      </c>
      <c r="AA32" s="2">
        <v>0.32269999999999999</v>
      </c>
      <c r="AB32" s="2">
        <v>1.7625999999999999</v>
      </c>
    </row>
    <row r="33" spans="2:28" x14ac:dyDescent="0.4">
      <c r="B33" s="11">
        <v>16</v>
      </c>
      <c r="C33" s="16">
        <f t="shared" si="1"/>
        <v>1.4826557091909291</v>
      </c>
      <c r="D33" s="17">
        <f t="shared" si="3"/>
        <v>1.6473952324343657</v>
      </c>
      <c r="E33" s="17">
        <f t="shared" si="2"/>
        <v>1.8121347556778022</v>
      </c>
      <c r="F33" s="2">
        <v>1.6202000000000001</v>
      </c>
      <c r="G33" s="2" t="str">
        <f t="shared" si="0"/>
        <v>Pass</v>
      </c>
      <c r="Y33" s="2">
        <v>18</v>
      </c>
      <c r="Z33" s="2">
        <v>0.3014</v>
      </c>
      <c r="AA33" s="2">
        <v>0.32890000000000003</v>
      </c>
      <c r="AB33" s="2">
        <v>1.9527000000000001</v>
      </c>
    </row>
    <row r="34" spans="2:28" x14ac:dyDescent="0.4">
      <c r="B34" s="11">
        <v>17</v>
      </c>
      <c r="C34" s="16">
        <f t="shared" si="1"/>
        <v>1.6506680580322495</v>
      </c>
      <c r="D34" s="17">
        <f t="shared" si="3"/>
        <v>1.8340756200358328</v>
      </c>
      <c r="E34" s="17">
        <f t="shared" si="2"/>
        <v>2.0174831820394159</v>
      </c>
      <c r="F34" s="2">
        <v>1.7625999999999999</v>
      </c>
      <c r="G34" s="2" t="str">
        <f t="shared" si="0"/>
        <v>Pass</v>
      </c>
      <c r="Y34" s="2">
        <v>19</v>
      </c>
      <c r="Z34" s="2">
        <v>0.29730000000000001</v>
      </c>
      <c r="AA34" s="2">
        <v>0.3256</v>
      </c>
      <c r="AB34" s="2">
        <v>2.1049000000000002</v>
      </c>
    </row>
    <row r="35" spans="2:28" x14ac:dyDescent="0.4">
      <c r="B35" s="11">
        <v>18</v>
      </c>
      <c r="C35" s="16">
        <f t="shared" si="1"/>
        <v>1.8266475155480797</v>
      </c>
      <c r="D35" s="17">
        <f t="shared" si="3"/>
        <v>2.0296083506089775</v>
      </c>
      <c r="E35" s="17">
        <f t="shared" si="2"/>
        <v>2.2325691856698753</v>
      </c>
      <c r="F35" s="2">
        <v>1.9527000000000001</v>
      </c>
      <c r="G35" s="2" t="str">
        <f t="shared" si="0"/>
        <v>Pass</v>
      </c>
      <c r="Y35" s="2">
        <v>20</v>
      </c>
      <c r="Z35" s="2">
        <v>0.29820000000000002</v>
      </c>
      <c r="AA35" s="2">
        <v>0.3322</v>
      </c>
      <c r="AB35" s="2">
        <v>2.3370000000000002</v>
      </c>
    </row>
    <row r="36" spans="2:28" x14ac:dyDescent="0.4">
      <c r="B36" s="11">
        <v>19</v>
      </c>
      <c r="C36" s="16">
        <f t="shared" si="1"/>
        <v>2.0105048520277387</v>
      </c>
      <c r="D36" s="17">
        <f t="shared" si="3"/>
        <v>2.2338942800308206</v>
      </c>
      <c r="E36" s="17">
        <f t="shared" si="2"/>
        <v>2.4572837080339025</v>
      </c>
      <c r="F36" s="2">
        <v>2.1049000000000002</v>
      </c>
      <c r="G36" s="2" t="str">
        <f t="shared" si="0"/>
        <v>Pass</v>
      </c>
      <c r="Y36" s="2">
        <v>21</v>
      </c>
      <c r="Z36" s="2">
        <v>0.29389999999999999</v>
      </c>
      <c r="AA36" s="2">
        <v>0.32750000000000001</v>
      </c>
      <c r="AB36" s="2">
        <v>2.5158</v>
      </c>
    </row>
    <row r="37" spans="2:28" x14ac:dyDescent="0.4">
      <c r="B37" s="11">
        <v>20</v>
      </c>
      <c r="C37" s="16">
        <f t="shared" si="1"/>
        <v>2.2021565196324353</v>
      </c>
      <c r="D37" s="17">
        <f t="shared" si="3"/>
        <v>2.4468405773693727</v>
      </c>
      <c r="E37" s="17">
        <f t="shared" si="2"/>
        <v>2.69152463510631</v>
      </c>
      <c r="F37" s="2">
        <v>2.3370000000000002</v>
      </c>
      <c r="G37" s="2" t="str">
        <f t="shared" si="0"/>
        <v>Pass</v>
      </c>
      <c r="Y37" s="2">
        <v>22</v>
      </c>
      <c r="Z37" s="2">
        <v>0.3029</v>
      </c>
      <c r="AA37" s="2">
        <v>0.32950000000000002</v>
      </c>
      <c r="AB37" s="2">
        <v>2.7437</v>
      </c>
    </row>
    <row r="38" spans="2:28" x14ac:dyDescent="0.4">
      <c r="B38" s="11">
        <v>21</v>
      </c>
      <c r="C38" s="16">
        <f t="shared" si="1"/>
        <v>2.4015240221383696</v>
      </c>
      <c r="D38" s="17">
        <f t="shared" si="3"/>
        <v>2.6683600245981887</v>
      </c>
      <c r="E38" s="17">
        <f t="shared" si="2"/>
        <v>2.9351960270580078</v>
      </c>
      <c r="F38" s="2">
        <v>2.5158</v>
      </c>
      <c r="G38" s="2" t="str">
        <f t="shared" si="0"/>
        <v>Pass</v>
      </c>
      <c r="Y38" s="2">
        <v>23</v>
      </c>
      <c r="Z38" s="2">
        <v>0.29730000000000001</v>
      </c>
      <c r="AA38" s="2">
        <v>0.32700000000000001</v>
      </c>
      <c r="AB38" s="2">
        <v>2.9607999999999999</v>
      </c>
    </row>
    <row r="39" spans="2:28" x14ac:dyDescent="0.4">
      <c r="B39" s="11">
        <v>22</v>
      </c>
      <c r="C39" s="16">
        <f t="shared" si="1"/>
        <v>2.608533381539194</v>
      </c>
      <c r="D39" s="17">
        <f t="shared" si="3"/>
        <v>2.8983704239324379</v>
      </c>
      <c r="E39" s="17">
        <f t="shared" si="2"/>
        <v>3.1882074663256819</v>
      </c>
      <c r="F39" s="2">
        <v>2.7437</v>
      </c>
      <c r="G39" s="2" t="str">
        <f t="shared" si="0"/>
        <v>Pass</v>
      </c>
      <c r="Y39" s="2">
        <v>24</v>
      </c>
      <c r="Z39" s="2">
        <v>0.30170000000000002</v>
      </c>
      <c r="AA39" s="2">
        <v>0.33329999999999999</v>
      </c>
      <c r="AB39" s="2">
        <v>3.2456999999999998</v>
      </c>
    </row>
    <row r="40" spans="2:28" x14ac:dyDescent="0.4">
      <c r="B40" s="11">
        <v>23</v>
      </c>
      <c r="C40" s="16">
        <f t="shared" si="1"/>
        <v>2.8231146828567004</v>
      </c>
      <c r="D40" s="17">
        <f t="shared" si="3"/>
        <v>3.1367940920630004</v>
      </c>
      <c r="E40" s="17">
        <f t="shared" si="2"/>
        <v>3.4504735012693004</v>
      </c>
      <c r="F40" s="2">
        <v>2.9607999999999999</v>
      </c>
      <c r="G40" s="2" t="str">
        <f t="shared" si="0"/>
        <v>Pass</v>
      </c>
      <c r="Y40" s="2">
        <v>25</v>
      </c>
      <c r="Z40" s="2">
        <v>0.30130000000000001</v>
      </c>
      <c r="AA40" s="2">
        <v>0.33300000000000002</v>
      </c>
      <c r="AB40" s="2">
        <v>3.3933</v>
      </c>
    </row>
    <row r="41" spans="2:28" x14ac:dyDescent="0.4">
      <c r="B41" s="11">
        <v>24</v>
      </c>
      <c r="C41" s="16">
        <f t="shared" si="1"/>
        <v>3.0452016827620967</v>
      </c>
      <c r="D41" s="17">
        <f t="shared" si="3"/>
        <v>3.3835574252912184</v>
      </c>
      <c r="E41" s="17">
        <f t="shared" si="2"/>
        <v>3.7219131678203401</v>
      </c>
      <c r="F41" s="2">
        <v>3.2456999999999998</v>
      </c>
      <c r="G41" s="2" t="str">
        <f t="shared" si="0"/>
        <v>Pass</v>
      </c>
      <c r="Y41" s="2">
        <v>26</v>
      </c>
      <c r="Z41" s="2">
        <v>0.29909999999999998</v>
      </c>
      <c r="AA41" s="2">
        <v>0.32790000000000002</v>
      </c>
      <c r="AB41" s="2">
        <v>3.6873</v>
      </c>
    </row>
    <row r="42" spans="2:28" x14ac:dyDescent="0.4">
      <c r="B42" s="11">
        <v>25</v>
      </c>
      <c r="C42" s="16">
        <f t="shared" si="1"/>
        <v>3.2747314707553494</v>
      </c>
      <c r="D42" s="17">
        <f t="shared" si="3"/>
        <v>3.6385905230614997</v>
      </c>
      <c r="E42" s="17">
        <f t="shared" si="2"/>
        <v>4.0024495753676499</v>
      </c>
      <c r="F42" s="2">
        <v>3.3933</v>
      </c>
      <c r="G42" s="2" t="str">
        <f t="shared" si="0"/>
        <v>Pass</v>
      </c>
      <c r="Y42" s="2">
        <v>27</v>
      </c>
      <c r="Z42" s="2">
        <v>0.30399999999999999</v>
      </c>
      <c r="AA42" s="2">
        <v>0.33729999999999999</v>
      </c>
      <c r="AB42" s="2">
        <v>3.9908000000000001</v>
      </c>
    </row>
    <row r="43" spans="2:28" x14ac:dyDescent="0.4">
      <c r="B43" s="11">
        <v>26</v>
      </c>
      <c r="C43" s="16">
        <f t="shared" si="1"/>
        <v>3.5116441740086719</v>
      </c>
      <c r="D43" s="17">
        <f t="shared" si="3"/>
        <v>3.9018268600096357</v>
      </c>
      <c r="E43" s="17">
        <f t="shared" si="2"/>
        <v>4.2920095460105996</v>
      </c>
      <c r="F43" s="2">
        <v>3.6873</v>
      </c>
      <c r="G43" s="2" t="str">
        <f t="shared" si="0"/>
        <v>Pass</v>
      </c>
      <c r="Y43" s="2">
        <v>28</v>
      </c>
      <c r="Z43" s="2">
        <v>0.30080000000000001</v>
      </c>
      <c r="AA43" s="2">
        <v>0.33260000000000001</v>
      </c>
      <c r="AB43" s="2">
        <v>4.1765999999999996</v>
      </c>
    </row>
    <row r="44" spans="2:28" x14ac:dyDescent="0.4">
      <c r="B44" s="11">
        <v>27</v>
      </c>
      <c r="C44" s="16">
        <f t="shared" si="1"/>
        <v>3.7558826987721052</v>
      </c>
      <c r="D44" s="17">
        <f t="shared" si="3"/>
        <v>4.1732029986356727</v>
      </c>
      <c r="E44" s="17">
        <f t="shared" si="2"/>
        <v>4.5905232984992397</v>
      </c>
      <c r="F44" s="2">
        <v>3.9908000000000001</v>
      </c>
      <c r="G44" s="2" t="str">
        <f t="shared" si="0"/>
        <v>Pass</v>
      </c>
      <c r="Y44" s="2">
        <v>29</v>
      </c>
      <c r="Z44" s="2">
        <v>0.3029</v>
      </c>
      <c r="AA44" s="2">
        <v>0.3327</v>
      </c>
      <c r="AB44" s="2">
        <v>4.4070999999999998</v>
      </c>
    </row>
    <row r="45" spans="2:28" x14ac:dyDescent="0.4">
      <c r="B45" s="11">
        <v>28</v>
      </c>
      <c r="C45" s="16">
        <f t="shared" si="1"/>
        <v>4.0073925026165043</v>
      </c>
      <c r="D45" s="17">
        <f t="shared" si="3"/>
        <v>4.4526583362405603</v>
      </c>
      <c r="E45" s="17">
        <f t="shared" si="2"/>
        <v>4.8979241698646163</v>
      </c>
      <c r="F45" s="2">
        <v>4.1765999999999996</v>
      </c>
      <c r="G45" s="2" t="str">
        <f t="shared" si="0"/>
        <v>Pass</v>
      </c>
      <c r="Y45" s="2">
        <v>30</v>
      </c>
      <c r="Z45" s="2">
        <v>0.30659999999999998</v>
      </c>
      <c r="AA45" s="2">
        <v>0.33789999999999998</v>
      </c>
      <c r="AB45" s="2">
        <v>4.7946999999999997</v>
      </c>
    </row>
    <row r="46" spans="2:28" x14ac:dyDescent="0.4">
      <c r="B46" s="11">
        <v>29</v>
      </c>
      <c r="C46" s="16">
        <f t="shared" si="1"/>
        <v>4.2661213928593122</v>
      </c>
      <c r="D46" s="17">
        <f t="shared" si="3"/>
        <v>4.7401348809547912</v>
      </c>
      <c r="E46" s="17">
        <f t="shared" si="2"/>
        <v>5.2141483690502701</v>
      </c>
      <c r="F46" s="2">
        <v>4.4070999999999998</v>
      </c>
      <c r="G46" s="2" t="str">
        <f t="shared" si="0"/>
        <v>Pass</v>
      </c>
      <c r="Y46" s="2">
        <v>31</v>
      </c>
      <c r="Z46" s="2">
        <v>0.30199999999999999</v>
      </c>
      <c r="AA46" s="2">
        <v>0.33429999999999999</v>
      </c>
      <c r="AB46" s="2">
        <v>5.0945</v>
      </c>
    </row>
    <row r="47" spans="2:28" x14ac:dyDescent="0.4">
      <c r="B47" s="11">
        <v>30</v>
      </c>
      <c r="C47" s="16">
        <f t="shared" si="1"/>
        <v>4.5320193473585455</v>
      </c>
      <c r="D47" s="17">
        <f t="shared" si="3"/>
        <v>5.0355770526206065</v>
      </c>
      <c r="E47" s="17">
        <f t="shared" si="2"/>
        <v>5.5391347578826675</v>
      </c>
      <c r="F47" s="2">
        <v>4.7946999999999997</v>
      </c>
      <c r="G47" s="2" t="str">
        <f t="shared" si="0"/>
        <v>Pass</v>
      </c>
      <c r="Y47" s="2">
        <v>32</v>
      </c>
      <c r="Z47" s="2">
        <v>0.30399999999999999</v>
      </c>
      <c r="AA47" s="2">
        <v>0.3327</v>
      </c>
      <c r="AB47" s="2">
        <v>5.3512000000000004</v>
      </c>
    </row>
    <row r="48" spans="2:28" x14ac:dyDescent="0.4">
      <c r="B48" s="11">
        <v>31</v>
      </c>
      <c r="C48" s="16">
        <f t="shared" si="1"/>
        <v>4.805038354525526</v>
      </c>
      <c r="D48" s="17">
        <f t="shared" si="3"/>
        <v>5.3389315050283619</v>
      </c>
      <c r="E48" s="17">
        <f t="shared" si="2"/>
        <v>5.8728246555311978</v>
      </c>
      <c r="F48" s="2">
        <v>5.0945</v>
      </c>
      <c r="G48" s="2" t="str">
        <f t="shared" si="0"/>
        <v>Pass</v>
      </c>
      <c r="Y48" s="2">
        <v>33</v>
      </c>
      <c r="Z48" s="2">
        <v>0.30220000000000002</v>
      </c>
      <c r="AA48" s="2">
        <v>0.33150000000000002</v>
      </c>
      <c r="AB48" s="2">
        <v>5.8048999999999999</v>
      </c>
    </row>
    <row r="49" spans="2:28" x14ac:dyDescent="0.4">
      <c r="B49" s="11">
        <v>32</v>
      </c>
      <c r="C49" s="16">
        <f t="shared" si="1"/>
        <v>5.0851322699382404</v>
      </c>
      <c r="D49" s="17">
        <f t="shared" si="3"/>
        <v>5.6501469665980446</v>
      </c>
      <c r="E49" s="17">
        <f t="shared" si="2"/>
        <v>6.2151616632578488</v>
      </c>
      <c r="F49" s="2">
        <v>5.3512000000000004</v>
      </c>
      <c r="G49" s="2" t="str">
        <f t="shared" si="0"/>
        <v>Pass</v>
      </c>
      <c r="Y49" s="2">
        <v>34</v>
      </c>
      <c r="Z49" s="2">
        <v>0.3039</v>
      </c>
      <c r="AA49" s="2">
        <v>0.33029999999999998</v>
      </c>
      <c r="AB49" s="2">
        <v>6.1067999999999998</v>
      </c>
    </row>
    <row r="50" spans="2:28" x14ac:dyDescent="0.4">
      <c r="B50" s="11">
        <v>33</v>
      </c>
      <c r="C50" s="16">
        <f t="shared" si="1"/>
        <v>5.3722566873650122</v>
      </c>
      <c r="D50" s="17">
        <f t="shared" si="3"/>
        <v>5.9691740970722353</v>
      </c>
      <c r="E50" s="17">
        <f t="shared" si="2"/>
        <v>6.5660915067794585</v>
      </c>
      <c r="F50" s="2">
        <v>5.8048999999999999</v>
      </c>
      <c r="G50" s="2" t="str">
        <f t="shared" si="0"/>
        <v>Pass</v>
      </c>
      <c r="Y50" s="2">
        <v>35</v>
      </c>
      <c r="Z50" s="2">
        <v>0.30409999999999998</v>
      </c>
      <c r="AA50" s="2">
        <v>0.33129999999999998</v>
      </c>
      <c r="AB50" s="2">
        <v>6.4303999999999997</v>
      </c>
    </row>
    <row r="51" spans="2:28" x14ac:dyDescent="0.4">
      <c r="B51" s="11">
        <v>34</v>
      </c>
      <c r="C51" s="16">
        <f t="shared" si="1"/>
        <v>5.6663688223552224</v>
      </c>
      <c r="D51" s="17">
        <f t="shared" si="3"/>
        <v>6.2959653581724693</v>
      </c>
      <c r="E51" s="17">
        <f t="shared" si="2"/>
        <v>6.9255618939897161</v>
      </c>
      <c r="F51" s="2">
        <v>6.1067999999999998</v>
      </c>
      <c r="G51" s="2" t="str">
        <f t="shared" si="0"/>
        <v>Pass</v>
      </c>
      <c r="Y51" s="2">
        <v>36</v>
      </c>
      <c r="Z51" s="2">
        <v>0.30320000000000003</v>
      </c>
      <c r="AA51" s="2">
        <v>0.33050000000000002</v>
      </c>
      <c r="AB51" s="2">
        <v>6.9061000000000003</v>
      </c>
    </row>
    <row r="52" spans="2:28" x14ac:dyDescent="0.4">
      <c r="B52" s="11">
        <v>35</v>
      </c>
      <c r="C52" s="16">
        <f t="shared" si="1"/>
        <v>5.9674274068370003</v>
      </c>
      <c r="D52" s="17">
        <f t="shared" si="3"/>
        <v>6.6304748964855564</v>
      </c>
      <c r="E52" s="17">
        <f t="shared" si="2"/>
        <v>7.2935223861341125</v>
      </c>
      <c r="F52" s="2">
        <v>6.4303999999999997</v>
      </c>
      <c r="G52" s="2" t="str">
        <f t="shared" si="0"/>
        <v>Pass</v>
      </c>
      <c r="Y52" s="2">
        <v>37</v>
      </c>
      <c r="Z52" s="2">
        <v>0.30470000000000003</v>
      </c>
      <c r="AA52" s="2">
        <v>0.33</v>
      </c>
      <c r="AB52" s="2">
        <v>7.2409999999999997</v>
      </c>
    </row>
    <row r="53" spans="2:28" x14ac:dyDescent="0.4">
      <c r="B53" s="11">
        <v>36</v>
      </c>
      <c r="C53" s="16">
        <f t="shared" si="1"/>
        <v>6.2753925933949795</v>
      </c>
      <c r="D53" s="17">
        <f t="shared" si="3"/>
        <v>6.9726584371055331</v>
      </c>
      <c r="E53" s="17">
        <f t="shared" si="2"/>
        <v>7.6699242808160868</v>
      </c>
      <c r="F53" s="2">
        <v>6.9061000000000003</v>
      </c>
      <c r="G53" s="2" t="str">
        <f t="shared" si="0"/>
        <v>Pass</v>
      </c>
      <c r="Y53" s="2">
        <v>38</v>
      </c>
      <c r="Z53" s="2">
        <v>0.30459999999999998</v>
      </c>
      <c r="AA53" s="2">
        <v>0.32990000000000003</v>
      </c>
      <c r="AB53" s="2">
        <v>7.5622999999999996</v>
      </c>
    </row>
    <row r="54" spans="2:28" x14ac:dyDescent="0.4">
      <c r="B54" s="11">
        <v>37</v>
      </c>
      <c r="C54" s="16">
        <f t="shared" si="1"/>
        <v>6.5902258680934809</v>
      </c>
      <c r="D54" s="17">
        <f t="shared" si="3"/>
        <v>7.3224731867705346</v>
      </c>
      <c r="E54" s="17">
        <f t="shared" si="2"/>
        <v>8.0547205054475874</v>
      </c>
      <c r="F54" s="2">
        <v>7.2409999999999997</v>
      </c>
      <c r="G54" s="2" t="str">
        <f t="shared" si="0"/>
        <v>Pass</v>
      </c>
      <c r="Y54" s="2">
        <v>39</v>
      </c>
      <c r="Z54" s="2">
        <v>0.3034</v>
      </c>
      <c r="AA54" s="2">
        <v>0.32750000000000001</v>
      </c>
      <c r="AB54" s="2">
        <v>7.8249000000000004</v>
      </c>
    </row>
    <row r="55" spans="2:28" x14ac:dyDescent="0.4">
      <c r="B55" s="11">
        <v>38</v>
      </c>
      <c r="C55" s="16">
        <f t="shared" si="1"/>
        <v>6.9118899708710266</v>
      </c>
      <c r="D55" s="17">
        <f t="shared" si="3"/>
        <v>7.6798777454122522</v>
      </c>
      <c r="E55" s="17">
        <f t="shared" si="2"/>
        <v>8.4478655199534778</v>
      </c>
      <c r="F55" s="2">
        <v>7.5622999999999996</v>
      </c>
      <c r="G55" s="2" t="str">
        <f t="shared" si="0"/>
        <v>Pass</v>
      </c>
      <c r="Y55" s="2">
        <v>40</v>
      </c>
      <c r="Z55" s="2">
        <v>0.3039</v>
      </c>
      <c r="AA55" s="2">
        <v>0.33090000000000003</v>
      </c>
      <c r="AB55" s="2">
        <v>8.4642999999999997</v>
      </c>
    </row>
    <row r="56" spans="2:28" x14ac:dyDescent="0.4">
      <c r="B56" s="11">
        <v>39</v>
      </c>
      <c r="C56" s="16">
        <f t="shared" si="1"/>
        <v>7.2403488226656272</v>
      </c>
      <c r="D56" s="17">
        <f t="shared" si="3"/>
        <v>8.0448320251840304</v>
      </c>
      <c r="E56" s="17">
        <f t="shared" si="2"/>
        <v>8.8493152277024336</v>
      </c>
      <c r="F56" s="2">
        <v>7.8249000000000004</v>
      </c>
      <c r="G56" s="2" t="str">
        <f t="shared" si="0"/>
        <v>Pass</v>
      </c>
      <c r="Y56" s="2">
        <v>41</v>
      </c>
      <c r="Z56" s="2">
        <v>0.30470000000000003</v>
      </c>
      <c r="AA56" s="2">
        <v>0.33040000000000003</v>
      </c>
      <c r="AB56" s="2">
        <v>8.7612000000000005</v>
      </c>
    </row>
    <row r="57" spans="2:28" x14ac:dyDescent="0.4">
      <c r="B57" s="11">
        <v>40</v>
      </c>
      <c r="C57" s="16">
        <f t="shared" si="1"/>
        <v>7.5755674585431461</v>
      </c>
      <c r="D57" s="17">
        <f t="shared" si="3"/>
        <v>8.4172971761590514</v>
      </c>
      <c r="E57" s="17">
        <f t="shared" si="2"/>
        <v>9.2590268937749567</v>
      </c>
      <c r="F57" s="2">
        <v>8.4642999999999997</v>
      </c>
      <c r="G57" s="2" t="str">
        <f t="shared" si="0"/>
        <v>Pass</v>
      </c>
      <c r="Y57" s="2">
        <v>42</v>
      </c>
      <c r="Z57" s="2">
        <v>0.30449999999999999</v>
      </c>
      <c r="AA57" s="2">
        <v>0.33079999999999998</v>
      </c>
      <c r="AB57" s="2">
        <v>9.1738</v>
      </c>
    </row>
    <row r="58" spans="2:28" x14ac:dyDescent="0.4">
      <c r="B58" s="11">
        <v>41</v>
      </c>
      <c r="C58" s="16">
        <f t="shared" si="1"/>
        <v>7.9175119661958213</v>
      </c>
      <c r="D58" s="17">
        <f t="shared" si="3"/>
        <v>8.7972355179953574</v>
      </c>
      <c r="E58" s="17">
        <f t="shared" si="2"/>
        <v>9.6769590697948935</v>
      </c>
      <c r="F58" s="2">
        <v>8.7612000000000005</v>
      </c>
      <c r="G58" s="2" t="str">
        <f t="shared" si="0"/>
        <v>Pass</v>
      </c>
      <c r="Y58" s="2">
        <v>43</v>
      </c>
      <c r="Z58" s="2">
        <v>0.30559999999999998</v>
      </c>
      <c r="AA58" s="2">
        <v>0.3271</v>
      </c>
      <c r="AB58" s="2">
        <v>9.5451999999999995</v>
      </c>
    </row>
    <row r="59" spans="2:28" x14ac:dyDescent="0.4">
      <c r="B59" s="11">
        <v>42</v>
      </c>
      <c r="C59" s="16">
        <f t="shared" si="1"/>
        <v>8.2661494292587356</v>
      </c>
      <c r="D59" s="17">
        <f t="shared" si="3"/>
        <v>9.1846104769541501</v>
      </c>
      <c r="E59" s="17">
        <f t="shared" si="2"/>
        <v>10.103071524649565</v>
      </c>
      <c r="F59" s="2">
        <v>9.1738</v>
      </c>
      <c r="G59" s="2" t="str">
        <f t="shared" si="0"/>
        <v>Pass</v>
      </c>
      <c r="Y59" s="2">
        <v>44</v>
      </c>
      <c r="Z59" s="2">
        <v>0.30530000000000002</v>
      </c>
      <c r="AA59" s="2">
        <v>0.33</v>
      </c>
      <c r="AB59" s="2">
        <v>10.196300000000001</v>
      </c>
    </row>
    <row r="60" spans="2:28" x14ac:dyDescent="0.4">
      <c r="B60" s="11">
        <v>43</v>
      </c>
      <c r="C60" s="16">
        <f t="shared" si="1"/>
        <v>8.6214478749605981</v>
      </c>
      <c r="D60" s="17">
        <f t="shared" si="3"/>
        <v>9.5793865277339982</v>
      </c>
      <c r="E60" s="17">
        <f t="shared" si="2"/>
        <v>10.537325180507398</v>
      </c>
      <c r="F60" s="2">
        <v>9.5451999999999995</v>
      </c>
      <c r="G60" s="2" t="str">
        <f t="shared" si="0"/>
        <v>Pass</v>
      </c>
      <c r="Y60" s="2">
        <v>45</v>
      </c>
      <c r="Z60" s="2">
        <v>0.30809999999999998</v>
      </c>
      <c r="AA60" s="2">
        <v>0.33179999999999998</v>
      </c>
      <c r="AB60" s="2">
        <v>10.5791</v>
      </c>
    </row>
    <row r="61" spans="2:28" x14ac:dyDescent="0.4">
      <c r="B61" s="11">
        <v>44</v>
      </c>
      <c r="C61" s="16">
        <f t="shared" si="1"/>
        <v>8.98337622568401</v>
      </c>
      <c r="D61" s="17">
        <f t="shared" si="3"/>
        <v>9.9815291396489005</v>
      </c>
      <c r="E61" s="17">
        <f t="shared" si="2"/>
        <v>10.979682053613791</v>
      </c>
      <c r="F61" s="2">
        <v>10.196300000000001</v>
      </c>
      <c r="G61" s="2" t="str">
        <f t="shared" si="0"/>
        <v>Pass</v>
      </c>
      <c r="Y61" s="2">
        <v>46</v>
      </c>
      <c r="Z61" s="2">
        <v>0.30819999999999997</v>
      </c>
      <c r="AA61" s="2">
        <v>0.33139999999999997</v>
      </c>
      <c r="AB61" s="2">
        <v>11.0023</v>
      </c>
    </row>
    <row r="62" spans="2:28" x14ac:dyDescent="0.4">
      <c r="B62" s="11">
        <v>45</v>
      </c>
      <c r="C62" s="16">
        <f t="shared" si="1"/>
        <v>9.351904254060603</v>
      </c>
      <c r="D62" s="17">
        <f t="shared" si="3"/>
        <v>10.391004726734003</v>
      </c>
      <c r="E62" s="17">
        <f t="shared" si="2"/>
        <v>11.430105199407404</v>
      </c>
      <c r="F62" s="2">
        <v>10.5791</v>
      </c>
      <c r="G62" s="2" t="str">
        <f t="shared" si="0"/>
        <v>Pass</v>
      </c>
      <c r="Y62" s="2">
        <v>47</v>
      </c>
      <c r="Z62" s="2">
        <v>0.30499999999999999</v>
      </c>
      <c r="AA62" s="2">
        <v>0.32550000000000001</v>
      </c>
      <c r="AB62" s="2">
        <v>11.333299999999999</v>
      </c>
    </row>
    <row r="63" spans="2:28" x14ac:dyDescent="0.4">
      <c r="B63" s="11">
        <v>46</v>
      </c>
      <c r="C63" s="16">
        <f t="shared" si="1"/>
        <v>9.7270025412701155</v>
      </c>
      <c r="D63" s="17">
        <f t="shared" si="3"/>
        <v>10.80778060141124</v>
      </c>
      <c r="E63" s="17">
        <f t="shared" si="2"/>
        <v>11.888558661552365</v>
      </c>
      <c r="F63" s="2">
        <v>11.0023</v>
      </c>
      <c r="G63" s="2" t="str">
        <f t="shared" si="0"/>
        <v>Pass</v>
      </c>
      <c r="Y63" s="2">
        <v>48</v>
      </c>
      <c r="Z63" s="2">
        <v>0.30570000000000003</v>
      </c>
      <c r="AA63" s="2">
        <v>0.32529999999999998</v>
      </c>
      <c r="AB63" s="2">
        <v>11.800700000000001</v>
      </c>
    </row>
    <row r="64" spans="2:28" x14ac:dyDescent="0.4">
      <c r="B64" s="11">
        <v>47</v>
      </c>
      <c r="C64" s="16">
        <f t="shared" si="1"/>
        <v>10.108642438249754</v>
      </c>
      <c r="D64" s="17">
        <f t="shared" si="3"/>
        <v>11.231824931388616</v>
      </c>
      <c r="E64" s="17">
        <f t="shared" si="2"/>
        <v>12.355007424527477</v>
      </c>
      <c r="F64" s="2">
        <v>11.333299999999999</v>
      </c>
      <c r="G64" s="2" t="str">
        <f t="shared" si="0"/>
        <v>Pass</v>
      </c>
      <c r="Y64" s="2">
        <v>49</v>
      </c>
      <c r="Z64" s="2">
        <v>0.308</v>
      </c>
      <c r="AA64" s="2">
        <v>0.32469999999999999</v>
      </c>
      <c r="AB64" s="2">
        <v>12.283200000000001</v>
      </c>
    </row>
    <row r="65" spans="2:28" x14ac:dyDescent="0.4">
      <c r="B65" s="11">
        <v>48</v>
      </c>
      <c r="C65" s="16">
        <f t="shared" si="1"/>
        <v>10.49679602955303</v>
      </c>
      <c r="D65" s="17">
        <f t="shared" si="3"/>
        <v>11.663106699503366</v>
      </c>
      <c r="E65" s="17">
        <f t="shared" si="2"/>
        <v>12.829417369453703</v>
      </c>
      <c r="F65" s="2">
        <v>11.800700000000001</v>
      </c>
      <c r="G65" s="2" t="str">
        <f t="shared" si="0"/>
        <v>Pass</v>
      </c>
      <c r="Y65" s="2">
        <v>50</v>
      </c>
      <c r="Z65" s="2">
        <v>0.308</v>
      </c>
      <c r="AA65" s="2">
        <v>0.32440000000000002</v>
      </c>
      <c r="AB65" s="2">
        <v>12.5997</v>
      </c>
    </row>
    <row r="66" spans="2:28" x14ac:dyDescent="0.4">
      <c r="B66" s="11">
        <v>49</v>
      </c>
      <c r="C66" s="16">
        <f t="shared" si="1"/>
        <v>10.89143609962543</v>
      </c>
      <c r="D66" s="17">
        <f t="shared" si="3"/>
        <v>12.101595666250478</v>
      </c>
      <c r="E66" s="17">
        <f t="shared" si="2"/>
        <v>13.311755232875527</v>
      </c>
      <c r="F66" s="2">
        <v>12.283200000000001</v>
      </c>
      <c r="G66" s="2" t="str">
        <f t="shared" si="0"/>
        <v>Pass</v>
      </c>
      <c r="Y66" s="2">
        <v>51</v>
      </c>
      <c r="Z66" s="2">
        <v>0.30759999999999998</v>
      </c>
      <c r="AA66" s="2">
        <v>0.32429999999999998</v>
      </c>
      <c r="AB66" s="2">
        <v>13.1166</v>
      </c>
    </row>
    <row r="67" spans="2:28" x14ac:dyDescent="0.4">
      <c r="B67" s="11">
        <v>50</v>
      </c>
      <c r="C67" s="16">
        <f t="shared" si="1"/>
        <v>11.292536101289157</v>
      </c>
      <c r="D67" s="17">
        <f t="shared" si="3"/>
        <v>12.54726233476573</v>
      </c>
      <c r="E67" s="17">
        <f t="shared" si="2"/>
        <v>13.801988568242303</v>
      </c>
      <c r="F67" s="2">
        <v>12.5997</v>
      </c>
      <c r="G67" s="2" t="str">
        <f t="shared" si="0"/>
        <v>Pass</v>
      </c>
      <c r="Y67" s="2">
        <v>52</v>
      </c>
      <c r="Z67" s="2">
        <v>0.30790000000000001</v>
      </c>
      <c r="AA67" s="2">
        <v>0.32950000000000002</v>
      </c>
      <c r="AB67" s="2">
        <v>13.8315</v>
      </c>
    </row>
    <row r="68" spans="2:28" x14ac:dyDescent="0.4">
      <c r="B68" s="11">
        <v>51</v>
      </c>
      <c r="C68" s="16">
        <f t="shared" si="1"/>
        <v>11.700070126250774</v>
      </c>
      <c r="D68" s="17">
        <f t="shared" si="3"/>
        <v>13.000077918056416</v>
      </c>
      <c r="E68" s="17">
        <f t="shared" si="2"/>
        <v>14.300085709862058</v>
      </c>
      <c r="F68" s="2">
        <v>13.1166</v>
      </c>
      <c r="G68" s="2" t="str">
        <f t="shared" si="0"/>
        <v>Pass</v>
      </c>
      <c r="Y68" s="2">
        <v>53</v>
      </c>
      <c r="Z68" s="2">
        <v>0.30780000000000002</v>
      </c>
      <c r="AA68" s="2">
        <v>0.32940000000000003</v>
      </c>
      <c r="AB68" s="2">
        <v>14.212999999999999</v>
      </c>
    </row>
    <row r="69" spans="2:28" x14ac:dyDescent="0.4">
      <c r="B69" s="11">
        <v>52</v>
      </c>
      <c r="C69" s="16">
        <f t="shared" si="1"/>
        <v>12.11401287746471</v>
      </c>
      <c r="D69" s="17">
        <f t="shared" si="3"/>
        <v>13.460014308294122</v>
      </c>
      <c r="E69" s="17">
        <f t="shared" si="2"/>
        <v>14.806015739123534</v>
      </c>
      <c r="F69" s="2">
        <v>13.8315</v>
      </c>
      <c r="G69" s="2" t="str">
        <f t="shared" si="0"/>
        <v>Pass</v>
      </c>
      <c r="Y69" s="2">
        <v>54</v>
      </c>
      <c r="Z69" s="2">
        <v>0.30980000000000002</v>
      </c>
      <c r="AA69" s="2">
        <v>0.3291</v>
      </c>
      <c r="AB69" s="2">
        <v>14.780200000000001</v>
      </c>
    </row>
    <row r="70" spans="2:28" x14ac:dyDescent="0.4">
      <c r="B70" s="11">
        <v>53</v>
      </c>
      <c r="C70" s="16">
        <f t="shared" si="1"/>
        <v>12.534339643202227</v>
      </c>
      <c r="D70" s="17">
        <f t="shared" si="3"/>
        <v>13.927044048002475</v>
      </c>
      <c r="E70" s="17">
        <f t="shared" si="2"/>
        <v>15.319748452802724</v>
      </c>
      <c r="F70" s="2">
        <v>14.212999999999999</v>
      </c>
      <c r="G70" s="2" t="str">
        <f t="shared" si="0"/>
        <v>Pass</v>
      </c>
      <c r="Y70" s="2">
        <v>55</v>
      </c>
      <c r="Z70" s="2">
        <v>0.30969999999999998</v>
      </c>
      <c r="AA70" s="2">
        <v>0.3286</v>
      </c>
      <c r="AB70" s="2">
        <v>15.3428</v>
      </c>
    </row>
    <row r="71" spans="2:28" x14ac:dyDescent="0.4">
      <c r="B71" s="11">
        <v>54</v>
      </c>
      <c r="C71" s="16">
        <f t="shared" si="1"/>
        <v>12.961026272690408</v>
      </c>
      <c r="D71" s="17">
        <f t="shared" si="3"/>
        <v>14.401140302989342</v>
      </c>
      <c r="E71" s="17">
        <f t="shared" si="2"/>
        <v>15.841254333288276</v>
      </c>
      <c r="F71" s="2">
        <v>14.780200000000001</v>
      </c>
      <c r="G71" s="2" t="str">
        <f t="shared" si="0"/>
        <v>Pass</v>
      </c>
      <c r="Y71" s="2">
        <v>56</v>
      </c>
      <c r="Z71" s="2">
        <v>0.30909999999999999</v>
      </c>
      <c r="AA71" s="2">
        <v>0.32729999999999998</v>
      </c>
      <c r="AB71" s="2">
        <v>15.7232</v>
      </c>
    </row>
    <row r="72" spans="2:28" x14ac:dyDescent="0.4">
      <c r="B72" s="11">
        <v>55</v>
      </c>
      <c r="C72" s="16">
        <f t="shared" si="1"/>
        <v>13.394049153198628</v>
      </c>
      <c r="D72" s="17">
        <f t="shared" si="3"/>
        <v>14.882276836887364</v>
      </c>
      <c r="E72" s="17">
        <f t="shared" si="2"/>
        <v>16.370504520576102</v>
      </c>
      <c r="F72" s="2">
        <v>15.3428</v>
      </c>
      <c r="G72" s="2" t="str">
        <f t="shared" si="0"/>
        <v>Pass</v>
      </c>
      <c r="Y72" s="2">
        <v>57</v>
      </c>
      <c r="Z72" s="2">
        <v>0.30890000000000001</v>
      </c>
      <c r="AA72" s="2">
        <v>0.32719999999999999</v>
      </c>
      <c r="AB72" s="2">
        <v>16.270099999999999</v>
      </c>
    </row>
    <row r="73" spans="2:28" x14ac:dyDescent="0.4">
      <c r="B73" s="11">
        <v>56</v>
      </c>
      <c r="C73" s="16">
        <f t="shared" si="1"/>
        <v>13.833385188461683</v>
      </c>
      <c r="D73" s="17">
        <f t="shared" si="3"/>
        <v>15.370427987179649</v>
      </c>
      <c r="E73" s="17">
        <f t="shared" si="2"/>
        <v>16.907470785897615</v>
      </c>
      <c r="F73" s="2">
        <v>15.7232</v>
      </c>
      <c r="G73" s="2" t="str">
        <f t="shared" si="0"/>
        <v>Pass</v>
      </c>
      <c r="Y73" s="2">
        <v>58</v>
      </c>
      <c r="Z73" s="2">
        <v>0.30909999999999999</v>
      </c>
      <c r="AA73" s="2">
        <v>0.32719999999999999</v>
      </c>
      <c r="AB73" s="2">
        <v>16.733599999999999</v>
      </c>
    </row>
    <row r="74" spans="2:28" x14ac:dyDescent="0.4">
      <c r="B74" s="11">
        <v>57</v>
      </c>
      <c r="C74" s="16">
        <f t="shared" si="1"/>
        <v>14.279011778339152</v>
      </c>
      <c r="D74" s="17">
        <f t="shared" si="3"/>
        <v>15.865568642599058</v>
      </c>
      <c r="E74" s="17">
        <f t="shared" si="2"/>
        <v>17.452125506858962</v>
      </c>
      <c r="F74" s="2">
        <v>16.270099999999999</v>
      </c>
      <c r="G74" s="2" t="str">
        <f t="shared" si="0"/>
        <v>Pass</v>
      </c>
      <c r="Y74" s="2">
        <v>59</v>
      </c>
      <c r="Z74" s="2">
        <v>0.30919999999999997</v>
      </c>
      <c r="AA74" s="2">
        <v>0.32740000000000002</v>
      </c>
      <c r="AB74" s="2">
        <v>17.105799999999999</v>
      </c>
    </row>
    <row r="75" spans="2:28" x14ac:dyDescent="0.4">
      <c r="B75" s="11">
        <v>58</v>
      </c>
      <c r="C75" s="16">
        <f t="shared" si="1"/>
        <v>14.73090679961949</v>
      </c>
      <c r="D75" s="17">
        <f t="shared" si="3"/>
        <v>16.367674221799433</v>
      </c>
      <c r="E75" s="17">
        <f t="shared" si="2"/>
        <v>18.004441643979376</v>
      </c>
      <c r="F75" s="2">
        <v>16.733599999999999</v>
      </c>
      <c r="G75" s="2" t="str">
        <f t="shared" si="0"/>
        <v>Pass</v>
      </c>
      <c r="Y75" s="2">
        <v>60</v>
      </c>
      <c r="Z75" s="2">
        <v>0.3095</v>
      </c>
      <c r="AA75" s="2">
        <v>0.32740000000000002</v>
      </c>
      <c r="AB75" s="2">
        <v>17.6934</v>
      </c>
    </row>
    <row r="76" spans="2:28" x14ac:dyDescent="0.4">
      <c r="B76" s="11">
        <v>59</v>
      </c>
      <c r="C76" s="16">
        <f t="shared" si="1"/>
        <v>15.189048587885912</v>
      </c>
      <c r="D76" s="17">
        <f t="shared" si="3"/>
        <v>16.876720653206569</v>
      </c>
      <c r="E76" s="17">
        <f t="shared" si="2"/>
        <v>18.564392718527227</v>
      </c>
      <c r="F76" s="2">
        <v>17.105799999999999</v>
      </c>
      <c r="G76" s="2" t="str">
        <f t="shared" si="0"/>
        <v>Pass</v>
      </c>
      <c r="Y76" s="2">
        <v>61</v>
      </c>
      <c r="Z76" s="2">
        <v>0.3095</v>
      </c>
      <c r="AA76" s="2">
        <v>0.3276</v>
      </c>
      <c r="AB76" s="2">
        <v>18.171199999999999</v>
      </c>
    </row>
    <row r="77" spans="2:28" x14ac:dyDescent="0.4">
      <c r="B77" s="11">
        <v>60</v>
      </c>
      <c r="C77" s="16">
        <f t="shared" si="1"/>
        <v>15.653415920368227</v>
      </c>
      <c r="D77" s="17">
        <f t="shared" si="3"/>
        <v>17.392684355964697</v>
      </c>
      <c r="E77" s="17">
        <f t="shared" si="2"/>
        <v>19.131952791561165</v>
      </c>
      <c r="F77" s="2">
        <v>17.6934</v>
      </c>
      <c r="G77" s="2" t="str">
        <f t="shared" si="0"/>
        <v>Pass</v>
      </c>
      <c r="Y77" s="2">
        <v>62</v>
      </c>
      <c r="Z77" s="2">
        <v>0.30969999999999998</v>
      </c>
      <c r="AA77" s="2">
        <v>0.32779999999999998</v>
      </c>
      <c r="AB77" s="2">
        <v>18.7759</v>
      </c>
    </row>
    <row r="78" spans="2:28" x14ac:dyDescent="0.4">
      <c r="B78" s="11">
        <v>61</v>
      </c>
      <c r="C78" s="16">
        <f t="shared" si="1"/>
        <v>16.1239879997114</v>
      </c>
      <c r="D78" s="17">
        <f t="shared" si="3"/>
        <v>17.915542221901553</v>
      </c>
      <c r="E78" s="17">
        <f t="shared" si="2"/>
        <v>19.707096444091707</v>
      </c>
      <c r="F78" s="2">
        <v>18.171199999999999</v>
      </c>
      <c r="G78" s="2" t="str">
        <f t="shared" si="0"/>
        <v>Pass</v>
      </c>
      <c r="Y78" s="2">
        <v>63</v>
      </c>
      <c r="Z78" s="2">
        <v>0.30959999999999999</v>
      </c>
      <c r="AA78" s="2">
        <v>0.32729999999999998</v>
      </c>
      <c r="AB78" s="2">
        <v>19.228300000000001</v>
      </c>
    </row>
    <row r="79" spans="2:28" x14ac:dyDescent="0.4">
      <c r="B79" s="11">
        <v>62</v>
      </c>
      <c r="C79" s="16">
        <f t="shared" si="1"/>
        <v>16.600744438597616</v>
      </c>
      <c r="D79" s="17">
        <f t="shared" si="3"/>
        <v>18.445271598441796</v>
      </c>
      <c r="E79" s="17">
        <f t="shared" si="2"/>
        <v>20.289798758285976</v>
      </c>
      <c r="F79" s="2">
        <v>18.7759</v>
      </c>
      <c r="G79" s="2" t="str">
        <f t="shared" si="0"/>
        <v>Pass</v>
      </c>
      <c r="Y79" s="2">
        <v>64</v>
      </c>
      <c r="Z79" s="2">
        <v>0.30959999999999999</v>
      </c>
      <c r="AA79" s="2">
        <v>0.32769999999999999</v>
      </c>
      <c r="AB79" s="2">
        <v>19.801400000000001</v>
      </c>
    </row>
    <row r="80" spans="2:28" x14ac:dyDescent="0.4">
      <c r="B80" s="11">
        <v>63</v>
      </c>
      <c r="C80" s="16">
        <f t="shared" si="1"/>
        <v>17.083665245163882</v>
      </c>
      <c r="D80" s="17">
        <f t="shared" si="3"/>
        <v>18.981850272404312</v>
      </c>
      <c r="E80" s="17">
        <f t="shared" si="2"/>
        <v>20.880035299644742</v>
      </c>
      <c r="F80" s="2">
        <v>19.228300000000001</v>
      </c>
      <c r="G80" s="2" t="str">
        <f t="shared" si="0"/>
        <v>Pass</v>
      </c>
      <c r="Y80" s="2">
        <v>65</v>
      </c>
      <c r="Z80" s="2">
        <v>0.30969999999999998</v>
      </c>
      <c r="AA80" s="2">
        <v>0.3276</v>
      </c>
      <c r="AB80" s="2">
        <v>20.206800000000001</v>
      </c>
    </row>
    <row r="81" spans="2:28" x14ac:dyDescent="0.4">
      <c r="B81" s="11">
        <v>64</v>
      </c>
      <c r="C81" s="16">
        <f t="shared" si="1"/>
        <v>17.572730809162032</v>
      </c>
      <c r="D81" s="17">
        <f t="shared" si="3"/>
        <v>19.525256454624479</v>
      </c>
      <c r="E81" s="17">
        <f t="shared" si="2"/>
        <v>21.477782100086927</v>
      </c>
      <c r="F81" s="2">
        <v>19.801400000000001</v>
      </c>
      <c r="G81" s="2" t="str">
        <f t="shared" ref="G81:G144" si="4">IF(F81&lt;=C81,"Fail",IF(AND(C81&lt;F81,F81&lt;E81),"Pass",IF(E81&lt;=F81,"Fail")))</f>
        <v>Pass</v>
      </c>
      <c r="Y81" s="2">
        <v>66</v>
      </c>
      <c r="Z81" s="2">
        <v>0.30990000000000001</v>
      </c>
      <c r="AA81" s="2">
        <v>0.32750000000000001</v>
      </c>
      <c r="AB81" s="2">
        <v>20.696300000000001</v>
      </c>
    </row>
    <row r="82" spans="2:28" x14ac:dyDescent="0.4">
      <c r="B82" s="11">
        <v>65</v>
      </c>
      <c r="C82" s="16">
        <f t="shared" ref="C82:C145" si="5">D82-D82*(C$14/100)</f>
        <v>18.067921888812194</v>
      </c>
      <c r="D82" s="17">
        <f t="shared" si="3"/>
        <v>20.075468765346884</v>
      </c>
      <c r="E82" s="17">
        <f t="shared" ref="E82:E145" si="6">D82+D82*(C$14/100)</f>
        <v>22.083015641881573</v>
      </c>
      <c r="F82" s="2">
        <v>20.206800000000001</v>
      </c>
      <c r="G82" s="2" t="str">
        <f t="shared" si="4"/>
        <v>Pass</v>
      </c>
      <c r="Y82" s="2">
        <v>67</v>
      </c>
      <c r="Z82" s="2">
        <v>0.30969999999999998</v>
      </c>
      <c r="AA82" s="2">
        <v>0.32740000000000002</v>
      </c>
      <c r="AB82" s="2">
        <v>21.375299999999999</v>
      </c>
    </row>
    <row r="83" spans="2:28" x14ac:dyDescent="0.4">
      <c r="B83" s="11">
        <v>66</v>
      </c>
      <c r="C83" s="16">
        <f t="shared" si="5"/>
        <v>18.569219598304986</v>
      </c>
      <c r="D83" s="17">
        <f t="shared" ref="D83:D146" si="7">D$272*((B83+F$17)/B$272)^C$13</f>
        <v>20.632466220338873</v>
      </c>
      <c r="E83" s="17">
        <f t="shared" si="6"/>
        <v>22.69571284237276</v>
      </c>
      <c r="F83" s="2">
        <v>20.696300000000001</v>
      </c>
      <c r="G83" s="2" t="str">
        <f t="shared" si="4"/>
        <v>Pass</v>
      </c>
      <c r="Y83" s="2">
        <v>68</v>
      </c>
      <c r="Z83" s="2">
        <v>0.309</v>
      </c>
      <c r="AA83" s="2">
        <v>0.32750000000000001</v>
      </c>
      <c r="AB83" s="2">
        <v>21.8262</v>
      </c>
    </row>
    <row r="84" spans="2:28" x14ac:dyDescent="0.4">
      <c r="B84" s="11">
        <v>67</v>
      </c>
      <c r="C84" s="16">
        <f t="shared" si="5"/>
        <v>19.076605395910931</v>
      </c>
      <c r="D84" s="17">
        <f t="shared" si="7"/>
        <v>21.196228217678811</v>
      </c>
      <c r="E84" s="17">
        <f t="shared" si="6"/>
        <v>23.315851039446692</v>
      </c>
      <c r="F84" s="2">
        <v>21.375299999999999</v>
      </c>
      <c r="G84" s="2" t="str">
        <f t="shared" si="4"/>
        <v>Pass</v>
      </c>
      <c r="Y84" s="2">
        <v>69</v>
      </c>
      <c r="Z84" s="2">
        <v>0.31130000000000002</v>
      </c>
      <c r="AA84" s="2">
        <v>0.33079999999999998</v>
      </c>
      <c r="AB84" s="2">
        <v>22.4877</v>
      </c>
    </row>
    <row r="85" spans="2:28" x14ac:dyDescent="0.4">
      <c r="B85" s="11">
        <v>68</v>
      </c>
      <c r="C85" s="16">
        <f t="shared" si="5"/>
        <v>19.590061072658937</v>
      </c>
      <c r="D85" s="17">
        <f t="shared" si="7"/>
        <v>21.766734525176595</v>
      </c>
      <c r="E85" s="17">
        <f t="shared" si="6"/>
        <v>23.943407977694253</v>
      </c>
      <c r="F85" s="2">
        <v>21.8262</v>
      </c>
      <c r="G85" s="2" t="str">
        <f t="shared" si="4"/>
        <v>Pass</v>
      </c>
      <c r="Y85" s="2">
        <v>70</v>
      </c>
      <c r="Z85" s="2">
        <v>0.31130000000000002</v>
      </c>
      <c r="AA85" s="2">
        <v>0.33040000000000003</v>
      </c>
      <c r="AB85" s="2">
        <v>22.986999999999998</v>
      </c>
    </row>
    <row r="86" spans="2:28" x14ac:dyDescent="0.4">
      <c r="B86" s="11">
        <v>69</v>
      </c>
      <c r="C86" s="16">
        <f t="shared" si="5"/>
        <v>20.109568741548745</v>
      </c>
      <c r="D86" s="17">
        <f t="shared" si="7"/>
        <v>22.343965268387496</v>
      </c>
      <c r="E86" s="17">
        <f t="shared" si="6"/>
        <v>24.578361795226247</v>
      </c>
      <c r="F86" s="2">
        <v>22.4877</v>
      </c>
      <c r="G86" s="2" t="str">
        <f t="shared" si="4"/>
        <v>Pass</v>
      </c>
      <c r="Y86" s="2">
        <v>71</v>
      </c>
      <c r="Z86" s="2">
        <v>0.311</v>
      </c>
      <c r="AA86" s="2">
        <v>0.33079999999999998</v>
      </c>
      <c r="AB86" s="2">
        <v>23.4819</v>
      </c>
    </row>
    <row r="87" spans="2:28" x14ac:dyDescent="0.4">
      <c r="B87" s="11">
        <v>70</v>
      </c>
      <c r="C87" s="16">
        <f t="shared" si="5"/>
        <v>20.635110827264679</v>
      </c>
      <c r="D87" s="17">
        <f t="shared" si="7"/>
        <v>22.927900919182978</v>
      </c>
      <c r="E87" s="17">
        <f t="shared" si="6"/>
        <v>25.220691011101277</v>
      </c>
      <c r="F87" s="2">
        <v>22.986999999999998</v>
      </c>
      <c r="G87" s="2" t="str">
        <f t="shared" si="4"/>
        <v>Pass</v>
      </c>
      <c r="Y87" s="2">
        <v>72</v>
      </c>
      <c r="Z87" s="2">
        <v>0.31180000000000002</v>
      </c>
      <c r="AA87" s="2">
        <v>0.32840000000000003</v>
      </c>
      <c r="AB87" s="2">
        <v>23.6191</v>
      </c>
    </row>
    <row r="88" spans="2:28" x14ac:dyDescent="0.4">
      <c r="B88" s="11">
        <v>71</v>
      </c>
      <c r="C88" s="16">
        <f t="shared" si="5"/>
        <v>21.16667005636052</v>
      </c>
      <c r="D88" s="17">
        <f t="shared" si="7"/>
        <v>23.518522284845023</v>
      </c>
      <c r="E88" s="17">
        <f t="shared" si="6"/>
        <v>25.870374513329526</v>
      </c>
      <c r="F88" s="2">
        <v>23.4819</v>
      </c>
      <c r="G88" s="2" t="str">
        <f t="shared" si="4"/>
        <v>Pass</v>
      </c>
      <c r="Y88" s="2">
        <v>73</v>
      </c>
      <c r="Z88" s="2">
        <v>0.31240000000000001</v>
      </c>
      <c r="AA88" s="2">
        <v>0.32869999999999999</v>
      </c>
      <c r="AB88" s="2">
        <v>24.388999999999999</v>
      </c>
    </row>
    <row r="89" spans="2:28" x14ac:dyDescent="0.4">
      <c r="B89" s="11">
        <v>72</v>
      </c>
      <c r="C89" s="16">
        <f t="shared" si="5"/>
        <v>21.704229447887684</v>
      </c>
      <c r="D89" s="17">
        <f t="shared" si="7"/>
        <v>24.115810497652983</v>
      </c>
      <c r="E89" s="17">
        <f t="shared" si="6"/>
        <v>26.527391547418283</v>
      </c>
      <c r="F89" s="2">
        <v>23.6191</v>
      </c>
      <c r="G89" s="2" t="str">
        <f t="shared" si="4"/>
        <v>Pass</v>
      </c>
      <c r="Y89" s="2">
        <v>74</v>
      </c>
      <c r="Z89" s="2">
        <v>0.31240000000000001</v>
      </c>
      <c r="AA89" s="2">
        <v>0.32879999999999998</v>
      </c>
      <c r="AB89" s="2">
        <v>24.9358</v>
      </c>
    </row>
    <row r="90" spans="2:28" x14ac:dyDescent="0.4">
      <c r="B90" s="11">
        <v>73</v>
      </c>
      <c r="C90" s="16">
        <f t="shared" si="5"/>
        <v>22.247772304440712</v>
      </c>
      <c r="D90" s="17">
        <f t="shared" si="7"/>
        <v>24.719747004934124</v>
      </c>
      <c r="E90" s="17">
        <f t="shared" si="6"/>
        <v>27.191721705427536</v>
      </c>
      <c r="F90" s="2">
        <v>24.388999999999999</v>
      </c>
      <c r="G90" s="2" t="str">
        <f t="shared" si="4"/>
        <v>Pass</v>
      </c>
      <c r="Y90" s="2">
        <v>75</v>
      </c>
      <c r="Z90" s="2">
        <v>0.31</v>
      </c>
      <c r="AA90" s="2">
        <v>0.32740000000000002</v>
      </c>
      <c r="AB90" s="2">
        <v>25.456900000000001</v>
      </c>
    </row>
    <row r="91" spans="2:28" x14ac:dyDescent="0.4">
      <c r="B91" s="11">
        <v>74</v>
      </c>
      <c r="C91" s="16">
        <f t="shared" si="5"/>
        <v>22.797282203596065</v>
      </c>
      <c r="D91" s="17">
        <f t="shared" si="7"/>
        <v>25.330313559551183</v>
      </c>
      <c r="E91" s="17">
        <f t="shared" si="6"/>
        <v>27.8633449155063</v>
      </c>
      <c r="F91" s="2">
        <v>24.9358</v>
      </c>
      <c r="G91" s="2" t="str">
        <f t="shared" si="4"/>
        <v>Pass</v>
      </c>
      <c r="Y91" s="2">
        <v>76</v>
      </c>
      <c r="Z91" s="2">
        <v>0.31009999999999999</v>
      </c>
      <c r="AA91" s="2">
        <v>0.32740000000000002</v>
      </c>
      <c r="AB91" s="2">
        <v>26.039100000000001</v>
      </c>
    </row>
    <row r="92" spans="2:28" x14ac:dyDescent="0.4">
      <c r="B92" s="11">
        <v>75</v>
      </c>
      <c r="C92" s="16">
        <f t="shared" si="5"/>
        <v>23.352742989721872</v>
      </c>
      <c r="D92" s="17">
        <f t="shared" si="7"/>
        <v>25.947492210802078</v>
      </c>
      <c r="E92" s="17">
        <f t="shared" si="6"/>
        <v>28.542241431882285</v>
      </c>
      <c r="F92" s="2">
        <v>25.456900000000001</v>
      </c>
      <c r="G92" s="2" t="str">
        <f t="shared" si="4"/>
        <v>Pass</v>
      </c>
      <c r="Y92" s="2">
        <v>77</v>
      </c>
      <c r="Z92" s="2">
        <v>0.31019999999999998</v>
      </c>
      <c r="AA92" s="2">
        <v>0.32750000000000001</v>
      </c>
      <c r="AB92" s="2">
        <v>26.7867</v>
      </c>
    </row>
    <row r="93" spans="2:28" x14ac:dyDescent="0.4">
      <c r="B93" s="11">
        <v>76</v>
      </c>
      <c r="C93" s="16">
        <f t="shared" si="5"/>
        <v>23.914138766137608</v>
      </c>
      <c r="D93" s="17">
        <f t="shared" si="7"/>
        <v>26.571265295708454</v>
      </c>
      <c r="E93" s="17">
        <f t="shared" si="6"/>
        <v>29.228391825279299</v>
      </c>
      <c r="F93" s="2">
        <v>26.039100000000001</v>
      </c>
      <c r="G93" s="2" t="str">
        <f t="shared" si="4"/>
        <v>Pass</v>
      </c>
      <c r="Y93" s="2">
        <v>78</v>
      </c>
      <c r="Z93" s="2">
        <v>0.31009999999999999</v>
      </c>
      <c r="AA93" s="2">
        <v>0.3276</v>
      </c>
      <c r="AB93" s="2">
        <v>27.325299999999999</v>
      </c>
    </row>
    <row r="94" spans="2:28" x14ac:dyDescent="0.4">
      <c r="B94" s="11">
        <v>77</v>
      </c>
      <c r="C94" s="16">
        <f t="shared" si="5"/>
        <v>24.481453887604786</v>
      </c>
      <c r="D94" s="17">
        <f t="shared" si="7"/>
        <v>27.201615430671986</v>
      </c>
      <c r="E94" s="17">
        <f t="shared" si="6"/>
        <v>29.921776973739185</v>
      </c>
      <c r="F94" s="2">
        <v>26.7867</v>
      </c>
      <c r="G94" s="2" t="str">
        <f t="shared" si="4"/>
        <v>Pass</v>
      </c>
      <c r="Y94" s="2">
        <v>79</v>
      </c>
      <c r="Z94" s="2">
        <v>0.30940000000000001</v>
      </c>
      <c r="AA94" s="2">
        <v>0.32719999999999999</v>
      </c>
      <c r="AB94" s="2">
        <v>28.0228</v>
      </c>
    </row>
    <row r="95" spans="2:28" x14ac:dyDescent="0.4">
      <c r="B95" s="11">
        <v>78</v>
      </c>
      <c r="C95" s="16">
        <f t="shared" si="5"/>
        <v>25.054672953130051</v>
      </c>
      <c r="D95" s="17">
        <f t="shared" si="7"/>
        <v>27.838525503477836</v>
      </c>
      <c r="E95" s="17">
        <f t="shared" si="6"/>
        <v>30.622378053825621</v>
      </c>
      <c r="F95" s="2">
        <v>27.325299999999999</v>
      </c>
      <c r="G95" s="2" t="str">
        <f t="shared" si="4"/>
        <v>Pass</v>
      </c>
      <c r="Y95" s="2">
        <v>80</v>
      </c>
      <c r="Z95" s="2">
        <v>0.31159999999999999</v>
      </c>
      <c r="AA95" s="2">
        <v>0.33</v>
      </c>
      <c r="AB95" s="2">
        <v>28.537600000000001</v>
      </c>
    </row>
    <row r="96" spans="2:28" x14ac:dyDescent="0.4">
      <c r="B96" s="11">
        <v>79</v>
      </c>
      <c r="C96" s="16">
        <f t="shared" si="5"/>
        <v>25.63378079906413</v>
      </c>
      <c r="D96" s="17">
        <f t="shared" si="7"/>
        <v>28.481978665626812</v>
      </c>
      <c r="E96" s="17">
        <f t="shared" si="6"/>
        <v>31.330176532189494</v>
      </c>
      <c r="F96" s="2">
        <v>28.0228</v>
      </c>
      <c r="G96" s="2" t="str">
        <f t="shared" si="4"/>
        <v>Pass</v>
      </c>
      <c r="Y96" s="2">
        <v>81</v>
      </c>
      <c r="Z96" s="2">
        <v>0.31059999999999999</v>
      </c>
      <c r="AA96" s="2">
        <v>0.32940000000000003</v>
      </c>
      <c r="AB96" s="2">
        <v>29.1494</v>
      </c>
    </row>
    <row r="97" spans="2:28" x14ac:dyDescent="0.4">
      <c r="B97" s="11">
        <v>80</v>
      </c>
      <c r="C97" s="16">
        <f t="shared" si="5"/>
        <v>26.218762492480877</v>
      </c>
      <c r="D97" s="17">
        <f t="shared" si="7"/>
        <v>29.131958324978751</v>
      </c>
      <c r="E97" s="17">
        <f t="shared" si="6"/>
        <v>32.045154157476624</v>
      </c>
      <c r="F97" s="2">
        <v>28.537600000000001</v>
      </c>
      <c r="G97" s="2" t="str">
        <f t="shared" si="4"/>
        <v>Pass</v>
      </c>
      <c r="Y97" s="2">
        <v>82</v>
      </c>
      <c r="Z97" s="2">
        <v>0.31069999999999998</v>
      </c>
      <c r="AA97" s="2">
        <v>0.32929999999999998</v>
      </c>
      <c r="AB97" s="2">
        <v>29.894500000000001</v>
      </c>
    </row>
    <row r="98" spans="2:28" x14ac:dyDescent="0.4">
      <c r="B98" s="11">
        <v>81</v>
      </c>
      <c r="C98" s="16">
        <f t="shared" si="5"/>
        <v>26.809603324821524</v>
      </c>
      <c r="D98" s="17">
        <f t="shared" si="7"/>
        <v>29.78844813869058</v>
      </c>
      <c r="E98" s="17">
        <f t="shared" si="6"/>
        <v>32.767292952559636</v>
      </c>
      <c r="F98" s="2">
        <v>29.1494</v>
      </c>
      <c r="G98" s="2" t="str">
        <f t="shared" si="4"/>
        <v>Pass</v>
      </c>
      <c r="Y98" s="2">
        <v>83</v>
      </c>
      <c r="Z98" s="2">
        <v>0.31059999999999999</v>
      </c>
      <c r="AA98" s="2">
        <v>0.32929999999999998</v>
      </c>
      <c r="AB98" s="2">
        <v>30.470400000000001</v>
      </c>
    </row>
    <row r="99" spans="2:28" x14ac:dyDescent="0.4">
      <c r="B99" s="11">
        <v>82</v>
      </c>
      <c r="C99" s="16">
        <f t="shared" si="5"/>
        <v>27.40628880579051</v>
      </c>
      <c r="D99" s="17">
        <f t="shared" si="7"/>
        <v>30.451432006433901</v>
      </c>
      <c r="E99" s="17">
        <f t="shared" si="6"/>
        <v>33.496575207077292</v>
      </c>
      <c r="F99" s="2">
        <v>29.894500000000001</v>
      </c>
      <c r="G99" s="2" t="str">
        <f t="shared" si="4"/>
        <v>Pass</v>
      </c>
      <c r="Y99" s="2">
        <v>84</v>
      </c>
      <c r="Z99" s="2">
        <v>0.31059999999999999</v>
      </c>
      <c r="AA99" s="2">
        <v>0.3291</v>
      </c>
      <c r="AB99" s="2">
        <v>31.220800000000001</v>
      </c>
    </row>
    <row r="100" spans="2:28" x14ac:dyDescent="0.4">
      <c r="B100" s="11">
        <v>83</v>
      </c>
      <c r="C100" s="16">
        <f t="shared" si="5"/>
        <v>28.008804657489975</v>
      </c>
      <c r="D100" s="17">
        <f t="shared" si="7"/>
        <v>31.120894063877749</v>
      </c>
      <c r="E100" s="17">
        <f t="shared" si="6"/>
        <v>34.232983470265523</v>
      </c>
      <c r="F100" s="2">
        <v>30.470400000000001</v>
      </c>
      <c r="G100" s="2" t="str">
        <f t="shared" si="4"/>
        <v>Pass</v>
      </c>
      <c r="Y100" s="2">
        <v>85</v>
      </c>
      <c r="Z100" s="2">
        <v>0.31069999999999998</v>
      </c>
      <c r="AA100" s="2">
        <v>0.3291</v>
      </c>
      <c r="AB100" s="2">
        <v>31.7836</v>
      </c>
    </row>
    <row r="101" spans="2:28" x14ac:dyDescent="0.4">
      <c r="B101" s="11">
        <v>84</v>
      </c>
      <c r="C101" s="16">
        <f t="shared" si="5"/>
        <v>28.617136808780614</v>
      </c>
      <c r="D101" s="17">
        <f t="shared" si="7"/>
        <v>31.796818676422905</v>
      </c>
      <c r="E101" s="17">
        <f t="shared" si="6"/>
        <v>34.976500544065196</v>
      </c>
      <c r="F101" s="2">
        <v>31.220800000000001</v>
      </c>
      <c r="G101" s="2" t="str">
        <f t="shared" si="4"/>
        <v>Pass</v>
      </c>
      <c r="Y101" s="2">
        <v>86</v>
      </c>
      <c r="Z101" s="2">
        <v>0.31059999999999999</v>
      </c>
      <c r="AA101" s="2">
        <v>0.32919999999999999</v>
      </c>
      <c r="AB101" s="2">
        <v>32.423000000000002</v>
      </c>
    </row>
    <row r="102" spans="2:28" x14ac:dyDescent="0.4">
      <c r="B102" s="11">
        <v>85</v>
      </c>
      <c r="C102" s="16">
        <f t="shared" si="5"/>
        <v>29.231271389857838</v>
      </c>
      <c r="D102" s="17">
        <f t="shared" si="7"/>
        <v>32.479190433175376</v>
      </c>
      <c r="E102" s="17">
        <f t="shared" si="6"/>
        <v>35.727109476492913</v>
      </c>
      <c r="F102" s="2">
        <v>31.7836</v>
      </c>
      <c r="G102" s="2" t="str">
        <f t="shared" si="4"/>
        <v>Pass</v>
      </c>
      <c r="Y102" s="2">
        <v>87</v>
      </c>
      <c r="Z102" s="2">
        <v>0.31059999999999999</v>
      </c>
      <c r="AA102" s="2">
        <v>0.32919999999999999</v>
      </c>
      <c r="AB102" s="2">
        <v>33.204000000000001</v>
      </c>
    </row>
    <row r="103" spans="2:28" x14ac:dyDescent="0.4">
      <c r="B103" s="11">
        <v>86</v>
      </c>
      <c r="C103" s="16">
        <f t="shared" si="5"/>
        <v>29.851194727032521</v>
      </c>
      <c r="D103" s="17">
        <f t="shared" si="7"/>
        <v>33.167994141147247</v>
      </c>
      <c r="E103" s="17">
        <f t="shared" si="6"/>
        <v>36.484793555261973</v>
      </c>
      <c r="F103" s="2">
        <v>32.423000000000002</v>
      </c>
      <c r="G103" s="2" t="str">
        <f t="shared" si="4"/>
        <v>Pass</v>
      </c>
      <c r="Y103" s="2">
        <v>88</v>
      </c>
      <c r="Z103" s="2">
        <v>0.31069999999999998</v>
      </c>
      <c r="AA103" s="2">
        <v>0.32919999999999999</v>
      </c>
      <c r="AB103" s="2">
        <v>33.871200000000002</v>
      </c>
    </row>
    <row r="104" spans="2:28" x14ac:dyDescent="0.4">
      <c r="B104" s="11">
        <v>87</v>
      </c>
      <c r="C104" s="16">
        <f t="shared" si="5"/>
        <v>30.476893337706024</v>
      </c>
      <c r="D104" s="17">
        <f t="shared" si="7"/>
        <v>33.86321481967336</v>
      </c>
      <c r="E104" s="17">
        <f t="shared" si="6"/>
        <v>37.249536301640696</v>
      </c>
      <c r="F104" s="2">
        <v>33.204000000000001</v>
      </c>
      <c r="G104" s="2" t="str">
        <f t="shared" si="4"/>
        <v>Pass</v>
      </c>
      <c r="Y104" s="2">
        <v>89</v>
      </c>
      <c r="Z104" s="2">
        <v>0.3105</v>
      </c>
      <c r="AA104" s="2">
        <v>0.32879999999999998</v>
      </c>
      <c r="AB104" s="2">
        <v>34.668300000000002</v>
      </c>
    </row>
    <row r="105" spans="2:28" x14ac:dyDescent="0.4">
      <c r="B105" s="11">
        <v>88</v>
      </c>
      <c r="C105" s="16">
        <f t="shared" si="5"/>
        <v>31.108353925530608</v>
      </c>
      <c r="D105" s="17">
        <f t="shared" si="7"/>
        <v>34.564837695034008</v>
      </c>
      <c r="E105" s="17">
        <f t="shared" si="6"/>
        <v>38.021321464537408</v>
      </c>
      <c r="F105" s="2">
        <v>33.871200000000002</v>
      </c>
      <c r="G105" s="2" t="str">
        <f t="shared" si="4"/>
        <v>Pass</v>
      </c>
      <c r="Y105" s="2">
        <v>90</v>
      </c>
      <c r="Z105" s="2">
        <v>0.3105</v>
      </c>
      <c r="AA105" s="2">
        <v>0.3291</v>
      </c>
      <c r="AB105" s="2">
        <v>35.3735</v>
      </c>
    </row>
    <row r="106" spans="2:28" x14ac:dyDescent="0.4">
      <c r="B106" s="11">
        <v>89</v>
      </c>
      <c r="C106" s="16">
        <f t="shared" si="5"/>
        <v>31.745563375745935</v>
      </c>
      <c r="D106" s="17">
        <f t="shared" si="7"/>
        <v>35.272848195273262</v>
      </c>
      <c r="E106" s="17">
        <f t="shared" si="6"/>
        <v>38.800133014800586</v>
      </c>
      <c r="F106" s="2">
        <v>34.668300000000002</v>
      </c>
      <c r="G106" s="2" t="str">
        <f t="shared" si="4"/>
        <v>Pass</v>
      </c>
      <c r="Y106" s="2">
        <v>91</v>
      </c>
      <c r="Z106" s="2">
        <v>0.31059999999999999</v>
      </c>
      <c r="AA106" s="2">
        <v>0.32900000000000001</v>
      </c>
      <c r="AB106" s="2">
        <v>36.310299999999998</v>
      </c>
    </row>
    <row r="107" spans="2:28" x14ac:dyDescent="0.4">
      <c r="B107" s="11">
        <v>90</v>
      </c>
      <c r="C107" s="16">
        <f t="shared" si="5"/>
        <v>32.388508750683584</v>
      </c>
      <c r="D107" s="17">
        <f t="shared" si="7"/>
        <v>35.98723194520398</v>
      </c>
      <c r="E107" s="17">
        <f t="shared" si="6"/>
        <v>39.585955139724376</v>
      </c>
      <c r="F107" s="2">
        <v>35.3735</v>
      </c>
      <c r="G107" s="2" t="str">
        <f t="shared" si="4"/>
        <v>Pass</v>
      </c>
      <c r="Y107" s="2">
        <v>92</v>
      </c>
      <c r="Z107" s="2">
        <v>0.3105</v>
      </c>
      <c r="AA107" s="2">
        <v>0.32900000000000001</v>
      </c>
      <c r="AB107" s="2">
        <v>37</v>
      </c>
    </row>
    <row r="108" spans="2:28" x14ac:dyDescent="0.4">
      <c r="B108" s="11">
        <v>91</v>
      </c>
      <c r="C108" s="16">
        <f t="shared" si="5"/>
        <v>33.037177285431639</v>
      </c>
      <c r="D108" s="17">
        <f t="shared" si="7"/>
        <v>36.707974761590712</v>
      </c>
      <c r="E108" s="17">
        <f t="shared" si="6"/>
        <v>40.378772237749786</v>
      </c>
      <c r="F108" s="2">
        <v>36.310299999999998</v>
      </c>
      <c r="G108" s="2" t="str">
        <f t="shared" si="4"/>
        <v>Pass</v>
      </c>
      <c r="Y108" s="2">
        <v>93</v>
      </c>
      <c r="Z108" s="2">
        <v>0.31069999999999998</v>
      </c>
      <c r="AA108" s="2">
        <v>0.32890000000000003</v>
      </c>
      <c r="AB108" s="2">
        <v>37.909999999999997</v>
      </c>
    </row>
    <row r="109" spans="2:28" x14ac:dyDescent="0.4">
      <c r="B109" s="11">
        <v>92</v>
      </c>
      <c r="C109" s="16">
        <f t="shared" si="5"/>
        <v>33.691556383651871</v>
      </c>
      <c r="D109" s="17">
        <f t="shared" si="7"/>
        <v>37.435062648502075</v>
      </c>
      <c r="E109" s="17">
        <f t="shared" si="6"/>
        <v>41.178568913352279</v>
      </c>
      <c r="F109" s="2">
        <v>37</v>
      </c>
      <c r="G109" s="2" t="str">
        <f t="shared" si="4"/>
        <v>Pass</v>
      </c>
      <c r="Y109" s="2">
        <v>94</v>
      </c>
      <c r="Z109" s="2">
        <v>0.31069999999999998</v>
      </c>
      <c r="AA109" s="2">
        <v>0.3291</v>
      </c>
      <c r="AB109" s="2">
        <v>38.568600000000004</v>
      </c>
    </row>
    <row r="110" spans="2:28" x14ac:dyDescent="0.4">
      <c r="B110" s="11">
        <v>93</v>
      </c>
      <c r="C110" s="16">
        <f t="shared" si="5"/>
        <v>34.351633613542838</v>
      </c>
      <c r="D110" s="17">
        <f t="shared" si="7"/>
        <v>38.168481792825375</v>
      </c>
      <c r="E110" s="17">
        <f t="shared" si="6"/>
        <v>41.985329972107913</v>
      </c>
      <c r="F110" s="2">
        <v>37.909999999999997</v>
      </c>
      <c r="G110" s="2" t="str">
        <f t="shared" si="4"/>
        <v>Pass</v>
      </c>
      <c r="Y110" s="2">
        <v>95</v>
      </c>
      <c r="Z110" s="2">
        <v>0.31230000000000002</v>
      </c>
      <c r="AA110" s="2">
        <v>0.33139999999999997</v>
      </c>
      <c r="AB110" s="2">
        <v>39.178899999999999</v>
      </c>
    </row>
    <row r="111" spans="2:28" x14ac:dyDescent="0.4">
      <c r="B111" s="11">
        <v>94</v>
      </c>
      <c r="C111" s="16">
        <f t="shared" si="5"/>
        <v>35.017396703941884</v>
      </c>
      <c r="D111" s="17">
        <f t="shared" si="7"/>
        <v>38.908218559935428</v>
      </c>
      <c r="E111" s="17">
        <f t="shared" si="6"/>
        <v>42.799040415928971</v>
      </c>
      <c r="F111" s="2">
        <v>38.568600000000004</v>
      </c>
      <c r="G111" s="2" t="str">
        <f t="shared" si="4"/>
        <v>Pass</v>
      </c>
      <c r="Y111" s="2">
        <v>96</v>
      </c>
      <c r="Z111" s="2">
        <v>0.31240000000000001</v>
      </c>
      <c r="AA111" s="2">
        <v>0.33139999999999997</v>
      </c>
      <c r="AB111" s="2">
        <v>40.046500000000002</v>
      </c>
    </row>
    <row r="112" spans="2:28" x14ac:dyDescent="0.4">
      <c r="B112" s="11">
        <v>95</v>
      </c>
      <c r="C112" s="16">
        <f t="shared" si="5"/>
        <v>35.688833540560104</v>
      </c>
      <c r="D112" s="17">
        <f t="shared" si="7"/>
        <v>39.654259489511226</v>
      </c>
      <c r="E112" s="17">
        <f t="shared" si="6"/>
        <v>43.619685438462348</v>
      </c>
      <c r="F112" s="2">
        <v>39.178899999999999</v>
      </c>
      <c r="G112" s="2" t="str">
        <f t="shared" si="4"/>
        <v>Pass</v>
      </c>
      <c r="Y112" s="2">
        <v>97</v>
      </c>
      <c r="Z112" s="2">
        <v>0.31090000000000001</v>
      </c>
      <c r="AA112" s="2">
        <v>0.32890000000000003</v>
      </c>
      <c r="AB112" s="2">
        <v>40.783900000000003</v>
      </c>
    </row>
    <row r="113" spans="2:28" x14ac:dyDescent="0.4">
      <c r="B113" s="11">
        <v>96</v>
      </c>
      <c r="C113" s="16">
        <f t="shared" si="5"/>
        <v>36.36593216234435</v>
      </c>
      <c r="D113" s="17">
        <f t="shared" si="7"/>
        <v>40.406591291493719</v>
      </c>
      <c r="E113" s="17">
        <f t="shared" si="6"/>
        <v>44.447250420643087</v>
      </c>
      <c r="F113" s="2">
        <v>40.046500000000002</v>
      </c>
      <c r="G113" s="2" t="str">
        <f t="shared" si="4"/>
        <v>Pass</v>
      </c>
      <c r="Y113" s="2">
        <v>98</v>
      </c>
      <c r="Z113" s="2">
        <v>0.31080000000000002</v>
      </c>
      <c r="AA113" s="2">
        <v>0.32890000000000003</v>
      </c>
      <c r="AB113" s="2">
        <v>41.681800000000003</v>
      </c>
    </row>
    <row r="114" spans="2:28" x14ac:dyDescent="0.4">
      <c r="B114" s="11">
        <v>97</v>
      </c>
      <c r="C114" s="16">
        <f t="shared" si="5"/>
        <v>37.048680757960632</v>
      </c>
      <c r="D114" s="17">
        <f t="shared" si="7"/>
        <v>41.165200842178479</v>
      </c>
      <c r="E114" s="17">
        <f t="shared" si="6"/>
        <v>45.281720926396325</v>
      </c>
      <c r="F114" s="2">
        <v>40.783900000000003</v>
      </c>
      <c r="G114" s="2" t="str">
        <f t="shared" si="4"/>
        <v>Pass</v>
      </c>
      <c r="Y114" s="2">
        <v>99</v>
      </c>
      <c r="Z114" s="2">
        <v>0.31180000000000002</v>
      </c>
      <c r="AA114" s="2">
        <v>0.32840000000000003</v>
      </c>
      <c r="AB114" s="2">
        <v>42.566200000000002</v>
      </c>
    </row>
    <row r="115" spans="2:28" x14ac:dyDescent="0.4">
      <c r="B115" s="11">
        <v>98</v>
      </c>
      <c r="C115" s="16">
        <f t="shared" si="5"/>
        <v>37.737067662393727</v>
      </c>
      <c r="D115" s="17">
        <f t="shared" si="7"/>
        <v>41.930075180437477</v>
      </c>
      <c r="E115" s="17">
        <f t="shared" si="6"/>
        <v>46.123082698481227</v>
      </c>
      <c r="F115" s="2">
        <v>41.681800000000003</v>
      </c>
      <c r="G115" s="2" t="str">
        <f t="shared" si="4"/>
        <v>Pass</v>
      </c>
      <c r="Y115" s="2">
        <v>100</v>
      </c>
      <c r="Z115" s="2">
        <v>0.31190000000000001</v>
      </c>
      <c r="AA115" s="2">
        <v>0.32819999999999999</v>
      </c>
      <c r="AB115" s="2">
        <v>43.2346</v>
      </c>
    </row>
    <row r="116" spans="2:28" x14ac:dyDescent="0.4">
      <c r="B116" s="11">
        <v>99</v>
      </c>
      <c r="C116" s="16">
        <f t="shared" si="5"/>
        <v>38.431081353657994</v>
      </c>
      <c r="D116" s="17">
        <f t="shared" si="7"/>
        <v>42.701201504064436</v>
      </c>
      <c r="E116" s="17">
        <f t="shared" si="6"/>
        <v>46.971321654470877</v>
      </c>
      <c r="F116" s="2">
        <v>42.566200000000002</v>
      </c>
      <c r="G116" s="2" t="str">
        <f t="shared" si="4"/>
        <v>Pass</v>
      </c>
      <c r="Y116" s="2">
        <v>101</v>
      </c>
      <c r="Z116" s="2">
        <v>0.31180000000000002</v>
      </c>
      <c r="AA116" s="2">
        <v>0.32840000000000003</v>
      </c>
      <c r="AB116" s="2">
        <v>44.243600000000001</v>
      </c>
    </row>
    <row r="117" spans="2:28" x14ac:dyDescent="0.4">
      <c r="B117" s="11">
        <v>100</v>
      </c>
      <c r="C117" s="16">
        <f t="shared" si="5"/>
        <v>39.13071044961449</v>
      </c>
      <c r="D117" s="17">
        <f t="shared" si="7"/>
        <v>43.478567166238321</v>
      </c>
      <c r="E117" s="17">
        <f t="shared" si="6"/>
        <v>47.826423882862152</v>
      </c>
      <c r="F117" s="2">
        <v>43.2346</v>
      </c>
      <c r="G117" s="2" t="str">
        <f t="shared" si="4"/>
        <v>Pass</v>
      </c>
      <c r="Y117" s="2">
        <v>102</v>
      </c>
      <c r="Z117" s="2">
        <v>0.31190000000000001</v>
      </c>
      <c r="AA117" s="2">
        <v>0.32829999999999998</v>
      </c>
      <c r="AB117" s="2">
        <v>44.944299999999998</v>
      </c>
    </row>
    <row r="118" spans="2:28" x14ac:dyDescent="0.4">
      <c r="B118" s="11">
        <v>101</v>
      </c>
      <c r="C118" s="16">
        <f t="shared" si="5"/>
        <v>39.835943704890347</v>
      </c>
      <c r="D118" s="17">
        <f t="shared" si="7"/>
        <v>44.262159672100388</v>
      </c>
      <c r="E118" s="17">
        <f t="shared" si="6"/>
        <v>48.688375639310429</v>
      </c>
      <c r="F118" s="2">
        <v>44.243600000000001</v>
      </c>
      <c r="G118" s="2" t="str">
        <f t="shared" si="4"/>
        <v>Pass</v>
      </c>
      <c r="Y118" s="2">
        <v>103</v>
      </c>
      <c r="Z118" s="2">
        <v>0.3115</v>
      </c>
      <c r="AA118" s="2">
        <v>0.32779999999999998</v>
      </c>
      <c r="AB118" s="2">
        <v>45.940399999999997</v>
      </c>
    </row>
    <row r="119" spans="2:28" x14ac:dyDescent="0.4">
      <c r="B119" s="11">
        <v>102</v>
      </c>
      <c r="C119" s="16">
        <f t="shared" si="5"/>
        <v>40.546770007895731</v>
      </c>
      <c r="D119" s="17">
        <f t="shared" si="7"/>
        <v>45.051966675439701</v>
      </c>
      <c r="E119" s="17">
        <f t="shared" si="6"/>
        <v>49.557163342983671</v>
      </c>
      <c r="F119" s="2">
        <v>44.944299999999998</v>
      </c>
      <c r="G119" s="2" t="str">
        <f t="shared" si="4"/>
        <v>Pass</v>
      </c>
      <c r="Y119" s="2">
        <v>104</v>
      </c>
      <c r="Z119" s="2">
        <v>0.31119999999999998</v>
      </c>
      <c r="AA119" s="2">
        <v>0.32740000000000002</v>
      </c>
      <c r="AB119" s="2">
        <v>46.658499999999997</v>
      </c>
    </row>
    <row r="120" spans="2:28" x14ac:dyDescent="0.4">
      <c r="B120" s="11">
        <v>103</v>
      </c>
      <c r="C120" s="16">
        <f t="shared" si="5"/>
        <v>41.26317837793443</v>
      </c>
      <c r="D120" s="17">
        <f t="shared" si="7"/>
        <v>45.847975975482697</v>
      </c>
      <c r="E120" s="17">
        <f t="shared" si="6"/>
        <v>50.432773573030964</v>
      </c>
      <c r="F120" s="2">
        <v>45.940399999999997</v>
      </c>
      <c r="G120" s="2" t="str">
        <f t="shared" si="4"/>
        <v>Pass</v>
      </c>
      <c r="Y120" s="2">
        <v>105</v>
      </c>
      <c r="Z120" s="2">
        <v>0.31119999999999998</v>
      </c>
      <c r="AA120" s="2">
        <v>0.32729999999999998</v>
      </c>
      <c r="AB120" s="2">
        <v>47.429299999999998</v>
      </c>
    </row>
    <row r="121" spans="2:28" x14ac:dyDescent="0.4">
      <c r="B121" s="11">
        <v>104</v>
      </c>
      <c r="C121" s="16">
        <f t="shared" si="5"/>
        <v>41.985157962404486</v>
      </c>
      <c r="D121" s="17">
        <f t="shared" si="7"/>
        <v>46.650175513782763</v>
      </c>
      <c r="E121" s="17">
        <f t="shared" si="6"/>
        <v>51.31519306516104</v>
      </c>
      <c r="F121" s="2">
        <v>46.658499999999997</v>
      </c>
      <c r="G121" s="2" t="str">
        <f t="shared" si="4"/>
        <v>Pass</v>
      </c>
      <c r="Y121" s="2">
        <v>106</v>
      </c>
      <c r="Z121" s="2">
        <v>0.31109999999999999</v>
      </c>
      <c r="AA121" s="2">
        <v>0.3271</v>
      </c>
      <c r="AB121" s="2">
        <v>48.468800000000002</v>
      </c>
    </row>
    <row r="122" spans="2:28" x14ac:dyDescent="0.4">
      <c r="B122" s="11">
        <v>105</v>
      </c>
      <c r="C122" s="16">
        <f t="shared" si="5"/>
        <v>42.712698034085037</v>
      </c>
      <c r="D122" s="17">
        <f t="shared" si="7"/>
        <v>47.458553371205596</v>
      </c>
      <c r="E122" s="17">
        <f t="shared" si="6"/>
        <v>52.204408708326156</v>
      </c>
      <c r="F122" s="2">
        <v>47.429299999999998</v>
      </c>
      <c r="G122" s="2" t="str">
        <f t="shared" si="4"/>
        <v>Pass</v>
      </c>
      <c r="Y122" s="2">
        <v>107</v>
      </c>
      <c r="Z122" s="2">
        <v>0.31119999999999998</v>
      </c>
      <c r="AA122" s="2">
        <v>0.3271</v>
      </c>
      <c r="AB122" s="2">
        <v>49.228499999999997</v>
      </c>
    </row>
    <row r="123" spans="2:28" x14ac:dyDescent="0.4">
      <c r="B123" s="11">
        <v>106</v>
      </c>
      <c r="C123" s="16">
        <f t="shared" si="5"/>
        <v>43.44578798850592</v>
      </c>
      <c r="D123" s="17">
        <f t="shared" si="7"/>
        <v>48.273097765006575</v>
      </c>
      <c r="E123" s="17">
        <f t="shared" si="6"/>
        <v>53.100407541507231</v>
      </c>
      <c r="F123" s="2">
        <v>48.468800000000002</v>
      </c>
      <c r="G123" s="2" t="str">
        <f t="shared" si="4"/>
        <v>Pass</v>
      </c>
      <c r="Y123" s="2">
        <v>108</v>
      </c>
      <c r="Z123" s="2">
        <v>0.31119999999999998</v>
      </c>
      <c r="AA123" s="2">
        <v>0.3271</v>
      </c>
      <c r="AB123" s="2">
        <v>50.2181</v>
      </c>
    </row>
    <row r="124" spans="2:28" x14ac:dyDescent="0.4">
      <c r="B124" s="11">
        <v>107</v>
      </c>
      <c r="C124" s="16">
        <f t="shared" si="5"/>
        <v>44.184417341396738</v>
      </c>
      <c r="D124" s="17">
        <f t="shared" si="7"/>
        <v>49.093797045996375</v>
      </c>
      <c r="E124" s="17">
        <f t="shared" si="6"/>
        <v>54.003176750596012</v>
      </c>
      <c r="F124" s="2">
        <v>49.228499999999997</v>
      </c>
      <c r="G124" s="2" t="str">
        <f t="shared" si="4"/>
        <v>Pass</v>
      </c>
      <c r="Y124" s="2">
        <v>109</v>
      </c>
      <c r="Z124" s="2">
        <v>0.31109999999999999</v>
      </c>
      <c r="AA124" s="2">
        <v>0.32700000000000001</v>
      </c>
      <c r="AB124" s="2">
        <v>50.996299999999998</v>
      </c>
    </row>
    <row r="125" spans="2:28" x14ac:dyDescent="0.4">
      <c r="B125" s="11">
        <v>108</v>
      </c>
      <c r="C125" s="16">
        <f t="shared" si="5"/>
        <v>44.928575726212429</v>
      </c>
      <c r="D125" s="17">
        <f t="shared" si="7"/>
        <v>49.920639695791586</v>
      </c>
      <c r="E125" s="17">
        <f t="shared" si="6"/>
        <v>54.912703665370742</v>
      </c>
      <c r="F125" s="2">
        <v>50.2181</v>
      </c>
      <c r="G125" s="2" t="str">
        <f t="shared" si="4"/>
        <v>Pass</v>
      </c>
      <c r="Y125" s="2">
        <v>110</v>
      </c>
      <c r="Z125" s="2">
        <v>0.31119999999999998</v>
      </c>
      <c r="AA125" s="2">
        <v>0.3271</v>
      </c>
      <c r="AB125" s="2">
        <v>52.005499999999998</v>
      </c>
    </row>
    <row r="126" spans="2:28" x14ac:dyDescent="0.4">
      <c r="B126" s="11">
        <v>109</v>
      </c>
      <c r="C126" s="16">
        <f t="shared" si="5"/>
        <v>45.678252891732186</v>
      </c>
      <c r="D126" s="17">
        <f t="shared" si="7"/>
        <v>50.753614324146874</v>
      </c>
      <c r="E126" s="17">
        <f t="shared" si="6"/>
        <v>55.828975756561562</v>
      </c>
      <c r="F126" s="2">
        <v>50.996299999999998</v>
      </c>
      <c r="G126" s="2" t="str">
        <f t="shared" si="4"/>
        <v>Pass</v>
      </c>
      <c r="Y126" s="2">
        <v>111</v>
      </c>
      <c r="Z126" s="2">
        <v>0.31140000000000001</v>
      </c>
      <c r="AA126" s="2">
        <v>0.32750000000000001</v>
      </c>
      <c r="AB126" s="2">
        <v>52.785800000000002</v>
      </c>
    </row>
    <row r="127" spans="2:28" x14ac:dyDescent="0.4">
      <c r="B127" s="11">
        <v>110</v>
      </c>
      <c r="C127" s="16">
        <f t="shared" si="5"/>
        <v>46.433438699728917</v>
      </c>
      <c r="D127" s="17">
        <f t="shared" si="7"/>
        <v>51.592709666365465</v>
      </c>
      <c r="E127" s="17">
        <f t="shared" si="6"/>
        <v>56.751980633002013</v>
      </c>
      <c r="F127" s="2">
        <v>52.005499999999998</v>
      </c>
      <c r="G127" s="2" t="str">
        <f t="shared" si="4"/>
        <v>Pass</v>
      </c>
      <c r="Y127" s="2">
        <v>112</v>
      </c>
      <c r="Z127" s="2">
        <v>0.31159999999999999</v>
      </c>
      <c r="AA127" s="2">
        <v>0.32790000000000002</v>
      </c>
      <c r="AB127" s="2">
        <v>53.561399999999999</v>
      </c>
    </row>
    <row r="128" spans="2:28" x14ac:dyDescent="0.4">
      <c r="B128" s="11">
        <v>111</v>
      </c>
      <c r="C128" s="16">
        <f t="shared" si="5"/>
        <v>47.19412312270665</v>
      </c>
      <c r="D128" s="17">
        <f t="shared" si="7"/>
        <v>52.437914580785169</v>
      </c>
      <c r="E128" s="17">
        <f t="shared" si="6"/>
        <v>57.681706038863688</v>
      </c>
      <c r="F128" s="2">
        <v>52.785800000000002</v>
      </c>
      <c r="G128" s="2" t="str">
        <f t="shared" si="4"/>
        <v>Pass</v>
      </c>
      <c r="Y128" s="2">
        <v>113</v>
      </c>
      <c r="Z128" s="2">
        <v>0.31159999999999999</v>
      </c>
      <c r="AA128" s="2">
        <v>0.32790000000000002</v>
      </c>
      <c r="AB128" s="2">
        <v>54.669600000000003</v>
      </c>
    </row>
    <row r="129" spans="2:28" x14ac:dyDescent="0.4">
      <c r="B129" s="11">
        <v>112</v>
      </c>
      <c r="C129" s="16">
        <f t="shared" si="5"/>
        <v>47.96029624170319</v>
      </c>
      <c r="D129" s="17">
        <f t="shared" si="7"/>
        <v>53.289218046336877</v>
      </c>
      <c r="E129" s="17">
        <f t="shared" si="6"/>
        <v>58.618139850970564</v>
      </c>
      <c r="F129" s="2">
        <v>53.561399999999999</v>
      </c>
      <c r="G129" s="2" t="str">
        <f t="shared" si="4"/>
        <v>Pass</v>
      </c>
      <c r="Y129" s="2">
        <v>114</v>
      </c>
      <c r="Z129" s="2">
        <v>0.31159999999999999</v>
      </c>
      <c r="AA129" s="2">
        <v>0.32800000000000001</v>
      </c>
      <c r="AB129" s="2">
        <v>55.5</v>
      </c>
    </row>
    <row r="130" spans="2:28" x14ac:dyDescent="0.4">
      <c r="B130" s="11">
        <v>113</v>
      </c>
      <c r="C130" s="16">
        <f t="shared" si="5"/>
        <v>48.731948244155724</v>
      </c>
      <c r="D130" s="17">
        <f t="shared" si="7"/>
        <v>54.146609160173028</v>
      </c>
      <c r="E130" s="17">
        <f t="shared" si="6"/>
        <v>59.561270076190333</v>
      </c>
      <c r="F130" s="2">
        <v>54.669600000000003</v>
      </c>
      <c r="G130" s="2" t="str">
        <f t="shared" si="4"/>
        <v>Pass</v>
      </c>
      <c r="Y130" s="2">
        <v>115</v>
      </c>
      <c r="Z130" s="2">
        <v>0.31290000000000001</v>
      </c>
      <c r="AA130" s="2">
        <v>0.32990000000000003</v>
      </c>
      <c r="AB130" s="2">
        <v>56.546300000000002</v>
      </c>
    </row>
    <row r="131" spans="2:28" x14ac:dyDescent="0.4">
      <c r="B131" s="11">
        <v>114</v>
      </c>
      <c r="C131" s="16">
        <f t="shared" si="5"/>
        <v>49.509069421826808</v>
      </c>
      <c r="D131" s="17">
        <f t="shared" si="7"/>
        <v>55.010077135363119</v>
      </c>
      <c r="E131" s="17">
        <f t="shared" si="6"/>
        <v>60.511084848899429</v>
      </c>
      <c r="F131" s="2">
        <v>55.5</v>
      </c>
      <c r="G131" s="2" t="str">
        <f t="shared" si="4"/>
        <v>Pass</v>
      </c>
      <c r="Y131" s="2">
        <v>116</v>
      </c>
      <c r="Z131" s="2">
        <v>0.31290000000000001</v>
      </c>
      <c r="AA131" s="2">
        <v>0.32990000000000003</v>
      </c>
      <c r="AB131" s="2">
        <v>57.382800000000003</v>
      </c>
    </row>
    <row r="132" spans="2:28" x14ac:dyDescent="0.4">
      <c r="B132" s="11">
        <v>115</v>
      </c>
      <c r="C132" s="16">
        <f t="shared" si="5"/>
        <v>50.291650168788763</v>
      </c>
      <c r="D132" s="17">
        <f t="shared" si="7"/>
        <v>55.879611298654183</v>
      </c>
      <c r="E132" s="17">
        <f t="shared" si="6"/>
        <v>61.467572428519603</v>
      </c>
      <c r="F132" s="2">
        <v>56.546300000000002</v>
      </c>
      <c r="G132" s="2" t="str">
        <f t="shared" si="4"/>
        <v>Pass</v>
      </c>
      <c r="Y132" s="2">
        <v>117</v>
      </c>
      <c r="Z132" s="2">
        <v>0.31280000000000002</v>
      </c>
      <c r="AA132" s="2">
        <v>0.32979999999999998</v>
      </c>
      <c r="AB132" s="2">
        <v>58.232300000000002</v>
      </c>
    </row>
    <row r="133" spans="2:28" x14ac:dyDescent="0.4">
      <c r="B133" s="11">
        <v>116</v>
      </c>
      <c r="C133" s="16">
        <f t="shared" si="5"/>
        <v>51.079680979464143</v>
      </c>
      <c r="D133" s="17">
        <f t="shared" si="7"/>
        <v>56.755201088293489</v>
      </c>
      <c r="E133" s="17">
        <f t="shared" si="6"/>
        <v>62.430721197122836</v>
      </c>
      <c r="F133" s="2">
        <v>57.382800000000003</v>
      </c>
      <c r="G133" s="2" t="str">
        <f t="shared" si="4"/>
        <v>Pass</v>
      </c>
      <c r="Y133" s="2">
        <v>118</v>
      </c>
      <c r="Z133" s="2">
        <v>0.31290000000000001</v>
      </c>
      <c r="AA133" s="2">
        <v>0.33</v>
      </c>
      <c r="AB133" s="2">
        <v>59.413699999999999</v>
      </c>
    </row>
    <row r="134" spans="2:28" x14ac:dyDescent="0.4">
      <c r="B134" s="11">
        <v>117</v>
      </c>
      <c r="C134" s="16">
        <f t="shared" si="5"/>
        <v>51.873152446720397</v>
      </c>
      <c r="D134" s="17">
        <f t="shared" si="7"/>
        <v>57.636836051911551</v>
      </c>
      <c r="E134" s="17">
        <f t="shared" si="6"/>
        <v>63.400519657102706</v>
      </c>
      <c r="F134" s="2">
        <v>58.232300000000002</v>
      </c>
      <c r="G134" s="2" t="str">
        <f t="shared" si="4"/>
        <v>Pass</v>
      </c>
      <c r="Y134" s="2">
        <v>119</v>
      </c>
      <c r="Z134" s="2">
        <v>0.31259999999999999</v>
      </c>
      <c r="AA134" s="2">
        <v>0.32990000000000003</v>
      </c>
      <c r="AB134" s="2">
        <v>60.315899999999999</v>
      </c>
    </row>
    <row r="135" spans="2:28" x14ac:dyDescent="0.4">
      <c r="B135" s="11">
        <v>118</v>
      </c>
      <c r="C135" s="16">
        <f t="shared" si="5"/>
        <v>52.672055260016577</v>
      </c>
      <c r="D135" s="17">
        <f t="shared" si="7"/>
        <v>58.524505844462865</v>
      </c>
      <c r="E135" s="17">
        <f t="shared" si="6"/>
        <v>64.376956428909153</v>
      </c>
      <c r="F135" s="2">
        <v>59.413699999999999</v>
      </c>
      <c r="G135" s="2" t="str">
        <f t="shared" si="4"/>
        <v>Pass</v>
      </c>
      <c r="Y135" s="2">
        <v>120</v>
      </c>
      <c r="Z135" s="2">
        <v>0.31209999999999999</v>
      </c>
      <c r="AA135" s="2">
        <v>0.32900000000000001</v>
      </c>
      <c r="AB135" s="2">
        <v>61.4955</v>
      </c>
    </row>
    <row r="136" spans="2:28" x14ac:dyDescent="0.4">
      <c r="B136" s="11">
        <v>119</v>
      </c>
      <c r="C136" s="16">
        <f t="shared" si="5"/>
        <v>53.476380203600542</v>
      </c>
      <c r="D136" s="17">
        <f t="shared" si="7"/>
        <v>59.418200226222822</v>
      </c>
      <c r="E136" s="17">
        <f t="shared" si="6"/>
        <v>65.360020248845103</v>
      </c>
      <c r="F136" s="2">
        <v>60.315899999999999</v>
      </c>
      <c r="G136" s="2" t="str">
        <f t="shared" si="4"/>
        <v>Pass</v>
      </c>
      <c r="Y136" s="2">
        <v>121</v>
      </c>
      <c r="Z136" s="2">
        <v>0.31130000000000002</v>
      </c>
      <c r="AA136" s="2">
        <v>0.32940000000000003</v>
      </c>
      <c r="AB136" s="2">
        <v>62.001300000000001</v>
      </c>
    </row>
    <row r="137" spans="2:28" x14ac:dyDescent="0.4">
      <c r="B137" s="11">
        <v>120</v>
      </c>
      <c r="C137" s="16">
        <f t="shared" si="5"/>
        <v>54.286118154754547</v>
      </c>
      <c r="D137" s="17">
        <f t="shared" si="7"/>
        <v>60.317909060838382</v>
      </c>
      <c r="E137" s="17">
        <f t="shared" si="6"/>
        <v>66.349699966922216</v>
      </c>
      <c r="F137" s="2">
        <v>61.4955</v>
      </c>
      <c r="G137" s="2" t="str">
        <f t="shared" si="4"/>
        <v>Pass</v>
      </c>
      <c r="Y137" s="2">
        <v>122</v>
      </c>
      <c r="Z137" s="2">
        <v>0.31090000000000001</v>
      </c>
      <c r="AA137" s="2">
        <v>0.32679999999999998</v>
      </c>
      <c r="AB137" s="2">
        <v>62.331499999999998</v>
      </c>
    </row>
    <row r="138" spans="2:28" x14ac:dyDescent="0.4">
      <c r="B138" s="11">
        <v>121</v>
      </c>
      <c r="C138" s="16">
        <f t="shared" si="5"/>
        <v>55.101260082087691</v>
      </c>
      <c r="D138" s="17">
        <f t="shared" si="7"/>
        <v>61.223622313430766</v>
      </c>
      <c r="E138" s="17">
        <f t="shared" si="6"/>
        <v>67.345984544773842</v>
      </c>
      <c r="F138" s="2">
        <v>62.001300000000001</v>
      </c>
      <c r="G138" s="2" t="str">
        <f t="shared" si="4"/>
        <v>Pass</v>
      </c>
      <c r="Y138" s="2">
        <v>123</v>
      </c>
      <c r="Z138" s="2">
        <v>0.312</v>
      </c>
      <c r="AA138" s="2">
        <v>0.32890000000000003</v>
      </c>
      <c r="AB138" s="2">
        <v>63.438499999999998</v>
      </c>
    </row>
    <row r="139" spans="2:28" x14ac:dyDescent="0.4">
      <c r="B139" s="11">
        <v>122</v>
      </c>
      <c r="C139" s="16">
        <f t="shared" si="5"/>
        <v>55.921797043873696</v>
      </c>
      <c r="D139" s="17">
        <f t="shared" si="7"/>
        <v>62.13533004874855</v>
      </c>
      <c r="E139" s="17">
        <f t="shared" si="6"/>
        <v>68.348863053623404</v>
      </c>
      <c r="F139" s="2">
        <v>62.331499999999998</v>
      </c>
      <c r="G139" s="2" t="str">
        <f t="shared" si="4"/>
        <v>Pass</v>
      </c>
      <c r="Y139" s="2">
        <v>124</v>
      </c>
      <c r="Z139" s="2">
        <v>0.31209999999999999</v>
      </c>
      <c r="AA139" s="2">
        <v>0.32869999999999999</v>
      </c>
      <c r="AB139" s="2">
        <v>64.344800000000006</v>
      </c>
    </row>
    <row r="140" spans="2:28" x14ac:dyDescent="0.4">
      <c r="B140" s="11">
        <v>123</v>
      </c>
      <c r="C140" s="16">
        <f t="shared" si="5"/>
        <v>56.747720186432112</v>
      </c>
      <c r="D140" s="17">
        <f t="shared" si="7"/>
        <v>63.053022429369015</v>
      </c>
      <c r="E140" s="17">
        <f t="shared" si="6"/>
        <v>69.358324672305912</v>
      </c>
      <c r="F140" s="2">
        <v>63.438499999999998</v>
      </c>
      <c r="G140" s="2" t="str">
        <f t="shared" si="4"/>
        <v>Pass</v>
      </c>
      <c r="Y140" s="2">
        <v>125</v>
      </c>
      <c r="Z140" s="2">
        <v>0.312</v>
      </c>
      <c r="AA140" s="2">
        <v>0.32869999999999999</v>
      </c>
      <c r="AB140" s="2">
        <v>65.308400000000006</v>
      </c>
    </row>
    <row r="141" spans="2:28" x14ac:dyDescent="0.4">
      <c r="B141" s="11">
        <v>124</v>
      </c>
      <c r="C141" s="16">
        <f t="shared" si="5"/>
        <v>57.579020742551961</v>
      </c>
      <c r="D141" s="17">
        <f t="shared" si="7"/>
        <v>63.97668971394662</v>
      </c>
      <c r="E141" s="17">
        <f t="shared" si="6"/>
        <v>70.374358685341278</v>
      </c>
      <c r="F141" s="2">
        <v>64.344800000000006</v>
      </c>
      <c r="G141" s="2" t="str">
        <f t="shared" si="4"/>
        <v>Pass</v>
      </c>
      <c r="Y141" s="2">
        <v>126</v>
      </c>
      <c r="Z141" s="2">
        <v>0.31190000000000001</v>
      </c>
      <c r="AA141" s="2">
        <v>0.3286</v>
      </c>
      <c r="AB141" s="2">
        <v>66.656999999999996</v>
      </c>
    </row>
    <row r="142" spans="2:28" x14ac:dyDescent="0.4">
      <c r="B142" s="11">
        <v>125</v>
      </c>
      <c r="C142" s="16">
        <f t="shared" si="5"/>
        <v>58.415690029955798</v>
      </c>
      <c r="D142" s="17">
        <f t="shared" si="7"/>
        <v>64.906322255506439</v>
      </c>
      <c r="E142" s="17">
        <f t="shared" si="6"/>
        <v>71.39695448105708</v>
      </c>
      <c r="F142" s="2">
        <v>65.308400000000006</v>
      </c>
      <c r="G142" s="2" t="str">
        <f t="shared" si="4"/>
        <v>Pass</v>
      </c>
      <c r="Y142" s="2">
        <v>127</v>
      </c>
      <c r="Z142" s="2">
        <v>0.31190000000000001</v>
      </c>
      <c r="AA142" s="2">
        <v>0.32869999999999999</v>
      </c>
      <c r="AB142" s="2">
        <v>67.611699999999999</v>
      </c>
    </row>
    <row r="143" spans="2:28" x14ac:dyDescent="0.4">
      <c r="B143" s="11">
        <v>126</v>
      </c>
      <c r="C143" s="16">
        <f t="shared" si="5"/>
        <v>59.25771944980346</v>
      </c>
      <c r="D143" s="17">
        <f t="shared" si="7"/>
        <v>65.841910499781619</v>
      </c>
      <c r="E143" s="17">
        <f t="shared" si="6"/>
        <v>72.426101549759778</v>
      </c>
      <c r="F143" s="2">
        <v>66.656999999999996</v>
      </c>
      <c r="G143" s="2" t="str">
        <f t="shared" si="4"/>
        <v>Pass</v>
      </c>
      <c r="Y143" s="2">
        <v>128</v>
      </c>
      <c r="Z143" s="2">
        <v>0.312</v>
      </c>
      <c r="AA143" s="2">
        <v>0.32879999999999998</v>
      </c>
      <c r="AB143" s="2">
        <v>68.911900000000003</v>
      </c>
    </row>
    <row r="144" spans="2:28" x14ac:dyDescent="0.4">
      <c r="B144" s="11">
        <v>127</v>
      </c>
      <c r="C144" s="16">
        <f t="shared" si="5"/>
        <v>60.105100485233471</v>
      </c>
      <c r="D144" s="17">
        <f t="shared" si="7"/>
        <v>66.783444983592744</v>
      </c>
      <c r="E144" s="17">
        <f t="shared" si="6"/>
        <v>73.461789481952025</v>
      </c>
      <c r="F144" s="2">
        <v>67.611699999999999</v>
      </c>
      <c r="G144" s="2" t="str">
        <f t="shared" si="4"/>
        <v>Pass</v>
      </c>
      <c r="Y144" s="2">
        <v>129</v>
      </c>
      <c r="Z144" s="2">
        <v>0.31180000000000002</v>
      </c>
      <c r="AA144" s="2">
        <v>0.33</v>
      </c>
      <c r="AB144" s="2">
        <v>69.502799999999993</v>
      </c>
    </row>
    <row r="145" spans="2:28" x14ac:dyDescent="0.4">
      <c r="B145" s="11">
        <v>128</v>
      </c>
      <c r="C145" s="16">
        <f t="shared" si="5"/>
        <v>60.957824699941746</v>
      </c>
      <c r="D145" s="17">
        <f t="shared" si="7"/>
        <v>67.73091633326861</v>
      </c>
      <c r="E145" s="17">
        <f t="shared" si="6"/>
        <v>74.504007966595466</v>
      </c>
      <c r="F145" s="2">
        <v>68.911900000000003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0.31190000000000001</v>
      </c>
      <c r="AA145" s="2">
        <v>0.32869999999999999</v>
      </c>
      <c r="AB145" s="2">
        <v>69.795000000000002</v>
      </c>
    </row>
    <row r="146" spans="2:28" x14ac:dyDescent="0.4">
      <c r="B146" s="11">
        <v>129</v>
      </c>
      <c r="C146" s="16">
        <f t="shared" ref="C146:C209" si="9">D146-D146*(C$14/100)</f>
        <v>61.815883736795257</v>
      </c>
      <c r="D146" s="17">
        <f t="shared" si="7"/>
        <v>68.684315263105844</v>
      </c>
      <c r="E146" s="17">
        <f t="shared" ref="E146:E209" si="10">D146+D146*(C$14/100)</f>
        <v>75.552746789416432</v>
      </c>
      <c r="F146" s="2">
        <v>69.502799999999993</v>
      </c>
      <c r="G146" s="2" t="str">
        <f t="shared" si="8"/>
        <v>Pass</v>
      </c>
      <c r="Y146" s="2">
        <v>131</v>
      </c>
      <c r="Z146" s="2">
        <v>0.31190000000000001</v>
      </c>
      <c r="AA146" s="2">
        <v>0.32850000000000001</v>
      </c>
      <c r="AB146" s="2">
        <v>70.965500000000006</v>
      </c>
    </row>
    <row r="147" spans="2:28" x14ac:dyDescent="0.4">
      <c r="B147" s="11">
        <v>130</v>
      </c>
      <c r="C147" s="16">
        <f t="shared" si="9"/>
        <v>62.679269316480706</v>
      </c>
      <c r="D147" s="17">
        <f t="shared" ref="D147:D210" si="11">D$272*((B147+F$17)/B$272)^C$13</f>
        <v>69.64363257386745</v>
      </c>
      <c r="E147" s="17">
        <f t="shared" si="10"/>
        <v>76.6079958312542</v>
      </c>
      <c r="F147" s="2">
        <v>69.795000000000002</v>
      </c>
      <c r="G147" s="2" t="str">
        <f t="shared" si="8"/>
        <v>Pass</v>
      </c>
      <c r="Y147" s="2">
        <v>132</v>
      </c>
      <c r="Z147" s="2">
        <v>0.31190000000000001</v>
      </c>
      <c r="AA147" s="2">
        <v>0.3286</v>
      </c>
      <c r="AB147" s="2">
        <v>71.903099999999995</v>
      </c>
    </row>
    <row r="148" spans="2:28" x14ac:dyDescent="0.4">
      <c r="B148" s="11">
        <v>131</v>
      </c>
      <c r="C148" s="16">
        <f t="shared" si="9"/>
        <v>63.547973236186074</v>
      </c>
      <c r="D148" s="17">
        <f t="shared" si="11"/>
        <v>70.608859151317859</v>
      </c>
      <c r="E148" s="17">
        <f t="shared" si="10"/>
        <v>77.66974506644965</v>
      </c>
      <c r="F148" s="2">
        <v>70.965500000000006</v>
      </c>
      <c r="G148" s="2" t="str">
        <f t="shared" si="8"/>
        <v>Pass</v>
      </c>
      <c r="Y148" s="2">
        <v>133</v>
      </c>
      <c r="Z148" s="2">
        <v>0.31190000000000001</v>
      </c>
      <c r="AA148" s="2">
        <v>0.32850000000000001</v>
      </c>
      <c r="AB148" s="2">
        <v>72.929599999999994</v>
      </c>
    </row>
    <row r="149" spans="2:28" x14ac:dyDescent="0.4">
      <c r="B149" s="11">
        <v>132</v>
      </c>
      <c r="C149" s="16">
        <f t="shared" si="9"/>
        <v>64.421987368314603</v>
      </c>
      <c r="D149" s="17">
        <f t="shared" si="11"/>
        <v>71.579985964794005</v>
      </c>
      <c r="E149" s="17">
        <f t="shared" si="10"/>
        <v>78.737984561273407</v>
      </c>
      <c r="F149" s="2">
        <v>71.903099999999995</v>
      </c>
      <c r="G149" s="2" t="str">
        <f t="shared" si="8"/>
        <v>Pass</v>
      </c>
      <c r="Y149" s="2">
        <v>134</v>
      </c>
      <c r="Z149" s="2">
        <v>0.31169999999999998</v>
      </c>
      <c r="AA149" s="2">
        <v>0.32840000000000003</v>
      </c>
      <c r="AB149" s="2">
        <v>74.269499999999994</v>
      </c>
    </row>
    <row r="150" spans="2:28" x14ac:dyDescent="0.4">
      <c r="B150" s="11">
        <v>133</v>
      </c>
      <c r="C150" s="16">
        <f t="shared" si="9"/>
        <v>65.301303659230001</v>
      </c>
      <c r="D150" s="17">
        <f t="shared" si="11"/>
        <v>72.557004065811114</v>
      </c>
      <c r="E150" s="17">
        <f t="shared" si="10"/>
        <v>79.812704472392227</v>
      </c>
      <c r="F150" s="2">
        <v>72.929599999999994</v>
      </c>
      <c r="G150" s="2" t="str">
        <f t="shared" si="8"/>
        <v>Pass</v>
      </c>
      <c r="Y150" s="2">
        <v>135</v>
      </c>
      <c r="Z150" s="2">
        <v>0.313</v>
      </c>
      <c r="AA150" s="2">
        <v>0.33040000000000003</v>
      </c>
      <c r="AB150" s="2">
        <v>75.265699999999995</v>
      </c>
    </row>
    <row r="151" spans="2:28" x14ac:dyDescent="0.4">
      <c r="B151" s="11">
        <v>134</v>
      </c>
      <c r="C151" s="16">
        <f t="shared" si="9"/>
        <v>66.185914128031726</v>
      </c>
      <c r="D151" s="17">
        <f t="shared" si="11"/>
        <v>73.539904586701923</v>
      </c>
      <c r="E151" s="17">
        <f t="shared" si="10"/>
        <v>80.893895045372119</v>
      </c>
      <c r="F151" s="2">
        <v>74.269499999999994</v>
      </c>
      <c r="G151" s="2" t="str">
        <f t="shared" si="8"/>
        <v>Pass</v>
      </c>
      <c r="Y151" s="2">
        <v>136</v>
      </c>
      <c r="Z151" s="2">
        <v>0.31159999999999999</v>
      </c>
      <c r="AA151" s="2">
        <v>0.32969999999999999</v>
      </c>
      <c r="AB151" s="2">
        <v>76.277000000000001</v>
      </c>
    </row>
    <row r="152" spans="2:28" x14ac:dyDescent="0.4">
      <c r="B152" s="11">
        <v>135</v>
      </c>
      <c r="C152" s="16">
        <f t="shared" si="9"/>
        <v>67.07581086535977</v>
      </c>
      <c r="D152" s="17">
        <f t="shared" si="11"/>
        <v>74.528678739288637</v>
      </c>
      <c r="E152" s="17">
        <f t="shared" si="10"/>
        <v>81.981546613217503</v>
      </c>
      <c r="F152" s="2">
        <v>75.265699999999995</v>
      </c>
      <c r="G152" s="2" t="str">
        <f t="shared" si="8"/>
        <v>Pass</v>
      </c>
      <c r="Y152" s="2">
        <v>137</v>
      </c>
      <c r="Z152" s="2">
        <v>0.31180000000000002</v>
      </c>
      <c r="AA152" s="2">
        <v>0.32850000000000001</v>
      </c>
      <c r="AB152" s="2">
        <v>76.619799999999998</v>
      </c>
    </row>
    <row r="153" spans="2:28" x14ac:dyDescent="0.4">
      <c r="B153" s="11">
        <v>136</v>
      </c>
      <c r="C153" s="16">
        <f t="shared" si="9"/>
        <v>67.970986032227486</v>
      </c>
      <c r="D153" s="17">
        <f t="shared" si="11"/>
        <v>75.52331781358609</v>
      </c>
      <c r="E153" s="17">
        <f t="shared" si="10"/>
        <v>83.075649594944693</v>
      </c>
      <c r="F153" s="2">
        <v>76.277000000000001</v>
      </c>
      <c r="G153" s="2" t="str">
        <f t="shared" si="8"/>
        <v>Pass</v>
      </c>
      <c r="Y153" s="2">
        <v>138</v>
      </c>
      <c r="Z153" s="2">
        <v>0.31190000000000001</v>
      </c>
      <c r="AA153" s="2">
        <v>0.32840000000000003</v>
      </c>
      <c r="AB153" s="2">
        <v>77.594300000000004</v>
      </c>
    </row>
    <row r="154" spans="2:28" x14ac:dyDescent="0.4">
      <c r="B154" s="11">
        <v>137</v>
      </c>
      <c r="C154" s="16">
        <f t="shared" si="9"/>
        <v>68.871431858882204</v>
      </c>
      <c r="D154" s="17">
        <f t="shared" si="11"/>
        <v>76.523813176535782</v>
      </c>
      <c r="E154" s="17">
        <f t="shared" si="10"/>
        <v>84.17619449418936</v>
      </c>
      <c r="F154" s="2">
        <v>76.619799999999998</v>
      </c>
      <c r="G154" s="2" t="str">
        <f t="shared" si="8"/>
        <v>Pass</v>
      </c>
      <c r="Y154" s="2">
        <v>139</v>
      </c>
      <c r="Z154" s="2">
        <v>0.31230000000000002</v>
      </c>
      <c r="AA154" s="2">
        <v>0.32840000000000003</v>
      </c>
      <c r="AB154" s="2">
        <v>79.009699999999995</v>
      </c>
    </row>
    <row r="155" spans="2:28" x14ac:dyDescent="0.4">
      <c r="B155" s="11">
        <v>138</v>
      </c>
      <c r="C155" s="16">
        <f t="shared" si="9"/>
        <v>69.777140643692434</v>
      </c>
      <c r="D155" s="17">
        <f t="shared" si="11"/>
        <v>77.530156270769368</v>
      </c>
      <c r="E155" s="17">
        <f t="shared" si="10"/>
        <v>85.283171897846302</v>
      </c>
      <c r="F155" s="2">
        <v>77.594300000000004</v>
      </c>
      <c r="G155" s="2" t="str">
        <f t="shared" si="8"/>
        <v>Pass</v>
      </c>
      <c r="Y155" s="2">
        <v>140</v>
      </c>
      <c r="Z155" s="2">
        <v>0.31230000000000002</v>
      </c>
      <c r="AA155" s="2">
        <v>0.32829999999999998</v>
      </c>
      <c r="AB155" s="2">
        <v>80.1233</v>
      </c>
    </row>
    <row r="156" spans="2:28" x14ac:dyDescent="0.4">
      <c r="B156" s="11">
        <v>139</v>
      </c>
      <c r="C156" s="16">
        <f t="shared" si="9"/>
        <v>70.688104752060667</v>
      </c>
      <c r="D156" s="17">
        <f t="shared" si="11"/>
        <v>78.542338613400744</v>
      </c>
      <c r="E156" s="17">
        <f t="shared" si="10"/>
        <v>86.396572474740822</v>
      </c>
      <c r="F156" s="2">
        <v>79.009699999999995</v>
      </c>
      <c r="G156" s="2" t="str">
        <f t="shared" si="8"/>
        <v>Pass</v>
      </c>
      <c r="Y156" s="2">
        <v>141</v>
      </c>
      <c r="Z156" s="2">
        <v>0.31330000000000002</v>
      </c>
      <c r="AA156" s="2">
        <v>0.33019999999999999</v>
      </c>
      <c r="AB156" s="2">
        <v>81.144900000000007</v>
      </c>
    </row>
    <row r="157" spans="2:28" x14ac:dyDescent="0.4">
      <c r="B157" s="11">
        <v>140</v>
      </c>
      <c r="C157" s="16">
        <f t="shared" si="9"/>
        <v>71.604316615361583</v>
      </c>
      <c r="D157" s="17">
        <f t="shared" si="11"/>
        <v>79.560351794846198</v>
      </c>
      <c r="E157" s="17">
        <f t="shared" si="10"/>
        <v>87.516386974330814</v>
      </c>
      <c r="F157" s="2">
        <v>80.1233</v>
      </c>
      <c r="G157" s="2" t="str">
        <f t="shared" si="8"/>
        <v>Pass</v>
      </c>
      <c r="Y157" s="2">
        <v>142</v>
      </c>
      <c r="Z157" s="2">
        <v>0.31330000000000002</v>
      </c>
      <c r="AA157" s="2">
        <v>0.33</v>
      </c>
      <c r="AB157" s="2">
        <v>82.500200000000007</v>
      </c>
    </row>
    <row r="158" spans="2:28" x14ac:dyDescent="0.4">
      <c r="B158" s="11">
        <v>141</v>
      </c>
      <c r="C158" s="16">
        <f t="shared" si="9"/>
        <v>72.525768729904144</v>
      </c>
      <c r="D158" s="17">
        <f t="shared" si="11"/>
        <v>80.584187477671264</v>
      </c>
      <c r="E158" s="17">
        <f t="shared" si="10"/>
        <v>88.642606225438385</v>
      </c>
      <c r="F158" s="2">
        <v>81.144900000000007</v>
      </c>
      <c r="G158" s="2" t="str">
        <f t="shared" si="8"/>
        <v>Pass</v>
      </c>
      <c r="Y158" s="2">
        <v>143</v>
      </c>
      <c r="Z158" s="2">
        <v>0.312</v>
      </c>
      <c r="AA158" s="2">
        <v>0.32819999999999999</v>
      </c>
      <c r="AB158" s="2">
        <v>82.524000000000001</v>
      </c>
    </row>
    <row r="159" spans="2:28" x14ac:dyDescent="0.4">
      <c r="B159" s="11">
        <v>142</v>
      </c>
      <c r="C159" s="16">
        <f t="shared" si="9"/>
        <v>73.452453655917694</v>
      </c>
      <c r="D159" s="17">
        <f t="shared" si="11"/>
        <v>81.613837395464103</v>
      </c>
      <c r="E159" s="17">
        <f t="shared" si="10"/>
        <v>89.775221135010511</v>
      </c>
      <c r="F159" s="2">
        <v>82.500200000000007</v>
      </c>
      <c r="G159" s="2" t="str">
        <f t="shared" si="8"/>
        <v>Pass</v>
      </c>
      <c r="Y159" s="2">
        <v>144</v>
      </c>
      <c r="Z159" s="2">
        <v>0.312</v>
      </c>
      <c r="AA159" s="2">
        <v>0.32819999999999999</v>
      </c>
      <c r="AB159" s="2">
        <v>83.520099999999999</v>
      </c>
    </row>
    <row r="160" spans="2:28" x14ac:dyDescent="0.4">
      <c r="B160" s="11">
        <v>143</v>
      </c>
      <c r="C160" s="16">
        <f t="shared" si="9"/>
        <v>74.384364016560625</v>
      </c>
      <c r="D160" s="17">
        <f t="shared" si="11"/>
        <v>82.64929335173403</v>
      </c>
      <c r="E160" s="17">
        <f t="shared" si="10"/>
        <v>90.914222686907436</v>
      </c>
      <c r="F160" s="2">
        <v>82.524000000000001</v>
      </c>
      <c r="G160" s="2" t="str">
        <f t="shared" si="8"/>
        <v>Pass</v>
      </c>
      <c r="Y160" s="2">
        <v>145</v>
      </c>
      <c r="Z160" s="2">
        <v>0.31159999999999999</v>
      </c>
      <c r="AA160" s="2">
        <v>0.32829999999999998</v>
      </c>
      <c r="AB160" s="2">
        <v>84.804299999999998</v>
      </c>
    </row>
    <row r="161" spans="2:28" x14ac:dyDescent="0.4">
      <c r="B161" s="11">
        <v>144</v>
      </c>
      <c r="C161" s="16">
        <f t="shared" si="9"/>
        <v>75.321492496951407</v>
      </c>
      <c r="D161" s="17">
        <f t="shared" si="11"/>
        <v>83.690547218834894</v>
      </c>
      <c r="E161" s="17">
        <f t="shared" si="10"/>
        <v>92.05960194071838</v>
      </c>
      <c r="F161" s="2">
        <v>83.520099999999999</v>
      </c>
      <c r="G161" s="2" t="str">
        <f t="shared" si="8"/>
        <v>Pass</v>
      </c>
      <c r="Y161" s="2">
        <v>146</v>
      </c>
      <c r="Z161" s="2">
        <v>0.31269999999999998</v>
      </c>
      <c r="AA161" s="2">
        <v>0.33</v>
      </c>
      <c r="AB161" s="2">
        <v>85.790599999999998</v>
      </c>
    </row>
    <row r="162" spans="2:28" x14ac:dyDescent="0.4">
      <c r="B162" s="11">
        <v>145</v>
      </c>
      <c r="C162" s="16">
        <f t="shared" si="9"/>
        <v>76.263831843220885</v>
      </c>
      <c r="D162" s="17">
        <f t="shared" si="11"/>
        <v>84.737590936912099</v>
      </c>
      <c r="E162" s="17">
        <f t="shared" si="10"/>
        <v>93.211350030603313</v>
      </c>
      <c r="F162" s="2">
        <v>84.804299999999998</v>
      </c>
      <c r="G162" s="2" t="str">
        <f t="shared" si="8"/>
        <v>Pass</v>
      </c>
      <c r="Y162" s="2">
        <v>147</v>
      </c>
      <c r="Z162" s="2">
        <v>0.31269999999999998</v>
      </c>
      <c r="AA162" s="2">
        <v>0.32990000000000003</v>
      </c>
      <c r="AB162" s="2">
        <v>86.890600000000006</v>
      </c>
    </row>
    <row r="163" spans="2:28" x14ac:dyDescent="0.4">
      <c r="B163" s="11">
        <v>146</v>
      </c>
      <c r="C163" s="16">
        <f t="shared" si="9"/>
        <v>77.211374861586052</v>
      </c>
      <c r="D163" s="17">
        <f t="shared" si="11"/>
        <v>85.790416512873392</v>
      </c>
      <c r="E163" s="17">
        <f t="shared" si="10"/>
        <v>94.369458164160733</v>
      </c>
      <c r="F163" s="2">
        <v>85.790599999999998</v>
      </c>
      <c r="G163" s="2" t="str">
        <f t="shared" si="8"/>
        <v>Pass</v>
      </c>
      <c r="Y163" s="2">
        <v>148</v>
      </c>
      <c r="Z163" s="2">
        <v>0.31269999999999998</v>
      </c>
      <c r="AA163" s="2">
        <v>0.32979999999999998</v>
      </c>
      <c r="AB163" s="2">
        <v>88.379000000000005</v>
      </c>
    </row>
    <row r="164" spans="2:28" x14ac:dyDescent="0.4">
      <c r="B164" s="11">
        <v>147</v>
      </c>
      <c r="C164" s="16">
        <f t="shared" si="9"/>
        <v>78.16411441744367</v>
      </c>
      <c r="D164" s="17">
        <f t="shared" si="11"/>
        <v>86.84901601938185</v>
      </c>
      <c r="E164" s="17">
        <f t="shared" si="10"/>
        <v>95.533917621320029</v>
      </c>
      <c r="F164" s="2">
        <v>86.890600000000006</v>
      </c>
      <c r="G164" s="2" t="str">
        <f t="shared" si="8"/>
        <v>Pass</v>
      </c>
      <c r="Y164" s="2">
        <v>149</v>
      </c>
      <c r="Z164" s="2">
        <v>0.31090000000000001</v>
      </c>
      <c r="AA164" s="2">
        <v>0.32869999999999999</v>
      </c>
      <c r="AB164" s="2">
        <v>89.565299999999993</v>
      </c>
    </row>
    <row r="165" spans="2:28" x14ac:dyDescent="0.4">
      <c r="B165" s="11">
        <v>148</v>
      </c>
      <c r="C165" s="16">
        <f t="shared" si="9"/>
        <v>79.122043434483729</v>
      </c>
      <c r="D165" s="17">
        <f t="shared" si="11"/>
        <v>87.91338159387081</v>
      </c>
      <c r="E165" s="17">
        <f t="shared" si="10"/>
        <v>96.704719753257891</v>
      </c>
      <c r="F165" s="2">
        <v>88.379000000000005</v>
      </c>
      <c r="G165" s="2" t="str">
        <f t="shared" si="8"/>
        <v>Pass</v>
      </c>
      <c r="Y165" s="2">
        <v>150</v>
      </c>
      <c r="Z165" s="2">
        <v>0.31130000000000002</v>
      </c>
      <c r="AA165" s="2">
        <v>0.32719999999999999</v>
      </c>
      <c r="AB165" s="2">
        <v>89.9482</v>
      </c>
    </row>
    <row r="166" spans="2:28" x14ac:dyDescent="0.4">
      <c r="B166" s="11">
        <v>149</v>
      </c>
      <c r="C166" s="16">
        <f t="shared" si="9"/>
        <v>80.085154893822292</v>
      </c>
      <c r="D166" s="17">
        <f t="shared" si="11"/>
        <v>88.98350543758032</v>
      </c>
      <c r="E166" s="17">
        <f t="shared" si="10"/>
        <v>97.881855981338347</v>
      </c>
      <c r="F166" s="2">
        <v>89.565299999999993</v>
      </c>
      <c r="G166" s="2" t="str">
        <f t="shared" si="8"/>
        <v>Pass</v>
      </c>
      <c r="Y166" s="2">
        <v>151</v>
      </c>
      <c r="Z166" s="2">
        <v>0.3125</v>
      </c>
      <c r="AA166" s="2">
        <v>0.3291</v>
      </c>
      <c r="AB166" s="2">
        <v>91.1494</v>
      </c>
    </row>
    <row r="167" spans="2:28" x14ac:dyDescent="0.4">
      <c r="B167" s="11">
        <v>150</v>
      </c>
      <c r="C167" s="16">
        <f t="shared" si="9"/>
        <v>81.053441833152661</v>
      </c>
      <c r="D167" s="17">
        <f t="shared" si="11"/>
        <v>90.059379814614061</v>
      </c>
      <c r="E167" s="17">
        <f t="shared" si="10"/>
        <v>99.065317796075462</v>
      </c>
      <c r="F167" s="2">
        <v>89.9482</v>
      </c>
      <c r="G167" s="2" t="str">
        <f t="shared" si="8"/>
        <v>Pass</v>
      </c>
      <c r="Y167" s="2">
        <v>152</v>
      </c>
      <c r="Z167" s="2">
        <v>0.31259999999999999</v>
      </c>
      <c r="AA167" s="2">
        <v>0.32900000000000001</v>
      </c>
      <c r="AB167" s="2">
        <v>92.176699999999997</v>
      </c>
    </row>
    <row r="168" spans="2:28" x14ac:dyDescent="0.4">
      <c r="B168" s="11">
        <v>151</v>
      </c>
      <c r="C168" s="16">
        <f t="shared" si="9"/>
        <v>82.026897345915074</v>
      </c>
      <c r="D168" s="17">
        <f t="shared" si="11"/>
        <v>91.140997051016754</v>
      </c>
      <c r="E168" s="17">
        <f t="shared" si="10"/>
        <v>100.25509675611843</v>
      </c>
      <c r="F168" s="2">
        <v>91.1494</v>
      </c>
      <c r="G168" s="2" t="str">
        <f t="shared" si="8"/>
        <v>Pass</v>
      </c>
      <c r="Y168" s="2">
        <v>153</v>
      </c>
      <c r="Z168" s="2">
        <v>0.31240000000000001</v>
      </c>
      <c r="AA168" s="2">
        <v>0.32900000000000001</v>
      </c>
      <c r="AB168" s="2">
        <v>93.579099999999997</v>
      </c>
    </row>
    <row r="169" spans="2:28" x14ac:dyDescent="0.4">
      <c r="B169" s="11">
        <v>152</v>
      </c>
      <c r="C169" s="16">
        <f t="shared" si="9"/>
        <v>83.005514580483649</v>
      </c>
      <c r="D169" s="17">
        <f t="shared" si="11"/>
        <v>92.228349533870727</v>
      </c>
      <c r="E169" s="17">
        <f t="shared" si="10"/>
        <v>101.45118448725781</v>
      </c>
      <c r="F169" s="2">
        <v>92.176699999999997</v>
      </c>
      <c r="G169" s="2" t="str">
        <f t="shared" si="8"/>
        <v>Pass</v>
      </c>
      <c r="Y169" s="2">
        <v>154</v>
      </c>
      <c r="Z169" s="2">
        <v>0.31240000000000001</v>
      </c>
      <c r="AA169" s="2">
        <v>0.32890000000000003</v>
      </c>
      <c r="AB169" s="2">
        <v>94.666300000000007</v>
      </c>
    </row>
    <row r="170" spans="2:28" x14ac:dyDescent="0.4">
      <c r="B170" s="11">
        <v>153</v>
      </c>
      <c r="C170" s="16">
        <f t="shared" si="9"/>
        <v>83.989286739370556</v>
      </c>
      <c r="D170" s="17">
        <f t="shared" si="11"/>
        <v>93.321429710411721</v>
      </c>
      <c r="E170" s="17">
        <f t="shared" si="10"/>
        <v>102.65357268145289</v>
      </c>
      <c r="F170" s="2">
        <v>93.579099999999997</v>
      </c>
      <c r="G170" s="2" t="str">
        <f t="shared" si="8"/>
        <v>Pass</v>
      </c>
      <c r="Y170" s="2">
        <v>155</v>
      </c>
      <c r="Z170" s="2">
        <v>0.31230000000000002</v>
      </c>
      <c r="AA170" s="2">
        <v>0.32890000000000003</v>
      </c>
      <c r="AB170" s="2">
        <v>95.8947</v>
      </c>
    </row>
    <row r="171" spans="2:28" x14ac:dyDescent="0.4">
      <c r="B171" s="11">
        <v>154</v>
      </c>
      <c r="C171" s="16">
        <f t="shared" si="9"/>
        <v>84.978207078446999</v>
      </c>
      <c r="D171" s="17">
        <f t="shared" si="11"/>
        <v>94.420230087163333</v>
      </c>
      <c r="E171" s="17">
        <f t="shared" si="10"/>
        <v>103.86225309587967</v>
      </c>
      <c r="F171" s="2">
        <v>94.666300000000007</v>
      </c>
      <c r="G171" s="2" t="str">
        <f t="shared" si="8"/>
        <v>Pass</v>
      </c>
      <c r="Y171" s="2">
        <v>156</v>
      </c>
      <c r="Z171" s="2">
        <v>0.31230000000000002</v>
      </c>
      <c r="AA171" s="2">
        <v>0.32890000000000003</v>
      </c>
      <c r="AB171" s="2">
        <v>95.938900000000004</v>
      </c>
    </row>
    <row r="172" spans="2:28" x14ac:dyDescent="0.4">
      <c r="B172" s="11">
        <v>155</v>
      </c>
      <c r="C172" s="16">
        <f t="shared" si="9"/>
        <v>85.972268906180261</v>
      </c>
      <c r="D172" s="17">
        <f t="shared" si="11"/>
        <v>95.524743229089182</v>
      </c>
      <c r="E172" s="17">
        <f t="shared" si="10"/>
        <v>105.0772175519981</v>
      </c>
      <c r="F172" s="2">
        <v>95.8947</v>
      </c>
      <c r="G172" s="2" t="str">
        <f t="shared" si="8"/>
        <v>Pass</v>
      </c>
      <c r="Y172" s="2">
        <v>157</v>
      </c>
      <c r="Z172" s="2">
        <v>0.31240000000000001</v>
      </c>
      <c r="AA172" s="2">
        <v>0.32879999999999998</v>
      </c>
      <c r="AB172" s="2">
        <v>97.427099999999996</v>
      </c>
    </row>
    <row r="173" spans="2:28" x14ac:dyDescent="0.4">
      <c r="B173" s="11">
        <v>156</v>
      </c>
      <c r="C173" s="16">
        <f t="shared" si="9"/>
        <v>86.971465582886538</v>
      </c>
      <c r="D173" s="17">
        <f t="shared" si="11"/>
        <v>96.634961758762813</v>
      </c>
      <c r="E173" s="17">
        <f t="shared" si="10"/>
        <v>106.29845793463909</v>
      </c>
      <c r="F173" s="2">
        <v>95.938900000000004</v>
      </c>
      <c r="G173" s="2" t="str">
        <f t="shared" si="8"/>
        <v>Pass</v>
      </c>
      <c r="Y173" s="2">
        <v>158</v>
      </c>
      <c r="Z173" s="2">
        <v>0.31240000000000001</v>
      </c>
      <c r="AA173" s="2">
        <v>0.32869999999999999</v>
      </c>
      <c r="AB173" s="2">
        <v>98.566000000000003</v>
      </c>
    </row>
    <row r="174" spans="2:28" x14ac:dyDescent="0.4">
      <c r="B174" s="11">
        <v>157</v>
      </c>
      <c r="C174" s="16">
        <f t="shared" si="9"/>
        <v>87.975790519999109</v>
      </c>
      <c r="D174" s="17">
        <f t="shared" si="11"/>
        <v>97.750878355554562</v>
      </c>
      <c r="E174" s="17">
        <f t="shared" si="10"/>
        <v>107.52596619111002</v>
      </c>
      <c r="F174" s="2">
        <v>97.427099999999996</v>
      </c>
      <c r="G174" s="2" t="str">
        <f t="shared" si="8"/>
        <v>Pass</v>
      </c>
      <c r="Y174" s="2">
        <v>159</v>
      </c>
      <c r="Z174" s="2">
        <v>0.31230000000000002</v>
      </c>
      <c r="AA174" s="2">
        <v>0.32879999999999998</v>
      </c>
      <c r="AB174" s="2">
        <v>100.1139</v>
      </c>
    </row>
    <row r="175" spans="2:28" x14ac:dyDescent="0.4">
      <c r="B175" s="11">
        <v>158</v>
      </c>
      <c r="C175" s="16">
        <f t="shared" si="9"/>
        <v>88.985237179351415</v>
      </c>
      <c r="D175" s="17">
        <f t="shared" si="11"/>
        <v>98.872485754834912</v>
      </c>
      <c r="E175" s="17">
        <f t="shared" si="10"/>
        <v>108.75973433031841</v>
      </c>
      <c r="F175" s="2">
        <v>98.566000000000003</v>
      </c>
      <c r="G175" s="2" t="str">
        <f t="shared" si="8"/>
        <v>Pass</v>
      </c>
      <c r="Y175" s="2">
        <v>160</v>
      </c>
      <c r="Z175" s="2">
        <v>0.31319999999999998</v>
      </c>
      <c r="AA175" s="2">
        <v>0.33050000000000002</v>
      </c>
      <c r="AB175" s="2">
        <v>101.22</v>
      </c>
    </row>
    <row r="176" spans="2:28" x14ac:dyDescent="0.4">
      <c r="B176" s="11">
        <v>159</v>
      </c>
      <c r="C176" s="16">
        <f t="shared" si="9"/>
        <v>89.999799072474815</v>
      </c>
      <c r="D176" s="17">
        <f t="shared" si="11"/>
        <v>99.999776747194232</v>
      </c>
      <c r="E176" s="17">
        <f t="shared" si="10"/>
        <v>109.99975442191365</v>
      </c>
      <c r="F176" s="2">
        <v>100.1139</v>
      </c>
      <c r="G176" s="2" t="str">
        <f t="shared" si="8"/>
        <v>Pass</v>
      </c>
      <c r="Y176" s="2">
        <v>161</v>
      </c>
      <c r="Z176" s="2">
        <v>0.31240000000000001</v>
      </c>
      <c r="AA176" s="2">
        <v>0.32969999999999999</v>
      </c>
      <c r="AB176" s="2">
        <v>102.2623</v>
      </c>
    </row>
    <row r="177" spans="2:28" x14ac:dyDescent="0.4">
      <c r="B177" s="11">
        <v>160</v>
      </c>
      <c r="C177" s="16">
        <f t="shared" si="9"/>
        <v>91.019469759910251</v>
      </c>
      <c r="D177" s="17">
        <f t="shared" si="11"/>
        <v>101.13274417767806</v>
      </c>
      <c r="E177" s="17">
        <f t="shared" si="10"/>
        <v>111.24601859544588</v>
      </c>
      <c r="F177" s="2">
        <v>101.22</v>
      </c>
      <c r="G177" s="2" t="str">
        <f t="shared" si="8"/>
        <v>Pass</v>
      </c>
      <c r="Y177" s="2">
        <v>162</v>
      </c>
      <c r="Z177" s="2">
        <v>0.31209999999999999</v>
      </c>
      <c r="AA177" s="2">
        <v>0.32869999999999999</v>
      </c>
      <c r="AB177" s="2">
        <v>102.7098</v>
      </c>
    </row>
    <row r="178" spans="2:28" x14ac:dyDescent="0.4">
      <c r="B178" s="11">
        <v>161</v>
      </c>
      <c r="C178" s="16">
        <f t="shared" si="9"/>
        <v>92.04424285053382</v>
      </c>
      <c r="D178" s="17">
        <f t="shared" si="11"/>
        <v>102.27138094503758</v>
      </c>
      <c r="E178" s="17">
        <f t="shared" si="10"/>
        <v>112.49851903954134</v>
      </c>
      <c r="F178" s="2">
        <v>102.2623</v>
      </c>
      <c r="G178" s="2" t="str">
        <f t="shared" si="8"/>
        <v>Pass</v>
      </c>
      <c r="Y178" s="2">
        <v>163</v>
      </c>
      <c r="Z178" s="2">
        <v>0.31219999999999998</v>
      </c>
      <c r="AA178" s="2">
        <v>0.3286</v>
      </c>
      <c r="AB178" s="2">
        <v>103.9478</v>
      </c>
    </row>
    <row r="179" spans="2:28" x14ac:dyDescent="0.4">
      <c r="B179" s="11">
        <v>162</v>
      </c>
      <c r="C179" s="16">
        <f t="shared" si="9"/>
        <v>93.074112000895838</v>
      </c>
      <c r="D179" s="17">
        <f t="shared" si="11"/>
        <v>103.41568000099538</v>
      </c>
      <c r="E179" s="17">
        <f t="shared" si="10"/>
        <v>113.75724800109492</v>
      </c>
      <c r="F179" s="2">
        <v>102.7098</v>
      </c>
      <c r="G179" s="2" t="str">
        <f t="shared" si="8"/>
        <v>Pass</v>
      </c>
      <c r="Y179" s="2">
        <v>164</v>
      </c>
      <c r="Z179" s="2">
        <v>0.31209999999999999</v>
      </c>
      <c r="AA179" s="2">
        <v>0.3286</v>
      </c>
      <c r="AB179" s="2">
        <v>105.1567</v>
      </c>
    </row>
    <row r="180" spans="2:28" x14ac:dyDescent="0.4">
      <c r="B180" s="11">
        <v>163</v>
      </c>
      <c r="C180" s="16">
        <f t="shared" si="9"/>
        <v>94.109070914572854</v>
      </c>
      <c r="D180" s="17">
        <f t="shared" si="11"/>
        <v>104.5656343495254</v>
      </c>
      <c r="E180" s="17">
        <f t="shared" si="10"/>
        <v>115.02219778447794</v>
      </c>
      <c r="F180" s="2">
        <v>103.9478</v>
      </c>
      <c r="G180" s="2" t="str">
        <f t="shared" si="8"/>
        <v>Pass</v>
      </c>
      <c r="Y180" s="2">
        <v>165</v>
      </c>
      <c r="Z180" s="2">
        <v>0.31209999999999999</v>
      </c>
      <c r="AA180" s="2">
        <v>0.3286</v>
      </c>
      <c r="AB180" s="2">
        <v>106.8289</v>
      </c>
    </row>
    <row r="181" spans="2:28" x14ac:dyDescent="0.4">
      <c r="B181" s="11">
        <v>164</v>
      </c>
      <c r="C181" s="16">
        <f t="shared" si="9"/>
        <v>95.149113341532384</v>
      </c>
      <c r="D181" s="17">
        <f t="shared" si="11"/>
        <v>105.7212370461471</v>
      </c>
      <c r="E181" s="17">
        <f t="shared" si="10"/>
        <v>116.29336075076181</v>
      </c>
      <c r="F181" s="2">
        <v>105.1567</v>
      </c>
      <c r="G181" s="2" t="str">
        <f t="shared" si="8"/>
        <v>Pass</v>
      </c>
      <c r="Y181" s="2">
        <v>166</v>
      </c>
      <c r="Z181" s="2">
        <v>0.31309999999999999</v>
      </c>
      <c r="AA181" s="2">
        <v>0.3301</v>
      </c>
      <c r="AB181" s="2">
        <v>107.9044</v>
      </c>
    </row>
    <row r="182" spans="2:28" x14ac:dyDescent="0.4">
      <c r="B182" s="11">
        <v>165</v>
      </c>
      <c r="C182" s="16">
        <f t="shared" si="9"/>
        <v>96.19423307751012</v>
      </c>
      <c r="D182" s="17">
        <f t="shared" si="11"/>
        <v>106.88248119723347</v>
      </c>
      <c r="E182" s="17">
        <f t="shared" si="10"/>
        <v>117.57072931695683</v>
      </c>
      <c r="F182" s="2">
        <v>106.8289</v>
      </c>
      <c r="G182" s="2" t="str">
        <f t="shared" si="8"/>
        <v>Pass</v>
      </c>
      <c r="Y182" s="2">
        <v>167</v>
      </c>
      <c r="Z182" s="2">
        <v>0.313</v>
      </c>
      <c r="AA182" s="2">
        <v>0.33019999999999999</v>
      </c>
      <c r="AB182" s="2">
        <v>109.4892</v>
      </c>
    </row>
    <row r="183" spans="2:28" x14ac:dyDescent="0.4">
      <c r="B183" s="11">
        <v>166</v>
      </c>
      <c r="C183" s="16">
        <f t="shared" si="9"/>
        <v>97.244423963399228</v>
      </c>
      <c r="D183" s="17">
        <f t="shared" si="11"/>
        <v>108.04935995933248</v>
      </c>
      <c r="E183" s="17">
        <f t="shared" si="10"/>
        <v>118.85429595526573</v>
      </c>
      <c r="F183" s="2">
        <v>107.9044</v>
      </c>
      <c r="G183" s="2" t="str">
        <f t="shared" si="8"/>
        <v>Pass</v>
      </c>
      <c r="Y183" s="2">
        <v>168</v>
      </c>
      <c r="Z183" s="2">
        <v>0.31209999999999999</v>
      </c>
      <c r="AA183" s="2">
        <v>0.32850000000000001</v>
      </c>
      <c r="AB183" s="2">
        <v>109.4015</v>
      </c>
    </row>
    <row r="184" spans="2:28" x14ac:dyDescent="0.4">
      <c r="B184" s="11">
        <v>167</v>
      </c>
      <c r="C184" s="16">
        <f t="shared" si="9"/>
        <v>98.299679884651397</v>
      </c>
      <c r="D184" s="17">
        <f t="shared" si="11"/>
        <v>109.22186653850156</v>
      </c>
      <c r="E184" s="17">
        <f t="shared" si="10"/>
        <v>120.14405319235172</v>
      </c>
      <c r="F184" s="2">
        <v>109.4892</v>
      </c>
      <c r="G184" s="2" t="str">
        <f t="shared" si="8"/>
        <v>Pass</v>
      </c>
      <c r="Y184" s="2">
        <v>169</v>
      </c>
      <c r="Z184" s="2">
        <v>0.31209999999999999</v>
      </c>
      <c r="AA184" s="2">
        <v>0.32850000000000001</v>
      </c>
      <c r="AB184" s="2">
        <v>110.6403</v>
      </c>
    </row>
    <row r="185" spans="2:28" x14ac:dyDescent="0.4">
      <c r="B185" s="11">
        <v>168</v>
      </c>
      <c r="C185" s="16">
        <f t="shared" si="9"/>
        <v>99.359994770689354</v>
      </c>
      <c r="D185" s="17">
        <f t="shared" si="11"/>
        <v>110.39999418965483</v>
      </c>
      <c r="E185" s="17">
        <f t="shared" si="10"/>
        <v>121.43999360862031</v>
      </c>
      <c r="F185" s="2">
        <v>109.4015</v>
      </c>
      <c r="G185" s="2" t="str">
        <f t="shared" si="8"/>
        <v>Pass</v>
      </c>
      <c r="Y185" s="2">
        <v>170</v>
      </c>
      <c r="Z185" s="2">
        <v>0.31190000000000001</v>
      </c>
      <c r="AA185" s="2">
        <v>0.32840000000000003</v>
      </c>
      <c r="AB185" s="2">
        <v>112.32259999999999</v>
      </c>
    </row>
    <row r="186" spans="2:28" x14ac:dyDescent="0.4">
      <c r="B186" s="11">
        <v>169</v>
      </c>
      <c r="C186" s="16">
        <f t="shared" si="9"/>
        <v>100.42536259433052</v>
      </c>
      <c r="D186" s="17">
        <f t="shared" si="11"/>
        <v>111.5837362159228</v>
      </c>
      <c r="E186" s="17">
        <f t="shared" si="10"/>
        <v>122.74210983751507</v>
      </c>
      <c r="F186" s="2">
        <v>110.6403</v>
      </c>
      <c r="G186" s="2" t="str">
        <f t="shared" si="8"/>
        <v>Pass</v>
      </c>
      <c r="Y186" s="2">
        <v>171</v>
      </c>
      <c r="Z186" s="2">
        <v>0.31290000000000001</v>
      </c>
      <c r="AA186" s="2">
        <v>0.33</v>
      </c>
      <c r="AB186" s="2">
        <v>113.56699999999999</v>
      </c>
    </row>
    <row r="187" spans="2:28" x14ac:dyDescent="0.4">
      <c r="B187" s="11">
        <v>170</v>
      </c>
      <c r="C187" s="16">
        <f t="shared" si="9"/>
        <v>101.49577737122189</v>
      </c>
      <c r="D187" s="17">
        <f t="shared" si="11"/>
        <v>112.77308596802432</v>
      </c>
      <c r="E187" s="17">
        <f t="shared" si="10"/>
        <v>124.05039456482675</v>
      </c>
      <c r="F187" s="2">
        <v>112.32259999999999</v>
      </c>
      <c r="G187" s="2" t="str">
        <f t="shared" si="8"/>
        <v>Pass</v>
      </c>
      <c r="Y187" s="2">
        <v>172</v>
      </c>
      <c r="Z187" s="2">
        <v>0.31290000000000001</v>
      </c>
      <c r="AA187" s="2">
        <v>0.33</v>
      </c>
      <c r="AB187" s="2">
        <v>114.8006</v>
      </c>
    </row>
    <row r="188" spans="2:28" x14ac:dyDescent="0.4">
      <c r="B188" s="11">
        <v>171</v>
      </c>
      <c r="C188" s="16">
        <f t="shared" si="9"/>
        <v>102.57123315928514</v>
      </c>
      <c r="D188" s="17">
        <f t="shared" si="11"/>
        <v>113.96803684365015</v>
      </c>
      <c r="E188" s="17">
        <f t="shared" si="10"/>
        <v>125.36484052801516</v>
      </c>
      <c r="F188" s="2">
        <v>113.56699999999999</v>
      </c>
      <c r="G188" s="2" t="str">
        <f t="shared" si="8"/>
        <v>Pass</v>
      </c>
      <c r="Y188" s="2">
        <v>173</v>
      </c>
      <c r="Z188" s="2">
        <v>0.31280000000000002</v>
      </c>
      <c r="AA188" s="2">
        <v>0.32990000000000003</v>
      </c>
      <c r="AB188" s="2">
        <v>116.426</v>
      </c>
    </row>
    <row r="189" spans="2:28" x14ac:dyDescent="0.4">
      <c r="B189" s="11">
        <v>172</v>
      </c>
      <c r="C189" s="16">
        <f t="shared" si="9"/>
        <v>103.65172405817245</v>
      </c>
      <c r="D189" s="17">
        <f t="shared" si="11"/>
        <v>115.16858228685827</v>
      </c>
      <c r="E189" s="17">
        <f t="shared" si="10"/>
        <v>126.68544051554409</v>
      </c>
      <c r="F189" s="2">
        <v>114.8006</v>
      </c>
      <c r="G189" s="2" t="str">
        <f t="shared" si="8"/>
        <v>Pass</v>
      </c>
      <c r="Y189" s="2">
        <v>174</v>
      </c>
      <c r="Z189" s="2">
        <v>0.31259999999999999</v>
      </c>
      <c r="AA189" s="2">
        <v>0.3281</v>
      </c>
      <c r="AB189" s="2">
        <v>116.8126</v>
      </c>
    </row>
    <row r="190" spans="2:28" x14ac:dyDescent="0.4">
      <c r="B190" s="11">
        <v>173</v>
      </c>
      <c r="C190" s="16">
        <f t="shared" si="9"/>
        <v>104.73724420873219</v>
      </c>
      <c r="D190" s="17">
        <f t="shared" si="11"/>
        <v>116.37471578748021</v>
      </c>
      <c r="E190" s="17">
        <f t="shared" si="10"/>
        <v>128.01218736622823</v>
      </c>
      <c r="F190" s="2">
        <v>116.426</v>
      </c>
      <c r="G190" s="2" t="str">
        <f t="shared" si="8"/>
        <v>Pass</v>
      </c>
      <c r="Y190" s="2">
        <v>175</v>
      </c>
      <c r="Z190" s="2">
        <v>0.31190000000000001</v>
      </c>
      <c r="AA190" s="2">
        <v>0.32829999999999998</v>
      </c>
      <c r="AB190" s="2">
        <v>117.6386</v>
      </c>
    </row>
    <row r="191" spans="2:28" x14ac:dyDescent="0.4">
      <c r="B191" s="11">
        <v>174</v>
      </c>
      <c r="C191" s="16">
        <f t="shared" si="9"/>
        <v>105.82778779248487</v>
      </c>
      <c r="D191" s="17">
        <f t="shared" si="11"/>
        <v>117.58643088053874</v>
      </c>
      <c r="E191" s="17">
        <f t="shared" si="10"/>
        <v>129.34507396859263</v>
      </c>
      <c r="F191" s="2">
        <v>116.8126</v>
      </c>
      <c r="G191" s="2" t="str">
        <f t="shared" si="8"/>
        <v>Pass</v>
      </c>
      <c r="Y191" s="2">
        <v>176</v>
      </c>
      <c r="Z191" s="2">
        <v>0.31280000000000002</v>
      </c>
      <c r="AA191" s="2">
        <v>0.32979999999999998</v>
      </c>
      <c r="AB191" s="2">
        <v>119.1837</v>
      </c>
    </row>
    <row r="192" spans="2:28" x14ac:dyDescent="0.4">
      <c r="B192" s="11">
        <v>175</v>
      </c>
      <c r="C192" s="16">
        <f t="shared" si="9"/>
        <v>106.92334903110824</v>
      </c>
      <c r="D192" s="17">
        <f t="shared" si="11"/>
        <v>118.80372114567584</v>
      </c>
      <c r="E192" s="17">
        <f t="shared" si="10"/>
        <v>130.68409326024343</v>
      </c>
      <c r="F192" s="2">
        <v>117.6386</v>
      </c>
      <c r="G192" s="2" t="str">
        <f t="shared" si="8"/>
        <v>Pass</v>
      </c>
      <c r="Y192" s="2">
        <v>177</v>
      </c>
      <c r="Z192" s="2">
        <v>0.31280000000000002</v>
      </c>
      <c r="AA192" s="2">
        <v>0.32969999999999999</v>
      </c>
      <c r="AB192" s="2">
        <v>120.50109999999999</v>
      </c>
    </row>
    <row r="193" spans="2:28" x14ac:dyDescent="0.4">
      <c r="B193" s="11">
        <v>176</v>
      </c>
      <c r="C193" s="16">
        <f t="shared" si="9"/>
        <v>108.02392218593229</v>
      </c>
      <c r="D193" s="17">
        <f t="shared" si="11"/>
        <v>120.02658020659143</v>
      </c>
      <c r="E193" s="17">
        <f t="shared" si="10"/>
        <v>132.02923822725057</v>
      </c>
      <c r="F193" s="2">
        <v>119.1837</v>
      </c>
      <c r="G193" s="2" t="str">
        <f t="shared" si="8"/>
        <v>Pass</v>
      </c>
      <c r="Y193" s="2">
        <v>178</v>
      </c>
      <c r="Z193" s="2">
        <v>0.31269999999999998</v>
      </c>
      <c r="AA193" s="2">
        <v>0.32950000000000002</v>
      </c>
      <c r="AB193" s="2">
        <v>121.77</v>
      </c>
    </row>
    <row r="194" spans="2:28" x14ac:dyDescent="0.4">
      <c r="B194" s="11">
        <v>177</v>
      </c>
      <c r="C194" s="16">
        <f t="shared" si="9"/>
        <v>109.12950155744308</v>
      </c>
      <c r="D194" s="17">
        <f t="shared" si="11"/>
        <v>121.25500173049231</v>
      </c>
      <c r="E194" s="17">
        <f t="shared" si="10"/>
        <v>133.38050190354153</v>
      </c>
      <c r="F194" s="2">
        <v>120.50109999999999</v>
      </c>
      <c r="G194" s="2" t="str">
        <f t="shared" si="8"/>
        <v>Pass</v>
      </c>
      <c r="Y194" s="2">
        <v>179</v>
      </c>
      <c r="Z194" s="2">
        <v>0.31269999999999998</v>
      </c>
      <c r="AA194" s="2">
        <v>0.32950000000000002</v>
      </c>
      <c r="AB194" s="2">
        <v>123.4401</v>
      </c>
    </row>
    <row r="195" spans="2:28" x14ac:dyDescent="0.4">
      <c r="B195" s="11">
        <v>178</v>
      </c>
      <c r="C195" s="16">
        <f t="shared" si="9"/>
        <v>110.24008148479578</v>
      </c>
      <c r="D195" s="17">
        <f t="shared" si="11"/>
        <v>122.48897942755087</v>
      </c>
      <c r="E195" s="17">
        <f t="shared" si="10"/>
        <v>134.73787737030597</v>
      </c>
      <c r="F195" s="2">
        <v>121.77</v>
      </c>
      <c r="G195" s="2" t="str">
        <f t="shared" si="8"/>
        <v>Pass</v>
      </c>
      <c r="Y195" s="2">
        <v>180</v>
      </c>
      <c r="Z195" s="2">
        <v>0.31330000000000002</v>
      </c>
      <c r="AA195" s="2">
        <v>0.3291</v>
      </c>
      <c r="AB195" s="2">
        <v>123.8122</v>
      </c>
    </row>
    <row r="196" spans="2:28" x14ac:dyDescent="0.4">
      <c r="B196" s="11">
        <v>179</v>
      </c>
      <c r="C196" s="16">
        <f t="shared" si="9"/>
        <v>111.35565634533641</v>
      </c>
      <c r="D196" s="17">
        <f t="shared" si="11"/>
        <v>123.72850705037379</v>
      </c>
      <c r="E196" s="17">
        <f t="shared" si="10"/>
        <v>136.10135775541119</v>
      </c>
      <c r="F196" s="2">
        <v>123.4401</v>
      </c>
      <c r="G196" s="2" t="str">
        <f t="shared" si="8"/>
        <v>Pass</v>
      </c>
      <c r="Y196" s="2">
        <v>181</v>
      </c>
      <c r="Z196" s="2">
        <v>0.31319999999999998</v>
      </c>
      <c r="AA196" s="2">
        <v>0.3291</v>
      </c>
      <c r="AB196" s="2">
        <v>125.03700000000001</v>
      </c>
    </row>
    <row r="197" spans="2:28" x14ac:dyDescent="0.4">
      <c r="B197" s="11">
        <v>180</v>
      </c>
      <c r="C197" s="16">
        <f t="shared" si="9"/>
        <v>112.47622055413201</v>
      </c>
      <c r="D197" s="17">
        <f t="shared" si="11"/>
        <v>124.97357839348001</v>
      </c>
      <c r="E197" s="17">
        <f t="shared" si="10"/>
        <v>137.47093623282802</v>
      </c>
      <c r="F197" s="2">
        <v>123.8122</v>
      </c>
      <c r="G197" s="2" t="str">
        <f t="shared" si="8"/>
        <v>Pass</v>
      </c>
      <c r="Y197" s="2">
        <v>182</v>
      </c>
      <c r="Z197" s="2">
        <v>0.31259999999999999</v>
      </c>
      <c r="AA197" s="2">
        <v>0.32940000000000003</v>
      </c>
      <c r="AB197" s="2">
        <v>126.3326</v>
      </c>
    </row>
    <row r="198" spans="2:28" x14ac:dyDescent="0.4">
      <c r="B198" s="11">
        <v>181</v>
      </c>
      <c r="C198" s="16">
        <f t="shared" si="9"/>
        <v>113.60176856350934</v>
      </c>
      <c r="D198" s="17">
        <f t="shared" si="11"/>
        <v>126.22418729278816</v>
      </c>
      <c r="E198" s="17">
        <f t="shared" si="10"/>
        <v>138.84660602206696</v>
      </c>
      <c r="F198" s="2">
        <v>125.03700000000001</v>
      </c>
      <c r="G198" s="2" t="str">
        <f t="shared" si="8"/>
        <v>Pass</v>
      </c>
      <c r="Y198" s="2">
        <v>183</v>
      </c>
      <c r="Z198" s="2">
        <v>0.3125</v>
      </c>
      <c r="AA198" s="2">
        <v>0.32929999999999998</v>
      </c>
      <c r="AB198" s="2">
        <v>127.5575</v>
      </c>
    </row>
    <row r="199" spans="2:28" x14ac:dyDescent="0.4">
      <c r="B199" s="11">
        <v>182</v>
      </c>
      <c r="C199" s="16">
        <f t="shared" si="9"/>
        <v>114.73229486260172</v>
      </c>
      <c r="D199" s="17">
        <f t="shared" si="11"/>
        <v>127.48032762511302</v>
      </c>
      <c r="E199" s="17">
        <f t="shared" si="10"/>
        <v>140.22836038762432</v>
      </c>
      <c r="F199" s="2">
        <v>126.3326</v>
      </c>
      <c r="G199" s="2" t="str">
        <f t="shared" si="8"/>
        <v>Pass</v>
      </c>
      <c r="Y199" s="2">
        <v>184</v>
      </c>
      <c r="Z199" s="2">
        <v>0.3125</v>
      </c>
      <c r="AA199" s="2">
        <v>0.32919999999999999</v>
      </c>
      <c r="AB199" s="2">
        <v>129.20910000000001</v>
      </c>
    </row>
    <row r="200" spans="2:28" x14ac:dyDescent="0.4">
      <c r="B200" s="11">
        <v>183</v>
      </c>
      <c r="C200" s="16">
        <f t="shared" si="9"/>
        <v>115.8677939769036</v>
      </c>
      <c r="D200" s="17">
        <f t="shared" si="11"/>
        <v>128.74199330767067</v>
      </c>
      <c r="E200" s="17">
        <f t="shared" si="10"/>
        <v>141.61619263843772</v>
      </c>
      <c r="F200" s="2">
        <v>127.5575</v>
      </c>
      <c r="G200" s="2" t="str">
        <f t="shared" si="8"/>
        <v>Pass</v>
      </c>
      <c r="Y200" s="2">
        <v>185</v>
      </c>
      <c r="Z200" s="2">
        <v>0.31290000000000001</v>
      </c>
      <c r="AA200" s="2">
        <v>0.32990000000000003</v>
      </c>
      <c r="AB200" s="2">
        <v>130.43510000000001</v>
      </c>
    </row>
    <row r="201" spans="2:28" x14ac:dyDescent="0.4">
      <c r="B201" s="11">
        <v>184</v>
      </c>
      <c r="C201" s="16">
        <f t="shared" si="9"/>
        <v>117.0082604678334</v>
      </c>
      <c r="D201" s="17">
        <f t="shared" si="11"/>
        <v>130.00917829759265</v>
      </c>
      <c r="E201" s="17">
        <f t="shared" si="10"/>
        <v>143.01009612735191</v>
      </c>
      <c r="F201" s="2">
        <v>129.20910000000001</v>
      </c>
      <c r="G201" s="2" t="str">
        <f t="shared" si="8"/>
        <v>Pass</v>
      </c>
      <c r="Y201" s="2">
        <v>186</v>
      </c>
      <c r="Z201" s="2">
        <v>0.31309999999999999</v>
      </c>
      <c r="AA201" s="2">
        <v>0.32890000000000003</v>
      </c>
      <c r="AB201" s="2">
        <v>130.8776</v>
      </c>
    </row>
    <row r="202" spans="2:28" x14ac:dyDescent="0.4">
      <c r="B202" s="11">
        <v>185</v>
      </c>
      <c r="C202" s="16">
        <f t="shared" si="9"/>
        <v>118.15368893230342</v>
      </c>
      <c r="D202" s="17">
        <f t="shared" si="11"/>
        <v>131.28187659144825</v>
      </c>
      <c r="E202" s="17">
        <f t="shared" si="10"/>
        <v>144.41006425059308</v>
      </c>
      <c r="F202" s="2">
        <v>130.43510000000001</v>
      </c>
      <c r="G202" s="2" t="str">
        <f t="shared" si="8"/>
        <v>Pass</v>
      </c>
      <c r="Y202" s="2">
        <v>187</v>
      </c>
      <c r="Z202" s="2">
        <v>0.31309999999999999</v>
      </c>
      <c r="AA202" s="2">
        <v>0.32890000000000003</v>
      </c>
      <c r="AB202" s="2">
        <v>132.17439999999999</v>
      </c>
    </row>
    <row r="203" spans="2:28" x14ac:dyDescent="0.4">
      <c r="B203" s="11">
        <v>186</v>
      </c>
      <c r="C203" s="16">
        <f t="shared" si="9"/>
        <v>119.30407400229761</v>
      </c>
      <c r="D203" s="17">
        <f t="shared" si="11"/>
        <v>132.56008222477513</v>
      </c>
      <c r="E203" s="17">
        <f t="shared" si="10"/>
        <v>145.81609044725263</v>
      </c>
      <c r="F203" s="2">
        <v>130.8776</v>
      </c>
      <c r="G203" s="2" t="str">
        <f t="shared" si="8"/>
        <v>Pass</v>
      </c>
      <c r="Y203" s="2">
        <v>188</v>
      </c>
      <c r="Z203" s="2">
        <v>0.31309999999999999</v>
      </c>
      <c r="AA203" s="2">
        <v>0.32890000000000003</v>
      </c>
      <c r="AB203" s="2">
        <v>133.9196</v>
      </c>
    </row>
    <row r="204" spans="2:28" x14ac:dyDescent="0.4">
      <c r="B204" s="11">
        <v>187</v>
      </c>
      <c r="C204" s="16">
        <f t="shared" si="9"/>
        <v>120.4594103444564</v>
      </c>
      <c r="D204" s="17">
        <f t="shared" si="11"/>
        <v>133.84378927161822</v>
      </c>
      <c r="E204" s="17">
        <f t="shared" si="10"/>
        <v>147.22816819878005</v>
      </c>
      <c r="F204" s="2">
        <v>132.17439999999999</v>
      </c>
      <c r="G204" s="2" t="str">
        <f t="shared" si="8"/>
        <v>Pass</v>
      </c>
      <c r="Y204" s="2">
        <v>189</v>
      </c>
      <c r="Z204" s="2">
        <v>0.31290000000000001</v>
      </c>
      <c r="AA204" s="2">
        <v>0.32990000000000003</v>
      </c>
      <c r="AB204" s="2">
        <v>134.86359999999999</v>
      </c>
    </row>
    <row r="205" spans="2:28" x14ac:dyDescent="0.4">
      <c r="B205" s="11">
        <v>188</v>
      </c>
      <c r="C205" s="16">
        <f t="shared" si="9"/>
        <v>121.61969265966869</v>
      </c>
      <c r="D205" s="17">
        <f t="shared" si="11"/>
        <v>135.13299184407632</v>
      </c>
      <c r="E205" s="17">
        <f t="shared" si="10"/>
        <v>148.64629102848394</v>
      </c>
      <c r="F205" s="2">
        <v>133.9196</v>
      </c>
      <c r="G205" s="2" t="str">
        <f t="shared" si="8"/>
        <v>Pass</v>
      </c>
      <c r="Y205" s="2">
        <v>190</v>
      </c>
      <c r="Z205" s="2">
        <v>0.31280000000000002</v>
      </c>
      <c r="AA205" s="2">
        <v>0.32990000000000003</v>
      </c>
      <c r="AB205" s="2">
        <v>136.6575</v>
      </c>
    </row>
    <row r="206" spans="2:28" x14ac:dyDescent="0.4">
      <c r="B206" s="11">
        <v>189</v>
      </c>
      <c r="C206" s="16">
        <f t="shared" si="9"/>
        <v>122.78491568267081</v>
      </c>
      <c r="D206" s="17">
        <f t="shared" si="11"/>
        <v>136.42768409185646</v>
      </c>
      <c r="E206" s="17">
        <f t="shared" si="10"/>
        <v>150.0704525010421</v>
      </c>
      <c r="F206" s="2">
        <v>134.86359999999999</v>
      </c>
      <c r="G206" s="2" t="str">
        <f t="shared" si="8"/>
        <v>Pass</v>
      </c>
      <c r="Y206" s="2">
        <v>191</v>
      </c>
      <c r="Z206" s="2">
        <v>0.31280000000000002</v>
      </c>
      <c r="AA206" s="2">
        <v>0.33</v>
      </c>
      <c r="AB206" s="2">
        <v>138.00129999999999</v>
      </c>
    </row>
    <row r="207" spans="2:28" x14ac:dyDescent="0.4">
      <c r="B207" s="11">
        <v>190</v>
      </c>
      <c r="C207" s="16">
        <f t="shared" si="9"/>
        <v>123.95507418165224</v>
      </c>
      <c r="D207" s="17">
        <f t="shared" si="11"/>
        <v>137.72786020183582</v>
      </c>
      <c r="E207" s="17">
        <f t="shared" si="10"/>
        <v>151.50064622201941</v>
      </c>
      <c r="F207" s="2">
        <v>136.6575</v>
      </c>
      <c r="G207" s="2" t="str">
        <f t="shared" si="8"/>
        <v>Pass</v>
      </c>
      <c r="Y207" s="2">
        <v>192</v>
      </c>
      <c r="Z207" s="2">
        <v>0.31290000000000001</v>
      </c>
      <c r="AA207" s="2">
        <v>0.32869999999999999</v>
      </c>
      <c r="AB207" s="2">
        <v>138.3947</v>
      </c>
    </row>
    <row r="208" spans="2:28" x14ac:dyDescent="0.4">
      <c r="B208" s="11">
        <v>191</v>
      </c>
      <c r="C208" s="16">
        <f t="shared" si="9"/>
        <v>125.13016295786802</v>
      </c>
      <c r="D208" s="17">
        <f t="shared" si="11"/>
        <v>139.03351439763114</v>
      </c>
      <c r="E208" s="17">
        <f t="shared" si="10"/>
        <v>152.93686583739424</v>
      </c>
      <c r="F208" s="2">
        <v>138.00129999999999</v>
      </c>
      <c r="G208" s="2" t="str">
        <f t="shared" si="8"/>
        <v>Pass</v>
      </c>
      <c r="Y208" s="2">
        <v>193</v>
      </c>
      <c r="Z208" s="2">
        <v>0.31290000000000001</v>
      </c>
      <c r="AA208" s="2">
        <v>0.32869999999999999</v>
      </c>
      <c r="AB208" s="2">
        <v>139.75389999999999</v>
      </c>
    </row>
    <row r="209" spans="2:28" x14ac:dyDescent="0.4">
      <c r="B209" s="11">
        <v>192</v>
      </c>
      <c r="C209" s="16">
        <f t="shared" si="9"/>
        <v>126.31017684525759</v>
      </c>
      <c r="D209" s="17">
        <f t="shared" si="11"/>
        <v>140.34464093917509</v>
      </c>
      <c r="E209" s="17">
        <f t="shared" si="10"/>
        <v>154.3791050330926</v>
      </c>
      <c r="F209" s="2">
        <v>138.3947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0.31369999999999998</v>
      </c>
      <c r="AA209" s="2">
        <v>0.3301</v>
      </c>
      <c r="AB209" s="2">
        <v>141.49080000000001</v>
      </c>
    </row>
    <row r="210" spans="2:28" x14ac:dyDescent="0.4">
      <c r="B210" s="11">
        <v>193</v>
      </c>
      <c r="C210" s="16">
        <f t="shared" ref="C210:C272" si="13">D210-D210*(C$14/100)</f>
        <v>127.49511071006994</v>
      </c>
      <c r="D210" s="17">
        <f t="shared" si="11"/>
        <v>141.66123412229993</v>
      </c>
      <c r="E210" s="17">
        <f t="shared" ref="E210:E272" si="14">D210+D210*(C$14/100)</f>
        <v>155.82735753452994</v>
      </c>
      <c r="F210" s="2">
        <v>139.75389999999999</v>
      </c>
      <c r="G210" s="2" t="str">
        <f t="shared" si="12"/>
        <v>Pass</v>
      </c>
      <c r="Y210" s="2">
        <v>195</v>
      </c>
      <c r="Z210" s="2">
        <v>0.31359999999999999</v>
      </c>
      <c r="AA210" s="2">
        <v>0.3301</v>
      </c>
      <c r="AB210" s="2">
        <v>142.8852</v>
      </c>
    </row>
    <row r="211" spans="2:28" x14ac:dyDescent="0.4">
      <c r="B211" s="11">
        <v>194</v>
      </c>
      <c r="C211" s="16">
        <f t="shared" si="13"/>
        <v>128.68495945049528</v>
      </c>
      <c r="D211" s="17">
        <f t="shared" ref="D211:D271" si="15">D$272*((B211+F$17)/B$272)^C$13</f>
        <v>142.9832882783281</v>
      </c>
      <c r="E211" s="17">
        <f t="shared" si="14"/>
        <v>157.28161710616092</v>
      </c>
      <c r="F211" s="2">
        <v>141.49080000000001</v>
      </c>
      <c r="G211" s="2" t="str">
        <f t="shared" si="12"/>
        <v>Pass</v>
      </c>
      <c r="Y211" s="2">
        <v>196</v>
      </c>
      <c r="Z211" s="2">
        <v>0.31359999999999999</v>
      </c>
      <c r="AA211" s="2">
        <v>0.3301</v>
      </c>
      <c r="AB211" s="2">
        <v>144.26429999999999</v>
      </c>
    </row>
    <row r="212" spans="2:28" x14ac:dyDescent="0.4">
      <c r="B212" s="11">
        <v>195</v>
      </c>
      <c r="C212" s="16">
        <f t="shared" si="13"/>
        <v>129.87971799630253</v>
      </c>
      <c r="D212" s="17">
        <f t="shared" si="15"/>
        <v>144.31079777366946</v>
      </c>
      <c r="E212" s="17">
        <f t="shared" si="14"/>
        <v>158.7418775510364</v>
      </c>
      <c r="F212" s="2">
        <v>142.8852</v>
      </c>
      <c r="G212" s="2" t="str">
        <f t="shared" si="12"/>
        <v>Pass</v>
      </c>
      <c r="Y212" s="2">
        <v>197</v>
      </c>
      <c r="Z212" s="2">
        <v>0.3125</v>
      </c>
      <c r="AA212" s="2">
        <v>0.3296</v>
      </c>
      <c r="AB212" s="2">
        <v>145.6728</v>
      </c>
    </row>
    <row r="213" spans="2:28" x14ac:dyDescent="0.4">
      <c r="B213" s="11">
        <v>196</v>
      </c>
      <c r="C213" s="16">
        <f t="shared" si="13"/>
        <v>131.07938130848254</v>
      </c>
      <c r="D213" s="17">
        <f t="shared" si="15"/>
        <v>145.64375700942506</v>
      </c>
      <c r="E213" s="17">
        <f t="shared" si="14"/>
        <v>160.20813271036758</v>
      </c>
      <c r="F213" s="2">
        <v>144.26429999999999</v>
      </c>
      <c r="G213" s="2" t="str">
        <f t="shared" si="12"/>
        <v>Pass</v>
      </c>
      <c r="Y213" s="2">
        <v>198</v>
      </c>
      <c r="Z213" s="2">
        <v>0.31280000000000002</v>
      </c>
      <c r="AA213" s="2">
        <v>0.3286</v>
      </c>
      <c r="AB213" s="2">
        <v>146.13550000000001</v>
      </c>
    </row>
    <row r="214" spans="2:28" x14ac:dyDescent="0.4">
      <c r="B214" s="11">
        <v>197</v>
      </c>
      <c r="C214" s="16">
        <f t="shared" si="13"/>
        <v>132.28394437889779</v>
      </c>
      <c r="D214" s="17">
        <f t="shared" si="15"/>
        <v>146.98216042099753</v>
      </c>
      <c r="E214" s="17">
        <f t="shared" si="14"/>
        <v>161.68037646309728</v>
      </c>
      <c r="F214" s="2">
        <v>145.6728</v>
      </c>
      <c r="G214" s="2" t="str">
        <f t="shared" si="12"/>
        <v>Pass</v>
      </c>
      <c r="Y214" s="2">
        <v>199</v>
      </c>
      <c r="Z214" s="2">
        <v>0.31359999999999999</v>
      </c>
      <c r="AA214" s="2">
        <v>0.33</v>
      </c>
      <c r="AB214" s="2">
        <v>147.49289999999999</v>
      </c>
    </row>
    <row r="215" spans="2:28" x14ac:dyDescent="0.4">
      <c r="B215" s="11">
        <v>198</v>
      </c>
      <c r="C215" s="16">
        <f t="shared" si="13"/>
        <v>133.49340222993712</v>
      </c>
      <c r="D215" s="17">
        <f t="shared" si="15"/>
        <v>148.3260024777079</v>
      </c>
      <c r="E215" s="17">
        <f t="shared" si="14"/>
        <v>163.15860272547869</v>
      </c>
      <c r="F215" s="2">
        <v>146.13550000000001</v>
      </c>
      <c r="G215" s="2" t="str">
        <f t="shared" si="12"/>
        <v>Pass</v>
      </c>
      <c r="Y215" s="2">
        <v>200</v>
      </c>
      <c r="Z215" s="2">
        <v>0.3135</v>
      </c>
      <c r="AA215" s="2">
        <v>0.32990000000000003</v>
      </c>
      <c r="AB215" s="2">
        <v>149.3742</v>
      </c>
    </row>
    <row r="216" spans="2:28" x14ac:dyDescent="0.4">
      <c r="B216" s="11">
        <v>199</v>
      </c>
      <c r="C216" s="16">
        <f t="shared" si="13"/>
        <v>134.70774991417642</v>
      </c>
      <c r="D216" s="17">
        <f t="shared" si="15"/>
        <v>149.67527768241825</v>
      </c>
      <c r="E216" s="17">
        <f t="shared" si="14"/>
        <v>164.64280545066009</v>
      </c>
      <c r="F216" s="2">
        <v>147.49289999999999</v>
      </c>
      <c r="G216" s="2" t="str">
        <f t="shared" si="12"/>
        <v>Pass</v>
      </c>
      <c r="Y216" s="2">
        <v>201</v>
      </c>
      <c r="Z216" s="2">
        <v>0.31340000000000001</v>
      </c>
      <c r="AA216" s="2">
        <v>0.32990000000000003</v>
      </c>
      <c r="AB216" s="2">
        <v>150.7748</v>
      </c>
    </row>
    <row r="217" spans="2:28" x14ac:dyDescent="0.4">
      <c r="B217" s="11">
        <v>200</v>
      </c>
      <c r="C217" s="16">
        <f t="shared" si="13"/>
        <v>135.92698251404482</v>
      </c>
      <c r="D217" s="17">
        <f t="shared" si="15"/>
        <v>151.02998057116091</v>
      </c>
      <c r="E217" s="17">
        <f t="shared" si="14"/>
        <v>166.13297862827699</v>
      </c>
      <c r="F217" s="2">
        <v>149.3742</v>
      </c>
      <c r="G217" s="2" t="str">
        <f t="shared" si="12"/>
        <v>Pass</v>
      </c>
      <c r="Y217" s="2">
        <v>202</v>
      </c>
      <c r="Z217" s="2">
        <v>0.31330000000000002</v>
      </c>
      <c r="AA217" s="2">
        <v>0.32979999999999998</v>
      </c>
      <c r="AB217" s="2">
        <v>152.67609999999999</v>
      </c>
    </row>
    <row r="218" spans="2:28" x14ac:dyDescent="0.4">
      <c r="B218" s="11">
        <v>201</v>
      </c>
      <c r="C218" s="16">
        <f t="shared" si="13"/>
        <v>137.15109514149574</v>
      </c>
      <c r="D218" s="17">
        <f t="shared" si="15"/>
        <v>152.39010571277305</v>
      </c>
      <c r="E218" s="17">
        <f t="shared" si="14"/>
        <v>167.62911628405035</v>
      </c>
      <c r="F218" s="2">
        <v>150.7748</v>
      </c>
      <c r="G218" s="2" t="str">
        <f t="shared" si="12"/>
        <v>Pass</v>
      </c>
      <c r="Y218" s="2">
        <v>203</v>
      </c>
      <c r="Z218" s="2">
        <v>0.31330000000000002</v>
      </c>
      <c r="AA218" s="2">
        <v>0.32969999999999999</v>
      </c>
      <c r="AB218" s="2">
        <v>154.06780000000001</v>
      </c>
    </row>
    <row r="219" spans="2:28" x14ac:dyDescent="0.4">
      <c r="B219" s="11">
        <v>202</v>
      </c>
      <c r="C219" s="16">
        <f t="shared" si="13"/>
        <v>138.38008293768391</v>
      </c>
      <c r="D219" s="17">
        <f t="shared" si="15"/>
        <v>153.75564770853768</v>
      </c>
      <c r="E219" s="17">
        <f t="shared" si="14"/>
        <v>169.13121247939145</v>
      </c>
      <c r="F219" s="2">
        <v>152.67609999999999</v>
      </c>
      <c r="G219" s="2" t="str">
        <f t="shared" si="12"/>
        <v>Pass</v>
      </c>
      <c r="Y219" s="2">
        <v>204</v>
      </c>
      <c r="Z219" s="2">
        <v>0.31319999999999998</v>
      </c>
      <c r="AA219" s="2">
        <v>0.32969999999999999</v>
      </c>
      <c r="AB219" s="2">
        <v>155.47659999999999</v>
      </c>
    </row>
    <row r="220" spans="2:28" x14ac:dyDescent="0.4">
      <c r="B220" s="11">
        <v>203</v>
      </c>
      <c r="C220" s="16">
        <f t="shared" si="13"/>
        <v>139.6139410726469</v>
      </c>
      <c r="D220" s="17">
        <f t="shared" si="15"/>
        <v>155.12660119182988</v>
      </c>
      <c r="E220" s="17">
        <f t="shared" si="14"/>
        <v>170.63926131101286</v>
      </c>
      <c r="F220" s="2">
        <v>154.06780000000001</v>
      </c>
      <c r="G220" s="2" t="str">
        <f t="shared" si="12"/>
        <v>Pass</v>
      </c>
      <c r="Y220" s="2">
        <v>205</v>
      </c>
      <c r="Z220" s="2">
        <v>0.31330000000000002</v>
      </c>
      <c r="AA220" s="2">
        <v>0.33050000000000002</v>
      </c>
      <c r="AB220" s="2">
        <v>156.8897</v>
      </c>
    </row>
    <row r="221" spans="2:28" x14ac:dyDescent="0.4">
      <c r="B221" s="11">
        <v>204</v>
      </c>
      <c r="C221" s="16">
        <f t="shared" si="13"/>
        <v>140.85266474499204</v>
      </c>
      <c r="D221" s="17">
        <f t="shared" si="15"/>
        <v>156.50296082776893</v>
      </c>
      <c r="E221" s="17">
        <f t="shared" si="14"/>
        <v>172.15325691054582</v>
      </c>
      <c r="F221" s="2">
        <v>155.47659999999999</v>
      </c>
      <c r="G221" s="2" t="str">
        <f t="shared" si="12"/>
        <v>Pass</v>
      </c>
      <c r="Y221" s="2">
        <v>206</v>
      </c>
      <c r="Z221" s="2">
        <v>0.31319999999999998</v>
      </c>
      <c r="AA221" s="2">
        <v>0.3296</v>
      </c>
      <c r="AB221" s="2">
        <v>157.30869999999999</v>
      </c>
    </row>
    <row r="222" spans="2:28" x14ac:dyDescent="0.4">
      <c r="B222" s="11">
        <v>205</v>
      </c>
      <c r="C222" s="16">
        <f t="shared" si="13"/>
        <v>142.09624918158795</v>
      </c>
      <c r="D222" s="17">
        <f t="shared" si="15"/>
        <v>157.88472131287551</v>
      </c>
      <c r="E222" s="17">
        <f t="shared" si="14"/>
        <v>173.67319344416308</v>
      </c>
      <c r="F222" s="2">
        <v>156.8897</v>
      </c>
      <c r="G222" s="2" t="str">
        <f t="shared" si="12"/>
        <v>Pass</v>
      </c>
      <c r="Y222" s="2">
        <v>207</v>
      </c>
      <c r="Z222" s="2">
        <v>0.31319999999999998</v>
      </c>
      <c r="AA222" s="2">
        <v>0.3296</v>
      </c>
      <c r="AB222" s="2">
        <v>158.74539999999999</v>
      </c>
    </row>
    <row r="223" spans="2:28" x14ac:dyDescent="0.4">
      <c r="B223" s="11">
        <v>206</v>
      </c>
      <c r="C223" s="16">
        <f t="shared" si="13"/>
        <v>143.34468963726127</v>
      </c>
      <c r="D223" s="17">
        <f t="shared" si="15"/>
        <v>159.27187737473474</v>
      </c>
      <c r="E223" s="17">
        <f t="shared" si="14"/>
        <v>175.19906511220822</v>
      </c>
      <c r="F223" s="2">
        <v>157.30869999999999</v>
      </c>
      <c r="G223" s="2" t="str">
        <f t="shared" si="12"/>
        <v>Pass</v>
      </c>
      <c r="Y223" s="2">
        <v>208</v>
      </c>
      <c r="Z223" s="2">
        <v>0.31309999999999999</v>
      </c>
      <c r="AA223" s="2">
        <v>0.32950000000000002</v>
      </c>
      <c r="AB223" s="2">
        <v>160.66560000000001</v>
      </c>
    </row>
    <row r="224" spans="2:28" x14ac:dyDescent="0.4">
      <c r="B224" s="11">
        <v>207</v>
      </c>
      <c r="C224" s="16">
        <f t="shared" si="13"/>
        <v>144.59798139449765</v>
      </c>
      <c r="D224" s="17">
        <f t="shared" si="15"/>
        <v>160.66442377166405</v>
      </c>
      <c r="E224" s="17">
        <f t="shared" si="14"/>
        <v>176.73086614883044</v>
      </c>
      <c r="F224" s="2">
        <v>158.74539999999999</v>
      </c>
      <c r="G224" s="2" t="str">
        <f t="shared" si="12"/>
        <v>Pass</v>
      </c>
      <c r="Y224" s="2">
        <v>209</v>
      </c>
      <c r="Z224" s="2">
        <v>0.31290000000000001</v>
      </c>
      <c r="AA224" s="2">
        <v>0.32950000000000002</v>
      </c>
      <c r="AB224" s="2">
        <v>162.00800000000001</v>
      </c>
    </row>
    <row r="225" spans="2:28" x14ac:dyDescent="0.4">
      <c r="B225" s="11">
        <v>208</v>
      </c>
      <c r="C225" s="16">
        <f t="shared" si="13"/>
        <v>145.85611976314783</v>
      </c>
      <c r="D225" s="17">
        <f t="shared" si="15"/>
        <v>162.06235529238648</v>
      </c>
      <c r="E225" s="17">
        <f t="shared" si="14"/>
        <v>178.26859082162514</v>
      </c>
      <c r="F225" s="2">
        <v>160.66560000000001</v>
      </c>
      <c r="G225" s="2" t="str">
        <f t="shared" si="12"/>
        <v>Pass</v>
      </c>
      <c r="Y225" s="2">
        <v>210</v>
      </c>
      <c r="Z225" s="2">
        <v>0.31269999999999998</v>
      </c>
      <c r="AA225" s="2">
        <v>0.32940000000000003</v>
      </c>
      <c r="AB225" s="2">
        <v>163.84620000000001</v>
      </c>
    </row>
    <row r="226" spans="2:28" x14ac:dyDescent="0.4">
      <c r="B226" s="11">
        <v>209</v>
      </c>
      <c r="C226" s="16">
        <f t="shared" si="13"/>
        <v>147.11910008013786</v>
      </c>
      <c r="D226" s="17">
        <f t="shared" si="15"/>
        <v>163.46566675570872</v>
      </c>
      <c r="E226" s="17">
        <f t="shared" si="14"/>
        <v>179.81223343127959</v>
      </c>
      <c r="F226" s="2">
        <v>162.00800000000001</v>
      </c>
      <c r="G226" s="2" t="str">
        <f t="shared" si="12"/>
        <v>Pass</v>
      </c>
      <c r="Y226" s="2">
        <v>211</v>
      </c>
      <c r="Z226" s="2">
        <v>0.31309999999999999</v>
      </c>
      <c r="AA226" s="2">
        <v>0.3301</v>
      </c>
      <c r="AB226" s="2">
        <v>165.30029999999999</v>
      </c>
    </row>
    <row r="227" spans="2:28" x14ac:dyDescent="0.4">
      <c r="B227" s="11">
        <v>210</v>
      </c>
      <c r="C227" s="16">
        <f t="shared" si="13"/>
        <v>148.38691770918396</v>
      </c>
      <c r="D227" s="17">
        <f t="shared" si="15"/>
        <v>164.8743530102044</v>
      </c>
      <c r="E227" s="17">
        <f t="shared" si="14"/>
        <v>181.36178831122484</v>
      </c>
      <c r="F227" s="2">
        <v>163.84620000000001</v>
      </c>
      <c r="G227" s="2" t="str">
        <f t="shared" si="12"/>
        <v>Pass</v>
      </c>
      <c r="Y227" s="2">
        <v>212</v>
      </c>
      <c r="Z227" s="2">
        <v>0.313</v>
      </c>
      <c r="AA227" s="2">
        <v>0.3301</v>
      </c>
      <c r="AB227" s="2">
        <v>166.7602</v>
      </c>
    </row>
    <row r="228" spans="2:28" x14ac:dyDescent="0.4">
      <c r="B228" s="11">
        <v>211</v>
      </c>
      <c r="C228" s="16">
        <f t="shared" si="13"/>
        <v>149.65956804051177</v>
      </c>
      <c r="D228" s="17">
        <f t="shared" si="15"/>
        <v>166.28840893390196</v>
      </c>
      <c r="E228" s="17">
        <f t="shared" si="14"/>
        <v>182.91724982729215</v>
      </c>
      <c r="F228" s="2">
        <v>165.30029999999999</v>
      </c>
      <c r="G228" s="2" t="str">
        <f t="shared" si="12"/>
        <v>Pass</v>
      </c>
      <c r="Y228" s="2">
        <v>213</v>
      </c>
      <c r="Z228" s="2">
        <v>0.31390000000000001</v>
      </c>
      <c r="AA228" s="2">
        <v>0.33040000000000003</v>
      </c>
      <c r="AB228" s="2">
        <v>168.6448</v>
      </c>
    </row>
    <row r="229" spans="2:28" x14ac:dyDescent="0.4">
      <c r="B229" s="11">
        <v>212</v>
      </c>
      <c r="C229" s="16">
        <f t="shared" si="13"/>
        <v>150.93704649057969</v>
      </c>
      <c r="D229" s="17">
        <f t="shared" si="15"/>
        <v>167.70782943397742</v>
      </c>
      <c r="E229" s="17">
        <f t="shared" si="14"/>
        <v>184.47861237737516</v>
      </c>
      <c r="F229" s="2">
        <v>166.7602</v>
      </c>
      <c r="G229" s="2" t="str">
        <f t="shared" si="12"/>
        <v>Pass</v>
      </c>
      <c r="Y229" s="2">
        <v>214</v>
      </c>
      <c r="Z229" s="2">
        <v>0.31380000000000002</v>
      </c>
      <c r="AA229" s="2">
        <v>0.33019999999999999</v>
      </c>
      <c r="AB229" s="2">
        <v>170.5804</v>
      </c>
    </row>
    <row r="230" spans="2:28" x14ac:dyDescent="0.4">
      <c r="B230" s="11">
        <v>213</v>
      </c>
      <c r="C230" s="16">
        <f t="shared" si="13"/>
        <v>152.21934850180645</v>
      </c>
      <c r="D230" s="17">
        <f t="shared" si="15"/>
        <v>169.1326094464516</v>
      </c>
      <c r="E230" s="17">
        <f t="shared" si="14"/>
        <v>186.04587039109674</v>
      </c>
      <c r="F230" s="2">
        <v>168.6448</v>
      </c>
      <c r="G230" s="2" t="str">
        <f t="shared" si="12"/>
        <v>Pass</v>
      </c>
      <c r="Y230" s="2">
        <v>215</v>
      </c>
      <c r="Z230" s="2">
        <v>0.313</v>
      </c>
      <c r="AA230" s="2">
        <v>0.32890000000000003</v>
      </c>
      <c r="AB230" s="2">
        <v>170.59460000000001</v>
      </c>
    </row>
    <row r="231" spans="2:28" x14ac:dyDescent="0.4">
      <c r="B231" s="11">
        <v>214</v>
      </c>
      <c r="C231" s="16">
        <f t="shared" si="13"/>
        <v>153.50646954230297</v>
      </c>
      <c r="D231" s="17">
        <f t="shared" si="15"/>
        <v>170.56274393589217</v>
      </c>
      <c r="E231" s="17">
        <f t="shared" si="14"/>
        <v>187.61901832948138</v>
      </c>
      <c r="F231" s="2">
        <v>170.5804</v>
      </c>
      <c r="G231" s="2" t="str">
        <f t="shared" si="12"/>
        <v>Pass</v>
      </c>
      <c r="Y231" s="2">
        <v>216</v>
      </c>
      <c r="Z231" s="2">
        <v>0.31269999999999998</v>
      </c>
      <c r="AA231" s="2">
        <v>0.32840000000000003</v>
      </c>
      <c r="AB231" s="2">
        <v>172.62219999999999</v>
      </c>
    </row>
    <row r="232" spans="2:28" x14ac:dyDescent="0.4">
      <c r="B232" s="11">
        <v>215</v>
      </c>
      <c r="C232" s="16">
        <f t="shared" si="13"/>
        <v>154.79840510560786</v>
      </c>
      <c r="D232" s="17">
        <f t="shared" si="15"/>
        <v>171.99822789511984</v>
      </c>
      <c r="E232" s="17">
        <f t="shared" si="14"/>
        <v>189.19805068463182</v>
      </c>
      <c r="F232" s="2">
        <v>170.59460000000001</v>
      </c>
      <c r="G232" s="2" t="str">
        <f t="shared" si="12"/>
        <v>Pass</v>
      </c>
      <c r="Y232" s="2">
        <v>217</v>
      </c>
      <c r="Z232" s="2">
        <v>0.31259999999999999</v>
      </c>
      <c r="AA232" s="2">
        <v>0.32819999999999999</v>
      </c>
      <c r="AB232" s="2">
        <v>174.08920000000001</v>
      </c>
    </row>
    <row r="233" spans="2:28" x14ac:dyDescent="0.4">
      <c r="B233" s="11">
        <v>216</v>
      </c>
      <c r="C233" s="16">
        <f t="shared" si="13"/>
        <v>156.0951507104273</v>
      </c>
      <c r="D233" s="17">
        <f t="shared" si="15"/>
        <v>173.43905634491924</v>
      </c>
      <c r="E233" s="17">
        <f t="shared" si="14"/>
        <v>190.78296197941117</v>
      </c>
      <c r="F233" s="2">
        <v>172.62219999999999</v>
      </c>
      <c r="G233" s="2" t="str">
        <f t="shared" si="12"/>
        <v>Pass</v>
      </c>
      <c r="Y233" s="2">
        <v>218</v>
      </c>
      <c r="Z233" s="2">
        <v>0.31330000000000002</v>
      </c>
      <c r="AA233" s="2">
        <v>0.32940000000000003</v>
      </c>
      <c r="AB233" s="2">
        <v>175.4539</v>
      </c>
    </row>
    <row r="234" spans="2:28" x14ac:dyDescent="0.4">
      <c r="B234" s="11">
        <v>217</v>
      </c>
      <c r="C234" s="16">
        <f t="shared" si="13"/>
        <v>157.3967019003783</v>
      </c>
      <c r="D234" s="17">
        <f t="shared" si="15"/>
        <v>174.88522433375368</v>
      </c>
      <c r="E234" s="17">
        <f t="shared" si="14"/>
        <v>192.37374676712906</v>
      </c>
      <c r="F234" s="2">
        <v>174.08920000000001</v>
      </c>
      <c r="G234" s="2" t="str">
        <f t="shared" si="12"/>
        <v>Pass</v>
      </c>
      <c r="Y234" s="2">
        <v>219</v>
      </c>
      <c r="Z234" s="2">
        <v>0.31319999999999998</v>
      </c>
      <c r="AA234" s="2">
        <v>0.32940000000000003</v>
      </c>
      <c r="AB234" s="2">
        <v>177.44759999999999</v>
      </c>
    </row>
    <row r="235" spans="2:28" x14ac:dyDescent="0.4">
      <c r="B235" s="11">
        <v>218</v>
      </c>
      <c r="C235" s="16">
        <f t="shared" si="13"/>
        <v>158.70305424373629</v>
      </c>
      <c r="D235" s="17">
        <f t="shared" si="15"/>
        <v>176.33672693748477</v>
      </c>
      <c r="E235" s="17">
        <f t="shared" si="14"/>
        <v>193.97039963123325</v>
      </c>
      <c r="F235" s="2">
        <v>175.4539</v>
      </c>
      <c r="G235" s="2" t="str">
        <f t="shared" si="12"/>
        <v>Pass</v>
      </c>
      <c r="Y235" s="2">
        <v>220</v>
      </c>
      <c r="Z235" s="2">
        <v>0.31319999999999998</v>
      </c>
      <c r="AA235" s="2">
        <v>0.32929999999999998</v>
      </c>
      <c r="AB235" s="2">
        <v>178.95070000000001</v>
      </c>
    </row>
    <row r="236" spans="2:28" x14ac:dyDescent="0.4">
      <c r="B236" s="11">
        <v>219</v>
      </c>
      <c r="C236" s="16">
        <f t="shared" si="13"/>
        <v>160.01420333318583</v>
      </c>
      <c r="D236" s="17">
        <f t="shared" si="15"/>
        <v>177.79355925909536</v>
      </c>
      <c r="E236" s="17">
        <f t="shared" si="14"/>
        <v>195.57291518500489</v>
      </c>
      <c r="F236" s="2">
        <v>177.44759999999999</v>
      </c>
      <c r="G236" s="2" t="str">
        <f t="shared" si="12"/>
        <v>Pass</v>
      </c>
      <c r="Y236" s="2">
        <v>221</v>
      </c>
      <c r="Z236" s="2">
        <v>0.31309999999999999</v>
      </c>
      <c r="AA236" s="2">
        <v>0.32929999999999998</v>
      </c>
      <c r="AB236" s="2">
        <v>180.4255</v>
      </c>
    </row>
    <row r="237" spans="2:28" x14ac:dyDescent="0.4">
      <c r="B237" s="11">
        <v>220</v>
      </c>
      <c r="C237" s="16">
        <f t="shared" si="13"/>
        <v>161.33014478557544</v>
      </c>
      <c r="D237" s="17">
        <f t="shared" si="15"/>
        <v>179.25571642841717</v>
      </c>
      <c r="E237" s="17">
        <f t="shared" si="14"/>
        <v>197.1812880712589</v>
      </c>
      <c r="F237" s="2">
        <v>178.95070000000001</v>
      </c>
      <c r="G237" s="2" t="str">
        <f t="shared" si="12"/>
        <v>Pass</v>
      </c>
      <c r="Y237" s="2">
        <v>222</v>
      </c>
      <c r="Z237" s="2">
        <v>0.31290000000000001</v>
      </c>
      <c r="AA237" s="2">
        <v>0.32929999999999998</v>
      </c>
      <c r="AB237" s="2">
        <v>182.3347</v>
      </c>
    </row>
    <row r="238" spans="2:28" x14ac:dyDescent="0.4">
      <c r="B238" s="11">
        <v>221</v>
      </c>
      <c r="C238" s="16">
        <f t="shared" si="13"/>
        <v>162.65087424167581</v>
      </c>
      <c r="D238" s="17">
        <f t="shared" si="15"/>
        <v>180.72319360186199</v>
      </c>
      <c r="E238" s="17">
        <f t="shared" si="14"/>
        <v>198.79551296204818</v>
      </c>
      <c r="F238" s="2">
        <v>180.4255</v>
      </c>
      <c r="G238" s="2" t="str">
        <f t="shared" si="12"/>
        <v>Pass</v>
      </c>
      <c r="Y238" s="2">
        <v>223</v>
      </c>
      <c r="Z238" s="2">
        <v>0.31280000000000002</v>
      </c>
      <c r="AA238" s="2">
        <v>0.32919999999999999</v>
      </c>
      <c r="AB238" s="2">
        <v>183.79159999999999</v>
      </c>
    </row>
    <row r="239" spans="2:28" x14ac:dyDescent="0.4">
      <c r="B239" s="11">
        <v>222</v>
      </c>
      <c r="C239" s="16">
        <f t="shared" si="13"/>
        <v>163.97638736594141</v>
      </c>
      <c r="D239" s="17">
        <f t="shared" si="15"/>
        <v>182.19598596215712</v>
      </c>
      <c r="E239" s="17">
        <f t="shared" si="14"/>
        <v>200.41558455837284</v>
      </c>
      <c r="F239" s="2">
        <v>182.3347</v>
      </c>
      <c r="G239" s="2" t="str">
        <f t="shared" si="12"/>
        <v>Pass</v>
      </c>
      <c r="Y239" s="2">
        <v>224</v>
      </c>
      <c r="Z239" s="2">
        <v>0.31280000000000002</v>
      </c>
      <c r="AA239" s="2">
        <v>0.32919999999999999</v>
      </c>
      <c r="AB239" s="2">
        <v>183.8023</v>
      </c>
    </row>
    <row r="240" spans="2:28" x14ac:dyDescent="0.4">
      <c r="B240" s="11">
        <v>223</v>
      </c>
      <c r="C240" s="16">
        <f t="shared" si="13"/>
        <v>165.30667984627578</v>
      </c>
      <c r="D240" s="17">
        <f t="shared" si="15"/>
        <v>183.67408871808419</v>
      </c>
      <c r="E240" s="17">
        <f t="shared" si="14"/>
        <v>202.0414975898926</v>
      </c>
      <c r="F240" s="2">
        <v>183.79159999999999</v>
      </c>
      <c r="G240" s="2" t="str">
        <f t="shared" si="12"/>
        <v>Pass</v>
      </c>
      <c r="Y240" s="2">
        <v>225</v>
      </c>
      <c r="Z240" s="2">
        <v>0.31269999999999998</v>
      </c>
      <c r="AA240" s="2">
        <v>0.3291</v>
      </c>
      <c r="AB240" s="2">
        <v>185.8415</v>
      </c>
    </row>
    <row r="241" spans="2:28" x14ac:dyDescent="0.4">
      <c r="B241" s="11">
        <v>224</v>
      </c>
      <c r="C241" s="16">
        <f t="shared" si="13"/>
        <v>166.64174739379996</v>
      </c>
      <c r="D241" s="17">
        <f t="shared" si="15"/>
        <v>185.15749710422219</v>
      </c>
      <c r="E241" s="17">
        <f t="shared" si="14"/>
        <v>203.67324681464441</v>
      </c>
      <c r="F241" s="2">
        <v>183.8023</v>
      </c>
      <c r="G241" s="2" t="str">
        <f t="shared" si="12"/>
        <v>Pass</v>
      </c>
      <c r="Y241" s="2">
        <v>226</v>
      </c>
      <c r="Z241" s="2">
        <v>0.31269999999999998</v>
      </c>
      <c r="AA241" s="2">
        <v>0.32919999999999999</v>
      </c>
      <c r="AB241" s="2">
        <v>187.4461</v>
      </c>
    </row>
    <row r="242" spans="2:28" x14ac:dyDescent="0.4">
      <c r="B242" s="11">
        <v>225</v>
      </c>
      <c r="C242" s="16">
        <f t="shared" si="13"/>
        <v>167.98158574262436</v>
      </c>
      <c r="D242" s="17">
        <f t="shared" si="15"/>
        <v>186.64620638069374</v>
      </c>
      <c r="E242" s="17">
        <f t="shared" si="14"/>
        <v>205.31082701876312</v>
      </c>
      <c r="F242" s="2">
        <v>185.8415</v>
      </c>
      <c r="G242" s="2" t="str">
        <f t="shared" si="12"/>
        <v>Pass</v>
      </c>
      <c r="Y242" s="2">
        <v>227</v>
      </c>
      <c r="Z242" s="2">
        <v>0.31259999999999999</v>
      </c>
      <c r="AA242" s="2">
        <v>0.3291</v>
      </c>
      <c r="AB242" s="2">
        <v>189.5994</v>
      </c>
    </row>
    <row r="243" spans="2:28" x14ac:dyDescent="0.4">
      <c r="B243" s="11">
        <v>226</v>
      </c>
      <c r="C243" s="16">
        <f t="shared" si="13"/>
        <v>169.32619064962387</v>
      </c>
      <c r="D243" s="17">
        <f t="shared" si="15"/>
        <v>188.14021183291541</v>
      </c>
      <c r="E243" s="17">
        <f t="shared" si="14"/>
        <v>206.95423301620696</v>
      </c>
      <c r="F243" s="2">
        <v>187.4461</v>
      </c>
      <c r="G243" s="2" t="str">
        <f t="shared" si="12"/>
        <v>Pass</v>
      </c>
      <c r="Y243" s="2">
        <v>228</v>
      </c>
      <c r="Z243" s="2">
        <v>0.31259999999999999</v>
      </c>
      <c r="AA243" s="2">
        <v>0.32900000000000001</v>
      </c>
      <c r="AB243" s="2">
        <v>191.21520000000001</v>
      </c>
    </row>
    <row r="244" spans="2:28" x14ac:dyDescent="0.4">
      <c r="B244" s="11">
        <v>227</v>
      </c>
      <c r="C244" s="16">
        <f t="shared" si="13"/>
        <v>170.67555789421615</v>
      </c>
      <c r="D244" s="17">
        <f t="shared" si="15"/>
        <v>189.63950877135127</v>
      </c>
      <c r="E244" s="17">
        <f t="shared" si="14"/>
        <v>208.60345964848639</v>
      </c>
      <c r="F244" s="2">
        <v>189.5994</v>
      </c>
      <c r="G244" s="2" t="str">
        <f t="shared" si="12"/>
        <v>Pass</v>
      </c>
      <c r="Y244" s="2">
        <v>229</v>
      </c>
      <c r="Z244" s="2">
        <v>0.31259999999999999</v>
      </c>
      <c r="AA244" s="2">
        <v>0.32900000000000001</v>
      </c>
      <c r="AB244" s="2">
        <v>192.84229999999999</v>
      </c>
    </row>
    <row r="245" spans="2:28" x14ac:dyDescent="0.4">
      <c r="B245" s="11">
        <v>228</v>
      </c>
      <c r="C245" s="16">
        <f t="shared" si="13"/>
        <v>172.02968327814295</v>
      </c>
      <c r="D245" s="17">
        <f t="shared" si="15"/>
        <v>191.14409253126993</v>
      </c>
      <c r="E245" s="17">
        <f t="shared" si="14"/>
        <v>210.25850178439691</v>
      </c>
      <c r="F245" s="2">
        <v>191.21520000000001</v>
      </c>
      <c r="G245" s="2" t="str">
        <f t="shared" si="12"/>
        <v>Pass</v>
      </c>
      <c r="Y245" s="2">
        <v>230</v>
      </c>
      <c r="Z245" s="2">
        <v>0.31319999999999998</v>
      </c>
      <c r="AA245" s="2">
        <v>0.33029999999999998</v>
      </c>
      <c r="AB245" s="2">
        <v>195.03229999999999</v>
      </c>
    </row>
    <row r="246" spans="2:28" x14ac:dyDescent="0.4">
      <c r="B246" s="11">
        <v>229</v>
      </c>
      <c r="C246" s="16">
        <f t="shared" si="13"/>
        <v>173.38856262525456</v>
      </c>
      <c r="D246" s="17">
        <f t="shared" si="15"/>
        <v>192.65395847250508</v>
      </c>
      <c r="E246" s="17">
        <f t="shared" si="14"/>
        <v>211.9193543197556</v>
      </c>
      <c r="F246" s="2">
        <v>192.84229999999999</v>
      </c>
      <c r="G246" s="2" t="str">
        <f t="shared" si="12"/>
        <v>Pass</v>
      </c>
      <c r="Y246" s="2">
        <v>231</v>
      </c>
      <c r="Z246" s="2">
        <v>0.31330000000000002</v>
      </c>
      <c r="AA246" s="2">
        <v>0.33040000000000003</v>
      </c>
      <c r="AB246" s="2">
        <v>196.61060000000001</v>
      </c>
    </row>
    <row r="247" spans="2:28" x14ac:dyDescent="0.4">
      <c r="B247" s="11">
        <v>230</v>
      </c>
      <c r="C247" s="16">
        <f t="shared" si="13"/>
        <v>174.75219178129751</v>
      </c>
      <c r="D247" s="17">
        <f t="shared" si="15"/>
        <v>194.16910197921945</v>
      </c>
      <c r="E247" s="17">
        <f t="shared" si="14"/>
        <v>213.58601217714138</v>
      </c>
      <c r="F247" s="2">
        <v>195.03229999999999</v>
      </c>
      <c r="G247" s="2" t="str">
        <f t="shared" si="12"/>
        <v>Pass</v>
      </c>
      <c r="Y247" s="2">
        <v>232</v>
      </c>
      <c r="Z247" s="2">
        <v>0.31330000000000002</v>
      </c>
      <c r="AA247" s="2">
        <v>0.3306</v>
      </c>
      <c r="AB247" s="2">
        <v>198.64949999999999</v>
      </c>
    </row>
    <row r="248" spans="2:28" x14ac:dyDescent="0.4">
      <c r="B248" s="11">
        <v>231</v>
      </c>
      <c r="C248" s="16">
        <f t="shared" si="13"/>
        <v>176.12056661370474</v>
      </c>
      <c r="D248" s="17">
        <f t="shared" si="15"/>
        <v>195.68951845967192</v>
      </c>
      <c r="E248" s="17">
        <f t="shared" si="14"/>
        <v>215.25847030563909</v>
      </c>
      <c r="F248" s="2">
        <v>196.61060000000001</v>
      </c>
      <c r="G248" s="2" t="str">
        <f t="shared" si="12"/>
        <v>Pass</v>
      </c>
      <c r="Y248" s="2">
        <v>233</v>
      </c>
      <c r="Z248" s="2">
        <v>0.31309999999999999</v>
      </c>
      <c r="AA248" s="2">
        <v>0.32900000000000001</v>
      </c>
      <c r="AB248" s="2">
        <v>199.17429999999999</v>
      </c>
    </row>
    <row r="249" spans="2:28" x14ac:dyDescent="0.4">
      <c r="B249" s="11">
        <v>232</v>
      </c>
      <c r="C249" s="16">
        <f t="shared" si="13"/>
        <v>177.49368301138904</v>
      </c>
      <c r="D249" s="17">
        <f t="shared" si="15"/>
        <v>197.21520334598782</v>
      </c>
      <c r="E249" s="17">
        <f t="shared" si="14"/>
        <v>216.9367236805866</v>
      </c>
      <c r="F249" s="2">
        <v>198.64949999999999</v>
      </c>
      <c r="G249" s="2" t="str">
        <f t="shared" si="12"/>
        <v>Pass</v>
      </c>
      <c r="Y249" s="2">
        <v>234</v>
      </c>
      <c r="Z249" s="2">
        <v>0.31319999999999998</v>
      </c>
      <c r="AA249" s="2">
        <v>0.33050000000000002</v>
      </c>
      <c r="AB249" s="2">
        <v>200.21559999999999</v>
      </c>
    </row>
    <row r="250" spans="2:28" x14ac:dyDescent="0.4">
      <c r="B250" s="11">
        <v>233</v>
      </c>
      <c r="C250" s="16">
        <f t="shared" si="13"/>
        <v>178.87153688453935</v>
      </c>
      <c r="D250" s="17">
        <f t="shared" si="15"/>
        <v>198.74615209393261</v>
      </c>
      <c r="E250" s="17">
        <f t="shared" si="14"/>
        <v>218.62076730332586</v>
      </c>
      <c r="F250" s="2">
        <v>199.17429999999999</v>
      </c>
      <c r="G250" s="2" t="str">
        <f t="shared" si="12"/>
        <v>Pass</v>
      </c>
      <c r="Y250" s="2">
        <v>235</v>
      </c>
      <c r="Z250" s="2">
        <v>0.31309999999999999</v>
      </c>
      <c r="AA250" s="2">
        <v>0.33029999999999998</v>
      </c>
      <c r="AB250" s="2">
        <v>201.79570000000001</v>
      </c>
    </row>
    <row r="251" spans="2:28" x14ac:dyDescent="0.4">
      <c r="B251" s="11">
        <v>234</v>
      </c>
      <c r="C251" s="16">
        <f t="shared" si="13"/>
        <v>180.25412416441961</v>
      </c>
      <c r="D251" s="17">
        <f t="shared" si="15"/>
        <v>200.28236018268845</v>
      </c>
      <c r="E251" s="17">
        <f t="shared" si="14"/>
        <v>220.31059620095729</v>
      </c>
      <c r="F251" s="2">
        <v>200.21559999999999</v>
      </c>
      <c r="G251" s="2" t="str">
        <f t="shared" si="12"/>
        <v>Pass</v>
      </c>
      <c r="Y251" s="2">
        <v>236</v>
      </c>
      <c r="Z251" s="2">
        <v>0.313</v>
      </c>
      <c r="AA251" s="2">
        <v>0.33019999999999999</v>
      </c>
      <c r="AB251" s="2">
        <v>203.9177</v>
      </c>
    </row>
    <row r="252" spans="2:28" x14ac:dyDescent="0.4">
      <c r="B252" s="11">
        <v>235</v>
      </c>
      <c r="C252" s="16">
        <f t="shared" si="13"/>
        <v>181.64144080317061</v>
      </c>
      <c r="D252" s="17">
        <f t="shared" si="15"/>
        <v>201.823823114634</v>
      </c>
      <c r="E252" s="17">
        <f t="shared" si="14"/>
        <v>222.00620542609738</v>
      </c>
      <c r="F252" s="2">
        <v>201.79570000000001</v>
      </c>
      <c r="G252" s="2" t="str">
        <f t="shared" si="12"/>
        <v>Pass</v>
      </c>
      <c r="Y252" s="2">
        <v>237</v>
      </c>
      <c r="Z252" s="2">
        <v>0.313</v>
      </c>
      <c r="AA252" s="2">
        <v>0.3301</v>
      </c>
      <c r="AB252" s="2">
        <v>205.5463</v>
      </c>
    </row>
    <row r="253" spans="2:28" x14ac:dyDescent="0.4">
      <c r="B253" s="11">
        <v>236</v>
      </c>
      <c r="C253" s="16">
        <f t="shared" si="13"/>
        <v>183.03348277361434</v>
      </c>
      <c r="D253" s="17">
        <f t="shared" si="15"/>
        <v>203.37053641512705</v>
      </c>
      <c r="E253" s="17">
        <f t="shared" si="14"/>
        <v>223.70759005663976</v>
      </c>
      <c r="F253" s="2">
        <v>203.9177</v>
      </c>
      <c r="G253" s="2" t="str">
        <f t="shared" si="12"/>
        <v>Pass</v>
      </c>
      <c r="Y253" s="2">
        <v>238</v>
      </c>
      <c r="Z253" s="2">
        <v>0.3135</v>
      </c>
      <c r="AA253" s="2">
        <v>0.3306</v>
      </c>
      <c r="AB253" s="2">
        <v>207.2346</v>
      </c>
    </row>
    <row r="254" spans="2:28" x14ac:dyDescent="0.4">
      <c r="B254" s="11">
        <v>237</v>
      </c>
      <c r="C254" s="16">
        <f t="shared" si="13"/>
        <v>184.4302460690613</v>
      </c>
      <c r="D254" s="17">
        <f t="shared" si="15"/>
        <v>204.92249563229035</v>
      </c>
      <c r="E254" s="17">
        <f t="shared" si="14"/>
        <v>225.4147451955194</v>
      </c>
      <c r="F254" s="2">
        <v>205.5463</v>
      </c>
      <c r="G254" s="2" t="str">
        <f t="shared" si="12"/>
        <v>Pass</v>
      </c>
      <c r="Y254" s="2">
        <v>239</v>
      </c>
      <c r="Z254" s="2">
        <v>0.31340000000000001</v>
      </c>
      <c r="AA254" s="2">
        <v>0.33050000000000002</v>
      </c>
      <c r="AB254" s="2">
        <v>209.3603</v>
      </c>
    </row>
    <row r="255" spans="2:28" x14ac:dyDescent="0.4">
      <c r="B255" s="11">
        <v>238</v>
      </c>
      <c r="C255" s="16">
        <f t="shared" si="13"/>
        <v>185.83172670311993</v>
      </c>
      <c r="D255" s="17">
        <f t="shared" si="15"/>
        <v>206.47969633679992</v>
      </c>
      <c r="E255" s="17">
        <f t="shared" si="14"/>
        <v>227.12766597047991</v>
      </c>
      <c r="F255" s="2">
        <v>207.2346</v>
      </c>
      <c r="G255" s="2" t="str">
        <f t="shared" si="12"/>
        <v>Pass</v>
      </c>
      <c r="Y255" s="2">
        <v>240</v>
      </c>
      <c r="Z255" s="2">
        <v>0.31330000000000002</v>
      </c>
      <c r="AA255" s="2">
        <v>0.3296</v>
      </c>
      <c r="AB255" s="2">
        <v>209.6985</v>
      </c>
    </row>
    <row r="256" spans="2:28" x14ac:dyDescent="0.4">
      <c r="B256" s="11">
        <v>239</v>
      </c>
      <c r="C256" s="16">
        <f t="shared" si="13"/>
        <v>187.23792070950901</v>
      </c>
      <c r="D256" s="17">
        <f t="shared" si="15"/>
        <v>208.0421341216767</v>
      </c>
      <c r="E256" s="17">
        <f t="shared" si="14"/>
        <v>228.84634753384438</v>
      </c>
      <c r="F256" s="2">
        <v>209.3603</v>
      </c>
      <c r="G256" s="2" t="str">
        <f t="shared" si="12"/>
        <v>Pass</v>
      </c>
      <c r="Y256" s="2">
        <v>241</v>
      </c>
      <c r="Z256" s="2">
        <v>0.313</v>
      </c>
      <c r="AA256" s="2">
        <v>0.32950000000000002</v>
      </c>
      <c r="AB256" s="2">
        <v>211.0806</v>
      </c>
    </row>
    <row r="257" spans="2:28" x14ac:dyDescent="0.4">
      <c r="B257" s="11">
        <v>240</v>
      </c>
      <c r="C257" s="16">
        <f t="shared" si="13"/>
        <v>188.64882414187258</v>
      </c>
      <c r="D257" s="17">
        <f t="shared" si="15"/>
        <v>209.60980460208063</v>
      </c>
      <c r="E257" s="17">
        <f t="shared" si="14"/>
        <v>230.57078506228868</v>
      </c>
      <c r="F257" s="2">
        <v>209.6985</v>
      </c>
      <c r="G257" s="2" t="str">
        <f t="shared" si="12"/>
        <v>Pass</v>
      </c>
      <c r="Y257" s="2">
        <v>242</v>
      </c>
      <c r="Z257" s="2">
        <v>0.31319999999999998</v>
      </c>
      <c r="AA257" s="2">
        <v>0.33050000000000002</v>
      </c>
      <c r="AB257" s="2">
        <v>213.0119</v>
      </c>
    </row>
    <row r="258" spans="2:28" x14ac:dyDescent="0.4">
      <c r="B258" s="11">
        <v>241</v>
      </c>
      <c r="C258" s="16">
        <f t="shared" si="13"/>
        <v>190.06443307359683</v>
      </c>
      <c r="D258" s="17">
        <f t="shared" si="15"/>
        <v>211.1827034151076</v>
      </c>
      <c r="E258" s="17">
        <f t="shared" si="14"/>
        <v>232.30097375661836</v>
      </c>
      <c r="F258" s="2">
        <v>211.0806</v>
      </c>
      <c r="G258" s="2" t="str">
        <f t="shared" si="12"/>
        <v>Pass</v>
      </c>
      <c r="Y258" s="2">
        <v>243</v>
      </c>
      <c r="Z258" s="2">
        <v>0.31219999999999998</v>
      </c>
      <c r="AA258" s="2">
        <v>0.3296</v>
      </c>
      <c r="AB258" s="2">
        <v>214.12559999999999</v>
      </c>
    </row>
    <row r="259" spans="2:28" x14ac:dyDescent="0.4">
      <c r="B259" s="11">
        <v>242</v>
      </c>
      <c r="C259" s="16">
        <f t="shared" si="13"/>
        <v>191.48474359763023</v>
      </c>
      <c r="D259" s="17">
        <f t="shared" si="15"/>
        <v>212.76082621958915</v>
      </c>
      <c r="E259" s="17">
        <f t="shared" si="14"/>
        <v>234.03690884154807</v>
      </c>
      <c r="F259" s="2">
        <v>213.0119</v>
      </c>
      <c r="G259" s="2" t="str">
        <f t="shared" si="12"/>
        <v>Pass</v>
      </c>
      <c r="Y259" s="2">
        <v>244</v>
      </c>
      <c r="Z259" s="2">
        <v>0.31169999999999998</v>
      </c>
      <c r="AA259" s="2">
        <v>0.32950000000000002</v>
      </c>
      <c r="AB259" s="2">
        <v>215.64850000000001</v>
      </c>
    </row>
    <row r="260" spans="2:28" x14ac:dyDescent="0.4">
      <c r="B260" s="11">
        <v>243</v>
      </c>
      <c r="C260" s="16">
        <f t="shared" si="13"/>
        <v>192.90975182630527</v>
      </c>
      <c r="D260" s="17">
        <f t="shared" si="15"/>
        <v>214.34416869589475</v>
      </c>
      <c r="E260" s="17">
        <f t="shared" si="14"/>
        <v>235.77858556548424</v>
      </c>
      <c r="F260" s="2">
        <v>214.12559999999999</v>
      </c>
      <c r="G260" s="2" t="str">
        <f t="shared" si="12"/>
        <v>Pass</v>
      </c>
      <c r="Y260" s="2">
        <v>245</v>
      </c>
      <c r="Z260" s="2">
        <v>0.31140000000000001</v>
      </c>
      <c r="AA260" s="2">
        <v>0.32940000000000003</v>
      </c>
      <c r="AB260" s="2">
        <v>217.0265</v>
      </c>
    </row>
    <row r="261" spans="2:28" x14ac:dyDescent="0.4">
      <c r="B261" s="11">
        <v>244</v>
      </c>
      <c r="C261" s="16">
        <f t="shared" si="13"/>
        <v>194.33945389116303</v>
      </c>
      <c r="D261" s="17">
        <f t="shared" si="15"/>
        <v>215.9327265457367</v>
      </c>
      <c r="E261" s="17">
        <f t="shared" si="14"/>
        <v>237.52599920031037</v>
      </c>
      <c r="F261" s="2">
        <v>215.64850000000001</v>
      </c>
      <c r="G261" s="2" t="str">
        <f t="shared" si="12"/>
        <v>Pass</v>
      </c>
      <c r="Y261" s="2">
        <v>246</v>
      </c>
      <c r="Z261" s="2">
        <v>0.31159999999999999</v>
      </c>
      <c r="AA261" s="2">
        <v>0.33029999999999998</v>
      </c>
      <c r="AB261" s="2">
        <v>218.75550000000001</v>
      </c>
    </row>
    <row r="262" spans="2:28" x14ac:dyDescent="0.4">
      <c r="B262" s="11">
        <v>245</v>
      </c>
      <c r="C262" s="16">
        <f t="shared" si="13"/>
        <v>195.77384594277981</v>
      </c>
      <c r="D262" s="17">
        <f t="shared" si="15"/>
        <v>217.52649549197756</v>
      </c>
      <c r="E262" s="17">
        <f t="shared" si="14"/>
        <v>239.2791450411753</v>
      </c>
      <c r="F262" s="2">
        <v>217.0265</v>
      </c>
      <c r="G262" s="2" t="str">
        <f t="shared" si="12"/>
        <v>Pass</v>
      </c>
      <c r="Y262" s="2">
        <v>247</v>
      </c>
      <c r="Z262" s="2">
        <v>0.31219999999999998</v>
      </c>
      <c r="AA262" s="2">
        <v>0.32990000000000003</v>
      </c>
      <c r="AB262" s="2">
        <v>220.72489999999999</v>
      </c>
    </row>
    <row r="263" spans="2:28" x14ac:dyDescent="0.4">
      <c r="B263" s="11">
        <v>246</v>
      </c>
      <c r="C263" s="16">
        <f t="shared" si="13"/>
        <v>197.21292415059611</v>
      </c>
      <c r="D263" s="17">
        <f t="shared" si="15"/>
        <v>219.12547127844013</v>
      </c>
      <c r="E263" s="17">
        <f t="shared" si="14"/>
        <v>241.03801840628415</v>
      </c>
      <c r="F263" s="2">
        <v>218.75550000000001</v>
      </c>
      <c r="G263" s="2" t="str">
        <f t="shared" si="12"/>
        <v>Pass</v>
      </c>
      <c r="Y263" s="2">
        <v>248</v>
      </c>
      <c r="Z263" s="2">
        <v>0.31230000000000002</v>
      </c>
      <c r="AA263" s="2">
        <v>0.3291</v>
      </c>
      <c r="AB263" s="2">
        <v>221.36080000000001</v>
      </c>
    </row>
    <row r="264" spans="2:28" x14ac:dyDescent="0.4">
      <c r="B264" s="11">
        <v>247</v>
      </c>
      <c r="C264" s="16">
        <f t="shared" si="13"/>
        <v>198.65668470274801</v>
      </c>
      <c r="D264" s="17">
        <f t="shared" si="15"/>
        <v>220.72964966972</v>
      </c>
      <c r="E264" s="17">
        <f t="shared" si="14"/>
        <v>242.802614636692</v>
      </c>
      <c r="F264" s="2">
        <v>220.72489999999999</v>
      </c>
      <c r="G264" s="2" t="str">
        <f t="shared" si="12"/>
        <v>Pass</v>
      </c>
      <c r="Y264" s="2">
        <v>249</v>
      </c>
      <c r="Z264" s="2">
        <v>0.31259999999999999</v>
      </c>
      <c r="AA264" s="2">
        <v>0.32879999999999998</v>
      </c>
      <c r="AB264" s="2">
        <v>223.00579999999999</v>
      </c>
    </row>
    <row r="265" spans="2:28" x14ac:dyDescent="0.4">
      <c r="B265" s="11">
        <v>248</v>
      </c>
      <c r="C265" s="16">
        <f t="shared" si="13"/>
        <v>200.10512380590029</v>
      </c>
      <c r="D265" s="17">
        <f t="shared" si="15"/>
        <v>222.33902645100034</v>
      </c>
      <c r="E265" s="17">
        <f t="shared" si="14"/>
        <v>244.57292909610038</v>
      </c>
      <c r="F265" s="2">
        <v>221.36080000000001</v>
      </c>
      <c r="G265" s="2" t="str">
        <f t="shared" si="12"/>
        <v>Pass</v>
      </c>
      <c r="Y265" s="2">
        <v>250</v>
      </c>
      <c r="Z265" s="2">
        <v>0.31359999999999999</v>
      </c>
      <c r="AA265" s="2">
        <v>0.32969999999999999</v>
      </c>
      <c r="AB265" s="2">
        <v>224.63470000000001</v>
      </c>
    </row>
    <row r="266" spans="2:28" x14ac:dyDescent="0.4">
      <c r="B266" s="11">
        <v>249</v>
      </c>
      <c r="C266" s="16">
        <f t="shared" si="13"/>
        <v>201.55823768508219</v>
      </c>
      <c r="D266" s="17">
        <f t="shared" si="15"/>
        <v>223.95359742786908</v>
      </c>
      <c r="E266" s="17">
        <f t="shared" si="14"/>
        <v>246.34895717065598</v>
      </c>
      <c r="F266" s="2">
        <v>223.00579999999999</v>
      </c>
      <c r="G266" s="2" t="str">
        <f t="shared" si="12"/>
        <v>Pass</v>
      </c>
      <c r="Y266" s="2">
        <v>251</v>
      </c>
      <c r="Z266" s="2">
        <v>0.31369999999999998</v>
      </c>
      <c r="AA266" s="2">
        <v>0.32929999999999998</v>
      </c>
      <c r="AB266" s="2">
        <v>226.59610000000001</v>
      </c>
    </row>
    <row r="267" spans="2:28" x14ac:dyDescent="0.4">
      <c r="B267" s="11">
        <v>250</v>
      </c>
      <c r="C267" s="16">
        <f t="shared" si="13"/>
        <v>203.01602258352489</v>
      </c>
      <c r="D267" s="17">
        <f t="shared" si="15"/>
        <v>225.57335842613878</v>
      </c>
      <c r="E267" s="17">
        <f t="shared" si="14"/>
        <v>248.13069426875268</v>
      </c>
      <c r="F267" s="2">
        <v>224.63470000000001</v>
      </c>
      <c r="G267" s="2" t="str">
        <f t="shared" si="12"/>
        <v>Pass</v>
      </c>
      <c r="Y267" s="2">
        <v>252</v>
      </c>
      <c r="Z267" s="2">
        <v>0.31369999999999998</v>
      </c>
      <c r="AA267" s="2">
        <v>0.32890000000000003</v>
      </c>
      <c r="AB267" s="2">
        <v>228.018</v>
      </c>
    </row>
    <row r="268" spans="2:28" x14ac:dyDescent="0.4">
      <c r="B268" s="11">
        <v>251</v>
      </c>
      <c r="C268" s="16">
        <f t="shared" si="13"/>
        <v>204.47847476250152</v>
      </c>
      <c r="D268" s="17">
        <f t="shared" si="15"/>
        <v>227.19830529166836</v>
      </c>
      <c r="E268" s="17">
        <f t="shared" si="14"/>
        <v>249.9181358208352</v>
      </c>
      <c r="F268" s="2">
        <v>226.59610000000001</v>
      </c>
      <c r="G268" s="2" t="str">
        <f t="shared" si="12"/>
        <v>Pass</v>
      </c>
      <c r="Y268" s="2">
        <v>253</v>
      </c>
      <c r="Z268" s="2">
        <v>0.31359999999999999</v>
      </c>
      <c r="AA268" s="2">
        <v>0.32950000000000002</v>
      </c>
      <c r="AB268" s="2">
        <v>229.98670000000001</v>
      </c>
    </row>
    <row r="269" spans="2:28" x14ac:dyDescent="0.4">
      <c r="B269" s="11">
        <v>252</v>
      </c>
      <c r="C269" s="16">
        <f t="shared" si="13"/>
        <v>205.94559050116862</v>
      </c>
      <c r="D269" s="17">
        <f t="shared" si="15"/>
        <v>228.82843389018737</v>
      </c>
      <c r="E269" s="17">
        <f t="shared" si="14"/>
        <v>251.71127727920612</v>
      </c>
      <c r="F269" s="2">
        <v>228.018</v>
      </c>
      <c r="G269" s="2" t="str">
        <f t="shared" si="12"/>
        <v>Pass</v>
      </c>
      <c r="Y269" s="2">
        <v>254</v>
      </c>
      <c r="Z269" s="2">
        <v>0.31280000000000002</v>
      </c>
      <c r="AA269" s="2">
        <v>0.32929999999999998</v>
      </c>
      <c r="AB269" s="2">
        <v>231.32239999999999</v>
      </c>
    </row>
    <row r="270" spans="2:28" x14ac:dyDescent="0.4">
      <c r="B270" s="11">
        <v>253</v>
      </c>
      <c r="C270" s="16">
        <f t="shared" si="13"/>
        <v>207.41736609641023</v>
      </c>
      <c r="D270" s="17">
        <f t="shared" si="15"/>
        <v>230.46374010712248</v>
      </c>
      <c r="E270" s="17">
        <f t="shared" si="14"/>
        <v>253.51011411783472</v>
      </c>
      <c r="F270" s="2">
        <v>229.98670000000001</v>
      </c>
      <c r="G270" s="2" t="str">
        <f t="shared" si="12"/>
        <v>Pass</v>
      </c>
      <c r="Y270" s="2">
        <v>255</v>
      </c>
      <c r="Z270" s="2">
        <v>0.31240000000000001</v>
      </c>
      <c r="AA270" s="2">
        <v>0.32940000000000003</v>
      </c>
      <c r="AB270" s="2">
        <v>233.2996</v>
      </c>
    </row>
    <row r="271" spans="2:28" x14ac:dyDescent="0.4">
      <c r="B271" s="11">
        <v>254</v>
      </c>
      <c r="C271" s="16">
        <f t="shared" si="13"/>
        <v>208.89379786268339</v>
      </c>
      <c r="D271" s="17">
        <f t="shared" si="15"/>
        <v>232.10421984742598</v>
      </c>
      <c r="E271" s="17">
        <f t="shared" si="14"/>
        <v>255.31464183216858</v>
      </c>
      <c r="F271" s="2">
        <v>231.32239999999999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22</v>
      </c>
    </row>
    <row r="272" spans="2:28" x14ac:dyDescent="0.4">
      <c r="B272" s="11">
        <v>255</v>
      </c>
      <c r="C272" s="16">
        <f t="shared" si="13"/>
        <v>209.96964</v>
      </c>
      <c r="D272" s="18">
        <f>C12</f>
        <v>233.2996</v>
      </c>
      <c r="E272" s="17">
        <f t="shared" si="14"/>
        <v>256.62955999999997</v>
      </c>
      <c r="F272" s="2">
        <v>233.2996</v>
      </c>
      <c r="G272" s="2" t="str">
        <f t="shared" si="12"/>
        <v>Pass</v>
      </c>
    </row>
  </sheetData>
  <protectedRanges>
    <protectedRange password="EBF1" sqref="C2:D2 C4:D4" name="範圍1"/>
    <protectedRange password="EBF1" sqref="C11:C13" name="範圍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19" priority="1" operator="equal">
      <formula>"Fail"</formula>
    </cfRule>
    <cfRule type="cellIs" dxfId="18" priority="2" operator="equal">
      <formula>"Pass"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D0BC-837A-4E77-9074-A57320F817B8}">
  <dimension ref="B2:AB272"/>
  <sheetViews>
    <sheetView topLeftCell="A13" zoomScale="55" zoomScaleNormal="55" workbookViewId="0">
      <selection activeCell="I46" sqref="I46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45736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0.2407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231.8946</v>
      </c>
      <c r="D12" s="4" t="s">
        <v>9</v>
      </c>
      <c r="E12" s="4"/>
      <c r="Y12" s="9" t="s">
        <v>45</v>
      </c>
    </row>
    <row r="13" spans="2:28" x14ac:dyDescent="0.4">
      <c r="B13" s="1" t="s">
        <v>11</v>
      </c>
      <c r="C13" s="8">
        <v>2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0.2707</v>
      </c>
      <c r="AA15" s="2">
        <v>0.27379999999999999</v>
      </c>
      <c r="AB15" s="2">
        <v>0.2407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0.27139999999999997</v>
      </c>
      <c r="AA16" s="2">
        <v>0.27400000000000002</v>
      </c>
      <c r="AB16" s="2">
        <v>0.24060000000000001</v>
      </c>
    </row>
    <row r="17" spans="2:28" ht="17.5" thickTop="1" x14ac:dyDescent="0.4">
      <c r="B17" s="11">
        <v>0</v>
      </c>
      <c r="C17" s="16">
        <f>D17-D17*(C$14/100)</f>
        <v>1.8595376019313494E-4</v>
      </c>
      <c r="D17" s="17">
        <f>D$272*((B17+F$17)/B$272)^C$13</f>
        <v>2.0661528910348326E-4</v>
      </c>
      <c r="E17" s="17">
        <f>D17+D17*(C$14/100)</f>
        <v>2.2727681801383158E-4</v>
      </c>
      <c r="F17" s="2">
        <v>0.2407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0.27350000000000002</v>
      </c>
      <c r="AA17" s="2">
        <v>0.27339999999999998</v>
      </c>
      <c r="AB17" s="2">
        <v>0.24410000000000001</v>
      </c>
    </row>
    <row r="18" spans="2:28" x14ac:dyDescent="0.4">
      <c r="B18" s="11">
        <v>1</v>
      </c>
      <c r="C18" s="16">
        <f t="shared" ref="C18:C81" si="1">D18-D18*(C$14/100)</f>
        <v>4.9406757039993634E-3</v>
      </c>
      <c r="D18" s="17">
        <f>D$272*((B18+F$17)/B$272)^C$13</f>
        <v>5.4896396711104035E-3</v>
      </c>
      <c r="E18" s="17">
        <f t="shared" ref="E18:E81" si="2">D18+D18*(C$14/100)</f>
        <v>6.0386036382214436E-3</v>
      </c>
      <c r="F18" s="2">
        <v>0.24060000000000001</v>
      </c>
      <c r="G18" s="2" t="str">
        <f t="shared" si="0"/>
        <v>Fail</v>
      </c>
      <c r="Y18" s="2">
        <v>3</v>
      </c>
      <c r="Z18" s="2">
        <v>0.28000000000000003</v>
      </c>
      <c r="AA18" s="2">
        <v>0.27850000000000003</v>
      </c>
      <c r="AB18" s="2">
        <v>0.26100000000000001</v>
      </c>
    </row>
    <row r="19" spans="2:28" x14ac:dyDescent="0.4">
      <c r="B19" s="11">
        <v>2</v>
      </c>
      <c r="C19" s="16">
        <f t="shared" si="1"/>
        <v>1.6114625329466489E-2</v>
      </c>
      <c r="D19" s="17">
        <f t="shared" ref="D19:D82" si="3">D$272*((B19+F$17)/B$272)^C$13</f>
        <v>1.7905139254962767E-2</v>
      </c>
      <c r="E19" s="17">
        <f t="shared" si="2"/>
        <v>1.9695653180459044E-2</v>
      </c>
      <c r="F19" s="2">
        <v>0.24410000000000001</v>
      </c>
      <c r="G19" s="2" t="str">
        <f t="shared" si="0"/>
        <v>Fail</v>
      </c>
      <c r="Y19" s="2">
        <v>4</v>
      </c>
      <c r="Z19" s="2">
        <v>0.27950000000000003</v>
      </c>
      <c r="AA19" s="2">
        <v>0.27860000000000001</v>
      </c>
      <c r="AB19" s="2">
        <v>0.27489999999999998</v>
      </c>
    </row>
    <row r="20" spans="2:28" x14ac:dyDescent="0.4">
      <c r="B20" s="11">
        <v>3</v>
      </c>
      <c r="C20" s="16">
        <f t="shared" si="1"/>
        <v>3.3707802636594515E-2</v>
      </c>
      <c r="D20" s="17">
        <f t="shared" si="3"/>
        <v>3.7453114040660575E-2</v>
      </c>
      <c r="E20" s="17">
        <f t="shared" si="2"/>
        <v>4.1198425444726634E-2</v>
      </c>
      <c r="F20" s="2">
        <v>0.26100000000000001</v>
      </c>
      <c r="G20" s="2" t="str">
        <f t="shared" si="0"/>
        <v>Fail</v>
      </c>
      <c r="Y20" s="2">
        <v>5</v>
      </c>
      <c r="Z20" s="2">
        <v>0.28060000000000002</v>
      </c>
      <c r="AA20" s="2">
        <v>0.2777</v>
      </c>
      <c r="AB20" s="2">
        <v>0.29360000000000003</v>
      </c>
    </row>
    <row r="21" spans="2:28" x14ac:dyDescent="0.4">
      <c r="B21" s="11">
        <v>4</v>
      </c>
      <c r="C21" s="16">
        <f t="shared" si="1"/>
        <v>5.7720207625383449E-2</v>
      </c>
      <c r="D21" s="17">
        <f t="shared" si="3"/>
        <v>6.4133564028203832E-2</v>
      </c>
      <c r="E21" s="17">
        <f t="shared" si="2"/>
        <v>7.0546920431024215E-2</v>
      </c>
      <c r="F21" s="2">
        <v>0.27489999999999998</v>
      </c>
      <c r="G21" s="2" t="str">
        <f t="shared" si="0"/>
        <v>Fail</v>
      </c>
      <c r="Y21" s="2">
        <v>6</v>
      </c>
      <c r="Z21" s="2">
        <v>0.28260000000000002</v>
      </c>
      <c r="AA21" s="2">
        <v>0.27750000000000002</v>
      </c>
      <c r="AB21" s="2">
        <v>0.31330000000000002</v>
      </c>
    </row>
    <row r="22" spans="2:28" x14ac:dyDescent="0.4">
      <c r="B22" s="11">
        <v>5</v>
      </c>
      <c r="C22" s="16">
        <f t="shared" si="1"/>
        <v>8.815184029583327E-2</v>
      </c>
      <c r="D22" s="17">
        <f t="shared" si="3"/>
        <v>9.7946489217592525E-2</v>
      </c>
      <c r="E22" s="17">
        <f t="shared" si="2"/>
        <v>0.10774113813935178</v>
      </c>
      <c r="F22" s="2">
        <v>0.29360000000000003</v>
      </c>
      <c r="G22" s="2" t="str">
        <f t="shared" si="0"/>
        <v>Fail</v>
      </c>
      <c r="Y22" s="2">
        <v>7</v>
      </c>
      <c r="Z22" s="2">
        <v>0.28410000000000002</v>
      </c>
      <c r="AA22" s="2">
        <v>0.28870000000000001</v>
      </c>
      <c r="AB22" s="2">
        <v>0.37069999999999997</v>
      </c>
    </row>
    <row r="23" spans="2:28" x14ac:dyDescent="0.4">
      <c r="B23" s="11">
        <v>6</v>
      </c>
      <c r="C23" s="16">
        <f t="shared" si="1"/>
        <v>0.125002700647944</v>
      </c>
      <c r="D23" s="17">
        <f t="shared" si="3"/>
        <v>0.13889188960882667</v>
      </c>
      <c r="E23" s="17">
        <f t="shared" si="2"/>
        <v>0.15278107856970935</v>
      </c>
      <c r="F23" s="2">
        <v>0.31330000000000002</v>
      </c>
      <c r="G23" s="2" t="str">
        <f t="shared" si="0"/>
        <v>Fail</v>
      </c>
      <c r="Y23" s="2">
        <v>8</v>
      </c>
      <c r="Z23" s="2">
        <v>0.2883</v>
      </c>
      <c r="AA23" s="2">
        <v>0.30669999999999997</v>
      </c>
      <c r="AB23" s="2">
        <v>0.437</v>
      </c>
    </row>
    <row r="24" spans="2:28" x14ac:dyDescent="0.4">
      <c r="B24" s="11">
        <v>7</v>
      </c>
      <c r="C24" s="16">
        <f t="shared" si="1"/>
        <v>0.16827278868171569</v>
      </c>
      <c r="D24" s="17">
        <f t="shared" si="3"/>
        <v>0.18696976520190631</v>
      </c>
      <c r="E24" s="17">
        <f t="shared" si="2"/>
        <v>0.20566674172209692</v>
      </c>
      <c r="F24" s="2">
        <v>0.37069999999999997</v>
      </c>
      <c r="G24" s="2" t="str">
        <f t="shared" si="0"/>
        <v>Fail</v>
      </c>
      <c r="Y24" s="2">
        <v>9</v>
      </c>
      <c r="Z24" s="2">
        <v>0.28549999999999998</v>
      </c>
      <c r="AA24" s="2">
        <v>0.30120000000000002</v>
      </c>
      <c r="AB24" s="2">
        <v>0.50229999999999997</v>
      </c>
    </row>
    <row r="25" spans="2:28" x14ac:dyDescent="0.4">
      <c r="B25" s="11">
        <v>8</v>
      </c>
      <c r="C25" s="16">
        <f t="shared" si="1"/>
        <v>0.21796210439714817</v>
      </c>
      <c r="D25" s="17">
        <f t="shared" si="3"/>
        <v>0.24218011599683129</v>
      </c>
      <c r="E25" s="17">
        <f t="shared" si="2"/>
        <v>0.26639812759651443</v>
      </c>
      <c r="F25" s="2">
        <v>0.437</v>
      </c>
      <c r="G25" s="2" t="str">
        <f t="shared" si="0"/>
        <v>Fail</v>
      </c>
      <c r="Y25" s="2">
        <v>10</v>
      </c>
      <c r="Z25" s="2">
        <v>0.28670000000000001</v>
      </c>
      <c r="AA25" s="2">
        <v>0.30409999999999998</v>
      </c>
      <c r="AB25" s="2">
        <v>0.5595</v>
      </c>
    </row>
    <row r="26" spans="2:28" x14ac:dyDescent="0.4">
      <c r="B26" s="11">
        <v>9</v>
      </c>
      <c r="C26" s="16">
        <f t="shared" si="1"/>
        <v>0.27407064779424156</v>
      </c>
      <c r="D26" s="17">
        <f t="shared" si="3"/>
        <v>0.30452294199360175</v>
      </c>
      <c r="E26" s="17">
        <f t="shared" si="2"/>
        <v>0.33497523619296193</v>
      </c>
      <c r="F26" s="2">
        <v>0.50229999999999997</v>
      </c>
      <c r="G26" s="2" t="str">
        <f t="shared" si="0"/>
        <v>Fail</v>
      </c>
      <c r="Y26" s="2">
        <v>11</v>
      </c>
      <c r="Z26" s="2">
        <v>0.29010000000000002</v>
      </c>
      <c r="AA26" s="2">
        <v>0.30719999999999997</v>
      </c>
      <c r="AB26" s="2">
        <v>0.63949999999999996</v>
      </c>
    </row>
    <row r="27" spans="2:28" x14ac:dyDescent="0.4">
      <c r="B27" s="11">
        <v>10</v>
      </c>
      <c r="C27" s="16">
        <f t="shared" si="1"/>
        <v>0.33659841887299585</v>
      </c>
      <c r="D27" s="17">
        <f t="shared" si="3"/>
        <v>0.37399824319221764</v>
      </c>
      <c r="E27" s="17">
        <f t="shared" si="2"/>
        <v>0.41139806751143942</v>
      </c>
      <c r="F27" s="2">
        <v>0.5595</v>
      </c>
      <c r="G27" s="2" t="str">
        <f t="shared" si="0"/>
        <v>Fail</v>
      </c>
      <c r="Y27" s="2">
        <v>12</v>
      </c>
      <c r="Z27" s="2">
        <v>0.29549999999999998</v>
      </c>
      <c r="AA27" s="2">
        <v>0.3075</v>
      </c>
      <c r="AB27" s="2">
        <v>0.72340000000000004</v>
      </c>
    </row>
    <row r="28" spans="2:28" x14ac:dyDescent="0.4">
      <c r="B28" s="11">
        <v>11</v>
      </c>
      <c r="C28" s="16">
        <f t="shared" si="1"/>
        <v>0.40554541763341106</v>
      </c>
      <c r="D28" s="17">
        <f t="shared" si="3"/>
        <v>0.45060601959267899</v>
      </c>
      <c r="E28" s="17">
        <f t="shared" si="2"/>
        <v>0.49566662155194691</v>
      </c>
      <c r="F28" s="2">
        <v>0.63949999999999996</v>
      </c>
      <c r="G28" s="2" t="str">
        <f t="shared" si="0"/>
        <v>Fail</v>
      </c>
      <c r="Y28" s="2">
        <v>13</v>
      </c>
      <c r="Z28" s="2">
        <v>0.29859999999999998</v>
      </c>
      <c r="AA28" s="2">
        <v>0.30890000000000001</v>
      </c>
      <c r="AB28" s="2">
        <v>0.79749999999999999</v>
      </c>
    </row>
    <row r="29" spans="2:28" x14ac:dyDescent="0.4">
      <c r="B29" s="11">
        <v>12</v>
      </c>
      <c r="C29" s="16">
        <f t="shared" si="1"/>
        <v>0.4809116440754872</v>
      </c>
      <c r="D29" s="17">
        <f t="shared" si="3"/>
        <v>0.53434627119498579</v>
      </c>
      <c r="E29" s="17">
        <f t="shared" si="2"/>
        <v>0.58778089831448432</v>
      </c>
      <c r="F29" s="2">
        <v>0.72340000000000004</v>
      </c>
      <c r="G29" s="2" t="str">
        <f t="shared" si="0"/>
        <v>Fail</v>
      </c>
      <c r="Y29" s="2">
        <v>14</v>
      </c>
      <c r="Z29" s="2">
        <v>0.30180000000000001</v>
      </c>
      <c r="AA29" s="2">
        <v>0.31169999999999998</v>
      </c>
      <c r="AB29" s="2">
        <v>0.9113</v>
      </c>
    </row>
    <row r="30" spans="2:28" x14ac:dyDescent="0.4">
      <c r="B30" s="11">
        <v>13</v>
      </c>
      <c r="C30" s="16">
        <f t="shared" si="1"/>
        <v>0.5626970981992242</v>
      </c>
      <c r="D30" s="17">
        <f t="shared" si="3"/>
        <v>0.62521899799913805</v>
      </c>
      <c r="E30" s="17">
        <f t="shared" si="2"/>
        <v>0.6877408977990519</v>
      </c>
      <c r="F30" s="2">
        <v>0.79749999999999999</v>
      </c>
      <c r="G30" s="2" t="str">
        <f t="shared" si="0"/>
        <v>Fail</v>
      </c>
      <c r="Y30" s="2">
        <v>15</v>
      </c>
      <c r="Z30" s="2">
        <v>0.30249999999999999</v>
      </c>
      <c r="AA30" s="2">
        <v>0.32800000000000001</v>
      </c>
      <c r="AB30" s="2">
        <v>1.0524</v>
      </c>
    </row>
    <row r="31" spans="2:28" x14ac:dyDescent="0.4">
      <c r="B31" s="11">
        <v>14</v>
      </c>
      <c r="C31" s="16">
        <f t="shared" si="1"/>
        <v>0.65090178000462218</v>
      </c>
      <c r="D31" s="17">
        <f t="shared" si="3"/>
        <v>0.72322420000513576</v>
      </c>
      <c r="E31" s="17">
        <f t="shared" si="2"/>
        <v>0.79554662000564935</v>
      </c>
      <c r="F31" s="2">
        <v>0.9113</v>
      </c>
      <c r="G31" s="2" t="str">
        <f t="shared" si="0"/>
        <v>Fail</v>
      </c>
      <c r="Y31" s="2">
        <v>16</v>
      </c>
      <c r="Z31" s="2">
        <v>0.3039</v>
      </c>
      <c r="AA31" s="2">
        <v>0.32679999999999998</v>
      </c>
      <c r="AB31" s="2">
        <v>1.1551</v>
      </c>
    </row>
    <row r="32" spans="2:28" x14ac:dyDescent="0.4">
      <c r="B32" s="11">
        <v>15</v>
      </c>
      <c r="C32" s="16">
        <f t="shared" si="1"/>
        <v>0.74552568949168097</v>
      </c>
      <c r="D32" s="17">
        <f t="shared" si="3"/>
        <v>0.82836187721297883</v>
      </c>
      <c r="E32" s="17">
        <f t="shared" si="2"/>
        <v>0.91119806493427669</v>
      </c>
      <c r="F32" s="2">
        <v>1.0524</v>
      </c>
      <c r="G32" s="2" t="str">
        <f t="shared" si="0"/>
        <v>Fail</v>
      </c>
      <c r="Y32" s="2">
        <v>17</v>
      </c>
      <c r="Z32" s="2">
        <v>0.30430000000000001</v>
      </c>
      <c r="AA32" s="2">
        <v>0.31730000000000003</v>
      </c>
      <c r="AB32" s="2">
        <v>1.2663</v>
      </c>
    </row>
    <row r="33" spans="2:28" x14ac:dyDescent="0.4">
      <c r="B33" s="11">
        <v>16</v>
      </c>
      <c r="C33" s="16">
        <f t="shared" si="1"/>
        <v>0.84656882666040056</v>
      </c>
      <c r="D33" s="17">
        <f t="shared" si="3"/>
        <v>0.94063202962266734</v>
      </c>
      <c r="E33" s="17">
        <f t="shared" si="2"/>
        <v>1.0346952325849341</v>
      </c>
      <c r="F33" s="2">
        <v>1.1551</v>
      </c>
      <c r="G33" s="2" t="str">
        <f t="shared" si="0"/>
        <v>Fail</v>
      </c>
      <c r="Y33" s="2">
        <v>18</v>
      </c>
      <c r="Z33" s="2">
        <v>0.30380000000000001</v>
      </c>
      <c r="AA33" s="2">
        <v>0.31780000000000003</v>
      </c>
      <c r="AB33" s="2">
        <v>1.3677999999999999</v>
      </c>
    </row>
    <row r="34" spans="2:28" x14ac:dyDescent="0.4">
      <c r="B34" s="11">
        <v>17</v>
      </c>
      <c r="C34" s="16">
        <f t="shared" si="1"/>
        <v>0.95403119151078131</v>
      </c>
      <c r="D34" s="17">
        <f t="shared" si="3"/>
        <v>1.0600346572342014</v>
      </c>
      <c r="E34" s="17">
        <f t="shared" si="2"/>
        <v>1.1660381229576215</v>
      </c>
      <c r="F34" s="2">
        <v>1.2663</v>
      </c>
      <c r="G34" s="2" t="str">
        <f t="shared" si="0"/>
        <v>Fail</v>
      </c>
      <c r="Y34" s="2">
        <v>19</v>
      </c>
      <c r="Z34" s="2">
        <v>0.30599999999999999</v>
      </c>
      <c r="AA34" s="2">
        <v>0.32879999999999998</v>
      </c>
      <c r="AB34" s="2">
        <v>1.5362</v>
      </c>
    </row>
    <row r="35" spans="2:28" x14ac:dyDescent="0.4">
      <c r="B35" s="11">
        <v>18</v>
      </c>
      <c r="C35" s="16">
        <f t="shared" si="1"/>
        <v>1.0679127840428229</v>
      </c>
      <c r="D35" s="17">
        <f t="shared" si="3"/>
        <v>1.1865697600475809</v>
      </c>
      <c r="E35" s="17">
        <f t="shared" si="2"/>
        <v>1.3052267360523389</v>
      </c>
      <c r="F35" s="2">
        <v>1.3677999999999999</v>
      </c>
      <c r="G35" s="2" t="str">
        <f t="shared" si="0"/>
        <v>Fail</v>
      </c>
      <c r="Y35" s="2">
        <v>20</v>
      </c>
      <c r="Z35" s="2">
        <v>0.30220000000000002</v>
      </c>
      <c r="AA35" s="2">
        <v>0.32919999999999999</v>
      </c>
      <c r="AB35" s="2">
        <v>1.6116999999999999</v>
      </c>
    </row>
    <row r="36" spans="2:28" x14ac:dyDescent="0.4">
      <c r="B36" s="11">
        <v>19</v>
      </c>
      <c r="C36" s="16">
        <f t="shared" si="1"/>
        <v>1.1882136042565252</v>
      </c>
      <c r="D36" s="17">
        <f t="shared" si="3"/>
        <v>1.3202373380628059</v>
      </c>
      <c r="E36" s="17">
        <f t="shared" si="2"/>
        <v>1.4522610718690865</v>
      </c>
      <c r="F36" s="2">
        <v>1.5362</v>
      </c>
      <c r="G36" s="2" t="str">
        <f t="shared" si="0"/>
        <v>Fail</v>
      </c>
      <c r="Y36" s="2">
        <v>21</v>
      </c>
      <c r="Z36" s="2">
        <v>0.30630000000000002</v>
      </c>
      <c r="AA36" s="2">
        <v>0.32890000000000003</v>
      </c>
      <c r="AB36" s="2">
        <v>1.7310000000000001</v>
      </c>
    </row>
    <row r="37" spans="2:28" x14ac:dyDescent="0.4">
      <c r="B37" s="11">
        <v>20</v>
      </c>
      <c r="C37" s="16">
        <f t="shared" si="1"/>
        <v>1.3149336521518886</v>
      </c>
      <c r="D37" s="17">
        <f t="shared" si="3"/>
        <v>1.4610373912798762</v>
      </c>
      <c r="E37" s="17">
        <f t="shared" si="2"/>
        <v>1.6071411304078638</v>
      </c>
      <c r="F37" s="2">
        <v>1.6116999999999999</v>
      </c>
      <c r="G37" s="2" t="str">
        <f t="shared" si="0"/>
        <v>Fail</v>
      </c>
      <c r="Y37" s="2">
        <v>22</v>
      </c>
      <c r="Z37" s="2">
        <v>0.30349999999999999</v>
      </c>
      <c r="AA37" s="2">
        <v>0.32190000000000002</v>
      </c>
      <c r="AB37" s="2">
        <v>1.8487</v>
      </c>
    </row>
    <row r="38" spans="2:28" x14ac:dyDescent="0.4">
      <c r="B38" s="11">
        <v>21</v>
      </c>
      <c r="C38" s="16">
        <f t="shared" si="1"/>
        <v>1.4480729277289126</v>
      </c>
      <c r="D38" s="17">
        <f t="shared" si="3"/>
        <v>1.6089699196987919</v>
      </c>
      <c r="E38" s="17">
        <f t="shared" si="2"/>
        <v>1.7698669116686712</v>
      </c>
      <c r="F38" s="2">
        <v>1.7310000000000001</v>
      </c>
      <c r="G38" s="2" t="str">
        <f t="shared" si="0"/>
        <v>Pass</v>
      </c>
      <c r="Y38" s="2">
        <v>23</v>
      </c>
      <c r="Z38" s="2">
        <v>0.3044</v>
      </c>
      <c r="AA38" s="2">
        <v>0.33150000000000002</v>
      </c>
      <c r="AB38" s="2">
        <v>2.0651999999999999</v>
      </c>
    </row>
    <row r="39" spans="2:28" x14ac:dyDescent="0.4">
      <c r="B39" s="11">
        <v>22</v>
      </c>
      <c r="C39" s="16">
        <f t="shared" si="1"/>
        <v>1.5876314309875978</v>
      </c>
      <c r="D39" s="17">
        <f t="shared" si="3"/>
        <v>1.7640349233195531</v>
      </c>
      <c r="E39" s="17">
        <f t="shared" si="2"/>
        <v>1.9404384156515084</v>
      </c>
      <c r="F39" s="2">
        <v>1.8487</v>
      </c>
      <c r="G39" s="2" t="str">
        <f t="shared" si="0"/>
        <v>Pass</v>
      </c>
      <c r="Y39" s="2">
        <v>24</v>
      </c>
      <c r="Z39" s="2">
        <v>0.30320000000000003</v>
      </c>
      <c r="AA39" s="2">
        <v>0.33339999999999997</v>
      </c>
      <c r="AB39" s="2">
        <v>2.1812999999999998</v>
      </c>
    </row>
    <row r="40" spans="2:28" x14ac:dyDescent="0.4">
      <c r="B40" s="11">
        <v>23</v>
      </c>
      <c r="C40" s="16">
        <f t="shared" si="1"/>
        <v>1.7336091619279439</v>
      </c>
      <c r="D40" s="17">
        <f t="shared" si="3"/>
        <v>1.92623240214216</v>
      </c>
      <c r="E40" s="17">
        <f t="shared" si="2"/>
        <v>2.118855642356376</v>
      </c>
      <c r="F40" s="2">
        <v>2.0651999999999999</v>
      </c>
      <c r="G40" s="2" t="str">
        <f t="shared" si="0"/>
        <v>Pass</v>
      </c>
      <c r="Y40" s="2">
        <v>25</v>
      </c>
      <c r="Z40" s="2">
        <v>0.30159999999999998</v>
      </c>
      <c r="AA40" s="2">
        <v>0.3251</v>
      </c>
      <c r="AB40" s="2">
        <v>2.3763000000000001</v>
      </c>
    </row>
    <row r="41" spans="2:28" x14ac:dyDescent="0.4">
      <c r="B41" s="11">
        <v>24</v>
      </c>
      <c r="C41" s="16">
        <f t="shared" si="1"/>
        <v>1.886006120549951</v>
      </c>
      <c r="D41" s="17">
        <f t="shared" si="3"/>
        <v>2.0955623561666123</v>
      </c>
      <c r="E41" s="17">
        <f t="shared" si="2"/>
        <v>2.3051185917832737</v>
      </c>
      <c r="F41" s="2">
        <v>2.1812999999999998</v>
      </c>
      <c r="G41" s="2" t="str">
        <f t="shared" si="0"/>
        <v>Pass</v>
      </c>
      <c r="Y41" s="2">
        <v>26</v>
      </c>
      <c r="Z41" s="2">
        <v>0.30120000000000002</v>
      </c>
      <c r="AA41" s="2">
        <v>0.32669999999999999</v>
      </c>
      <c r="AB41" s="2">
        <v>2.5143</v>
      </c>
    </row>
    <row r="42" spans="2:28" x14ac:dyDescent="0.4">
      <c r="B42" s="11">
        <v>25</v>
      </c>
      <c r="C42" s="16">
        <f t="shared" si="1"/>
        <v>2.0448223068536189</v>
      </c>
      <c r="D42" s="17">
        <f t="shared" si="3"/>
        <v>2.2720247853929099</v>
      </c>
      <c r="E42" s="17">
        <f t="shared" si="2"/>
        <v>2.4992272639322008</v>
      </c>
      <c r="F42" s="2">
        <v>2.3763000000000001</v>
      </c>
      <c r="G42" s="2" t="str">
        <f t="shared" si="0"/>
        <v>Pass</v>
      </c>
      <c r="Y42" s="2">
        <v>27</v>
      </c>
      <c r="Z42" s="2">
        <v>0.30709999999999998</v>
      </c>
      <c r="AA42" s="2">
        <v>0.33229999999999998</v>
      </c>
      <c r="AB42" s="2">
        <v>2.7566000000000002</v>
      </c>
    </row>
    <row r="43" spans="2:28" x14ac:dyDescent="0.4">
      <c r="B43" s="11">
        <v>26</v>
      </c>
      <c r="C43" s="16">
        <f t="shared" si="1"/>
        <v>2.2100577208389476</v>
      </c>
      <c r="D43" s="17">
        <f t="shared" si="3"/>
        <v>2.4556196898210527</v>
      </c>
      <c r="E43" s="17">
        <f t="shared" si="2"/>
        <v>2.7011816588031579</v>
      </c>
      <c r="F43" s="2">
        <v>2.5143</v>
      </c>
      <c r="G43" s="2" t="str">
        <f t="shared" si="0"/>
        <v>Pass</v>
      </c>
      <c r="Y43" s="2">
        <v>28</v>
      </c>
      <c r="Z43" s="2">
        <v>0.30649999999999999</v>
      </c>
      <c r="AA43" s="2">
        <v>0.33239999999999997</v>
      </c>
      <c r="AB43" s="2">
        <v>2.9073000000000002</v>
      </c>
    </row>
    <row r="44" spans="2:28" x14ac:dyDescent="0.4">
      <c r="B44" s="11">
        <v>27</v>
      </c>
      <c r="C44" s="16">
        <f t="shared" si="1"/>
        <v>2.3817123625059371</v>
      </c>
      <c r="D44" s="17">
        <f t="shared" si="3"/>
        <v>2.6463470694510414</v>
      </c>
      <c r="E44" s="17">
        <f t="shared" si="2"/>
        <v>2.9109817763961456</v>
      </c>
      <c r="F44" s="2">
        <v>2.7566000000000002</v>
      </c>
      <c r="G44" s="2" t="str">
        <f t="shared" si="0"/>
        <v>Pass</v>
      </c>
      <c r="Y44" s="2">
        <v>29</v>
      </c>
      <c r="Z44" s="2">
        <v>0.30199999999999999</v>
      </c>
      <c r="AA44" s="2">
        <v>0.3281</v>
      </c>
      <c r="AB44" s="2">
        <v>3.1112000000000002</v>
      </c>
    </row>
    <row r="45" spans="2:28" x14ac:dyDescent="0.4">
      <c r="B45" s="11">
        <v>28</v>
      </c>
      <c r="C45" s="16">
        <f t="shared" si="1"/>
        <v>2.5597862318545874</v>
      </c>
      <c r="D45" s="17">
        <f t="shared" si="3"/>
        <v>2.8442069242828749</v>
      </c>
      <c r="E45" s="17">
        <f t="shared" si="2"/>
        <v>3.1286276167111624</v>
      </c>
      <c r="F45" s="2">
        <v>2.9073000000000002</v>
      </c>
      <c r="G45" s="2" t="str">
        <f t="shared" si="0"/>
        <v>Pass</v>
      </c>
      <c r="Y45" s="2">
        <v>30</v>
      </c>
      <c r="Z45" s="2">
        <v>0.30480000000000002</v>
      </c>
      <c r="AA45" s="2">
        <v>0.32800000000000001</v>
      </c>
      <c r="AB45" s="2">
        <v>3.3317000000000001</v>
      </c>
    </row>
    <row r="46" spans="2:28" x14ac:dyDescent="0.4">
      <c r="B46" s="11">
        <v>29</v>
      </c>
      <c r="C46" s="16">
        <f t="shared" si="1"/>
        <v>2.7442793288848986</v>
      </c>
      <c r="D46" s="17">
        <f t="shared" si="3"/>
        <v>3.0491992543165543</v>
      </c>
      <c r="E46" s="17">
        <f t="shared" si="2"/>
        <v>3.3541191797482099</v>
      </c>
      <c r="F46" s="2">
        <v>3.1112000000000002</v>
      </c>
      <c r="G46" s="2" t="str">
        <f t="shared" si="0"/>
        <v>Pass</v>
      </c>
      <c r="Y46" s="2">
        <v>31</v>
      </c>
      <c r="Z46" s="2">
        <v>0.30909999999999999</v>
      </c>
      <c r="AA46" s="2">
        <v>0.33410000000000001</v>
      </c>
      <c r="AB46" s="2">
        <v>3.6389999999999998</v>
      </c>
    </row>
    <row r="47" spans="2:28" x14ac:dyDescent="0.4">
      <c r="B47" s="11">
        <v>30</v>
      </c>
      <c r="C47" s="16">
        <f t="shared" si="1"/>
        <v>2.9351916535968714</v>
      </c>
      <c r="D47" s="17">
        <f t="shared" si="3"/>
        <v>3.2613240595520794</v>
      </c>
      <c r="E47" s="17">
        <f t="shared" si="2"/>
        <v>3.5874564655072874</v>
      </c>
      <c r="F47" s="2">
        <v>3.3317000000000001</v>
      </c>
      <c r="G47" s="2" t="str">
        <f t="shared" si="0"/>
        <v>Pass</v>
      </c>
      <c r="Y47" s="2">
        <v>32</v>
      </c>
      <c r="Z47" s="2">
        <v>0.30880000000000002</v>
      </c>
      <c r="AA47" s="2">
        <v>0.33429999999999999</v>
      </c>
      <c r="AB47" s="2">
        <v>3.8523999999999998</v>
      </c>
    </row>
    <row r="48" spans="2:28" x14ac:dyDescent="0.4">
      <c r="B48" s="11">
        <v>31</v>
      </c>
      <c r="C48" s="16">
        <f t="shared" si="1"/>
        <v>3.1325232059905046</v>
      </c>
      <c r="D48" s="17">
        <f t="shared" si="3"/>
        <v>3.4805813399894494</v>
      </c>
      <c r="E48" s="17">
        <f t="shared" si="2"/>
        <v>3.8286394739883942</v>
      </c>
      <c r="F48" s="2">
        <v>3.6389999999999998</v>
      </c>
      <c r="G48" s="2" t="str">
        <f t="shared" si="0"/>
        <v>Pass</v>
      </c>
      <c r="Y48" s="2">
        <v>33</v>
      </c>
      <c r="Z48" s="2">
        <v>0.30620000000000003</v>
      </c>
      <c r="AA48" s="2">
        <v>0.3327</v>
      </c>
      <c r="AB48" s="2">
        <v>4.0330000000000004</v>
      </c>
    </row>
    <row r="49" spans="2:28" x14ac:dyDescent="0.4">
      <c r="B49" s="11">
        <v>32</v>
      </c>
      <c r="C49" s="16">
        <f t="shared" si="1"/>
        <v>3.3362739860657977</v>
      </c>
      <c r="D49" s="17">
        <f t="shared" si="3"/>
        <v>3.7069710956286643</v>
      </c>
      <c r="E49" s="17">
        <f t="shared" si="2"/>
        <v>4.0776682051915305</v>
      </c>
      <c r="F49" s="2">
        <v>3.8523999999999998</v>
      </c>
      <c r="G49" s="2" t="str">
        <f t="shared" si="0"/>
        <v>Pass</v>
      </c>
      <c r="Y49" s="2">
        <v>34</v>
      </c>
      <c r="Z49" s="2">
        <v>0.30649999999999999</v>
      </c>
      <c r="AA49" s="2">
        <v>0.33260000000000001</v>
      </c>
      <c r="AB49" s="2">
        <v>4.2610999999999999</v>
      </c>
    </row>
    <row r="50" spans="2:28" x14ac:dyDescent="0.4">
      <c r="B50" s="11">
        <v>33</v>
      </c>
      <c r="C50" s="16">
        <f t="shared" si="1"/>
        <v>3.5464439938227534</v>
      </c>
      <c r="D50" s="17">
        <f t="shared" si="3"/>
        <v>3.9404933264697259</v>
      </c>
      <c r="E50" s="17">
        <f t="shared" si="2"/>
        <v>4.3345426591166989</v>
      </c>
      <c r="F50" s="2">
        <v>4.0330000000000004</v>
      </c>
      <c r="G50" s="2" t="str">
        <f t="shared" si="0"/>
        <v>Pass</v>
      </c>
      <c r="Y50" s="2">
        <v>35</v>
      </c>
      <c r="Z50" s="2">
        <v>0.30969999999999998</v>
      </c>
      <c r="AA50" s="2">
        <v>0.33210000000000001</v>
      </c>
      <c r="AB50" s="2">
        <v>4.5178000000000003</v>
      </c>
    </row>
    <row r="51" spans="2:28" x14ac:dyDescent="0.4">
      <c r="B51" s="11">
        <v>34</v>
      </c>
      <c r="C51" s="16">
        <f t="shared" si="1"/>
        <v>3.7630332292613686</v>
      </c>
      <c r="D51" s="17">
        <f t="shared" si="3"/>
        <v>4.181148032512632</v>
      </c>
      <c r="E51" s="17">
        <f t="shared" si="2"/>
        <v>4.5992628357638949</v>
      </c>
      <c r="F51" s="2">
        <v>4.2610999999999999</v>
      </c>
      <c r="G51" s="2" t="str">
        <f t="shared" si="0"/>
        <v>Pass</v>
      </c>
      <c r="Y51" s="2">
        <v>36</v>
      </c>
      <c r="Z51" s="2">
        <v>0.30969999999999998</v>
      </c>
      <c r="AA51" s="2">
        <v>0.33179999999999998</v>
      </c>
      <c r="AB51" s="2">
        <v>4.6928000000000001</v>
      </c>
    </row>
    <row r="52" spans="2:28" x14ac:dyDescent="0.4">
      <c r="B52" s="11">
        <v>35</v>
      </c>
      <c r="C52" s="16">
        <f t="shared" si="1"/>
        <v>3.986041692381646</v>
      </c>
      <c r="D52" s="17">
        <f t="shared" si="3"/>
        <v>4.4289352137573843</v>
      </c>
      <c r="E52" s="17">
        <f t="shared" si="2"/>
        <v>4.8718287351331231</v>
      </c>
      <c r="F52" s="2">
        <v>4.5178000000000003</v>
      </c>
      <c r="G52" s="2" t="str">
        <f t="shared" si="0"/>
        <v>Pass</v>
      </c>
      <c r="Y52" s="2">
        <v>37</v>
      </c>
      <c r="Z52" s="2">
        <v>0.31190000000000001</v>
      </c>
      <c r="AA52" s="2">
        <v>0.33829999999999999</v>
      </c>
      <c r="AB52" s="2">
        <v>5.1189999999999998</v>
      </c>
    </row>
    <row r="53" spans="2:28" x14ac:dyDescent="0.4">
      <c r="B53" s="11">
        <v>36</v>
      </c>
      <c r="C53" s="16">
        <f t="shared" si="1"/>
        <v>4.2154693831835832</v>
      </c>
      <c r="D53" s="17">
        <f t="shared" si="3"/>
        <v>4.6838548702039811</v>
      </c>
      <c r="E53" s="17">
        <f t="shared" si="2"/>
        <v>5.1522403572243789</v>
      </c>
      <c r="F53" s="2">
        <v>4.6928000000000001</v>
      </c>
      <c r="G53" s="2" t="str">
        <f t="shared" si="0"/>
        <v>Pass</v>
      </c>
      <c r="Y53" s="2">
        <v>38</v>
      </c>
      <c r="Z53" s="2">
        <v>0.30830000000000002</v>
      </c>
      <c r="AA53" s="2">
        <v>0.33360000000000001</v>
      </c>
      <c r="AB53" s="2">
        <v>5.4111000000000002</v>
      </c>
    </row>
    <row r="54" spans="2:28" x14ac:dyDescent="0.4">
      <c r="B54" s="11">
        <v>37</v>
      </c>
      <c r="C54" s="16">
        <f t="shared" si="1"/>
        <v>4.4513163016671822</v>
      </c>
      <c r="D54" s="17">
        <f t="shared" si="3"/>
        <v>4.9459070018524249</v>
      </c>
      <c r="E54" s="17">
        <f t="shared" si="2"/>
        <v>5.4404977020376677</v>
      </c>
      <c r="F54" s="2">
        <v>5.1189999999999998</v>
      </c>
      <c r="G54" s="2" t="str">
        <f t="shared" si="0"/>
        <v>Pass</v>
      </c>
      <c r="Y54" s="2">
        <v>39</v>
      </c>
      <c r="Z54" s="2">
        <v>0.3085</v>
      </c>
      <c r="AA54" s="2">
        <v>0.33350000000000002</v>
      </c>
      <c r="AB54" s="2">
        <v>5.6227999999999998</v>
      </c>
    </row>
    <row r="55" spans="2:28" x14ac:dyDescent="0.4">
      <c r="B55" s="11">
        <v>38</v>
      </c>
      <c r="C55" s="16">
        <f t="shared" si="1"/>
        <v>4.6935824478324415</v>
      </c>
      <c r="D55" s="17">
        <f t="shared" si="3"/>
        <v>5.2150916087027124</v>
      </c>
      <c r="E55" s="17">
        <f t="shared" si="2"/>
        <v>5.7366007695729833</v>
      </c>
      <c r="F55" s="2">
        <v>5.4111000000000002</v>
      </c>
      <c r="G55" s="2" t="str">
        <f t="shared" si="0"/>
        <v>Pass</v>
      </c>
      <c r="Y55" s="2">
        <v>40</v>
      </c>
      <c r="Z55" s="2">
        <v>0.30969999999999998</v>
      </c>
      <c r="AA55" s="2">
        <v>0.33</v>
      </c>
      <c r="AB55" s="2">
        <v>5.9420000000000002</v>
      </c>
    </row>
    <row r="56" spans="2:28" x14ac:dyDescent="0.4">
      <c r="B56" s="11">
        <v>39</v>
      </c>
      <c r="C56" s="16">
        <f t="shared" si="1"/>
        <v>4.9422678216793621</v>
      </c>
      <c r="D56" s="17">
        <f t="shared" si="3"/>
        <v>5.4914086907548469</v>
      </c>
      <c r="E56" s="17">
        <f t="shared" si="2"/>
        <v>6.0405495598303318</v>
      </c>
      <c r="F56" s="2">
        <v>5.6227999999999998</v>
      </c>
      <c r="G56" s="2" t="str">
        <f t="shared" si="0"/>
        <v>Pass</v>
      </c>
      <c r="Y56" s="2">
        <v>41</v>
      </c>
      <c r="Z56" s="2">
        <v>0.31019999999999998</v>
      </c>
      <c r="AA56" s="2">
        <v>0.33079999999999998</v>
      </c>
      <c r="AB56" s="2">
        <v>6.2521000000000004</v>
      </c>
    </row>
    <row r="57" spans="2:28" x14ac:dyDescent="0.4">
      <c r="B57" s="11">
        <v>40</v>
      </c>
      <c r="C57" s="16">
        <f t="shared" si="1"/>
        <v>5.197372423207943</v>
      </c>
      <c r="D57" s="17">
        <f t="shared" si="3"/>
        <v>5.774858248008826</v>
      </c>
      <c r="E57" s="17">
        <f t="shared" si="2"/>
        <v>6.3523440728097089</v>
      </c>
      <c r="F57" s="2">
        <v>5.9420000000000002</v>
      </c>
      <c r="G57" s="2" t="str">
        <f t="shared" si="0"/>
        <v>Pass</v>
      </c>
      <c r="Y57" s="2">
        <v>42</v>
      </c>
      <c r="Z57" s="2">
        <v>0.31040000000000001</v>
      </c>
      <c r="AA57" s="2">
        <v>0.33100000000000002</v>
      </c>
      <c r="AB57" s="2">
        <v>6.4778000000000002</v>
      </c>
    </row>
    <row r="58" spans="2:28" x14ac:dyDescent="0.4">
      <c r="B58" s="11">
        <v>41</v>
      </c>
      <c r="C58" s="16">
        <f t="shared" si="1"/>
        <v>5.4588962524181861</v>
      </c>
      <c r="D58" s="17">
        <f t="shared" si="3"/>
        <v>6.0654402804646512</v>
      </c>
      <c r="E58" s="17">
        <f t="shared" si="2"/>
        <v>6.6719843085111163</v>
      </c>
      <c r="F58" s="2">
        <v>6.2521000000000004</v>
      </c>
      <c r="G58" s="2" t="str">
        <f t="shared" si="0"/>
        <v>Pass</v>
      </c>
      <c r="Y58" s="2">
        <v>43</v>
      </c>
      <c r="Z58" s="2">
        <v>0.31030000000000002</v>
      </c>
      <c r="AA58" s="2">
        <v>0.3306</v>
      </c>
      <c r="AB58" s="2">
        <v>6.7655000000000003</v>
      </c>
    </row>
    <row r="59" spans="2:28" x14ac:dyDescent="0.4">
      <c r="B59" s="11">
        <v>42</v>
      </c>
      <c r="C59" s="16">
        <f t="shared" si="1"/>
        <v>5.7268393093100878</v>
      </c>
      <c r="D59" s="17">
        <f t="shared" si="3"/>
        <v>6.36315478812232</v>
      </c>
      <c r="E59" s="17">
        <f t="shared" si="2"/>
        <v>6.9994702669345523</v>
      </c>
      <c r="F59" s="2">
        <v>6.4778000000000002</v>
      </c>
      <c r="G59" s="2" t="str">
        <f t="shared" si="0"/>
        <v>Pass</v>
      </c>
      <c r="Y59" s="2">
        <v>44</v>
      </c>
      <c r="Z59" s="2">
        <v>0.30969999999999998</v>
      </c>
      <c r="AA59" s="2">
        <v>0.33029999999999998</v>
      </c>
      <c r="AB59" s="2">
        <v>7.0465</v>
      </c>
    </row>
    <row r="60" spans="2:28" x14ac:dyDescent="0.4">
      <c r="B60" s="11">
        <v>43</v>
      </c>
      <c r="C60" s="16">
        <f t="shared" si="1"/>
        <v>6.0012015938836534</v>
      </c>
      <c r="D60" s="17">
        <f t="shared" si="3"/>
        <v>6.6680017709818369</v>
      </c>
      <c r="E60" s="17">
        <f t="shared" si="2"/>
        <v>7.3348019480800204</v>
      </c>
      <c r="F60" s="2">
        <v>6.7655000000000003</v>
      </c>
      <c r="G60" s="2" t="str">
        <f t="shared" si="0"/>
        <v>Pass</v>
      </c>
      <c r="Y60" s="2">
        <v>45</v>
      </c>
      <c r="Z60" s="2">
        <v>0.31280000000000002</v>
      </c>
      <c r="AA60" s="2">
        <v>0.33510000000000001</v>
      </c>
      <c r="AB60" s="2">
        <v>7.5312000000000001</v>
      </c>
    </row>
    <row r="61" spans="2:28" x14ac:dyDescent="0.4">
      <c r="B61" s="11">
        <v>44</v>
      </c>
      <c r="C61" s="16">
        <f t="shared" si="1"/>
        <v>6.2819831061388776</v>
      </c>
      <c r="D61" s="17">
        <f t="shared" si="3"/>
        <v>6.9799812290431973</v>
      </c>
      <c r="E61" s="17">
        <f t="shared" si="2"/>
        <v>7.677979351947517</v>
      </c>
      <c r="F61" s="2">
        <v>7.0465</v>
      </c>
      <c r="G61" s="2" t="str">
        <f t="shared" si="0"/>
        <v>Pass</v>
      </c>
      <c r="Y61" s="2">
        <v>46</v>
      </c>
      <c r="Z61" s="2">
        <v>0.31390000000000001</v>
      </c>
      <c r="AA61" s="2">
        <v>0.33410000000000001</v>
      </c>
      <c r="AB61" s="2">
        <v>7.8559999999999999</v>
      </c>
    </row>
    <row r="62" spans="2:28" x14ac:dyDescent="0.4">
      <c r="B62" s="11">
        <v>45</v>
      </c>
      <c r="C62" s="16">
        <f t="shared" si="1"/>
        <v>6.569183846075763</v>
      </c>
      <c r="D62" s="17">
        <f t="shared" si="3"/>
        <v>7.2990931623064039</v>
      </c>
      <c r="E62" s="17">
        <f t="shared" si="2"/>
        <v>8.0290024785370449</v>
      </c>
      <c r="F62" s="2">
        <v>7.5312000000000001</v>
      </c>
      <c r="G62" s="2" t="str">
        <f t="shared" si="0"/>
        <v>Pass</v>
      </c>
      <c r="Y62" s="2">
        <v>47</v>
      </c>
      <c r="Z62" s="2">
        <v>0.3135</v>
      </c>
      <c r="AA62" s="2">
        <v>0.33379999999999999</v>
      </c>
      <c r="AB62" s="2">
        <v>8.2561</v>
      </c>
    </row>
    <row r="63" spans="2:28" x14ac:dyDescent="0.4">
      <c r="B63" s="11">
        <v>46</v>
      </c>
      <c r="C63" s="16">
        <f t="shared" si="1"/>
        <v>6.8628038136943097</v>
      </c>
      <c r="D63" s="17">
        <f t="shared" si="3"/>
        <v>7.625337570771455</v>
      </c>
      <c r="E63" s="17">
        <f t="shared" si="2"/>
        <v>8.3878713278486003</v>
      </c>
      <c r="F63" s="2">
        <v>7.8559999999999999</v>
      </c>
      <c r="G63" s="2" t="str">
        <f t="shared" si="0"/>
        <v>Pass</v>
      </c>
      <c r="Y63" s="2">
        <v>48</v>
      </c>
      <c r="Z63" s="2">
        <v>0.30980000000000002</v>
      </c>
      <c r="AA63" s="2">
        <v>0.32990000000000003</v>
      </c>
      <c r="AB63" s="2">
        <v>8.5411000000000001</v>
      </c>
    </row>
    <row r="64" spans="2:28" x14ac:dyDescent="0.4">
      <c r="B64" s="11">
        <v>47</v>
      </c>
      <c r="C64" s="16">
        <f t="shared" si="1"/>
        <v>7.1628430089945185</v>
      </c>
      <c r="D64" s="17">
        <f t="shared" si="3"/>
        <v>7.9587144544383541</v>
      </c>
      <c r="E64" s="17">
        <f t="shared" si="2"/>
        <v>8.7545858998821888</v>
      </c>
      <c r="F64" s="2">
        <v>8.2561</v>
      </c>
      <c r="G64" s="2" t="str">
        <f t="shared" si="0"/>
        <v>Pass</v>
      </c>
      <c r="Y64" s="2">
        <v>49</v>
      </c>
      <c r="Z64" s="2">
        <v>0.3105</v>
      </c>
      <c r="AA64" s="2">
        <v>0.33019999999999999</v>
      </c>
      <c r="AB64" s="2">
        <v>8.9178999999999995</v>
      </c>
    </row>
    <row r="65" spans="2:28" x14ac:dyDescent="0.4">
      <c r="B65" s="11">
        <v>48</v>
      </c>
      <c r="C65" s="16">
        <f t="shared" si="1"/>
        <v>7.4693014319763851</v>
      </c>
      <c r="D65" s="17">
        <f t="shared" si="3"/>
        <v>8.2992238133070941</v>
      </c>
      <c r="E65" s="17">
        <f t="shared" si="2"/>
        <v>9.1291461946378032</v>
      </c>
      <c r="F65" s="2">
        <v>8.5411000000000001</v>
      </c>
      <c r="G65" s="2" t="str">
        <f t="shared" si="0"/>
        <v>Pass</v>
      </c>
      <c r="Y65" s="2">
        <v>50</v>
      </c>
      <c r="Z65" s="2">
        <v>0.31059999999999999</v>
      </c>
      <c r="AA65" s="2">
        <v>0.3301</v>
      </c>
      <c r="AB65" s="2">
        <v>9.2615999999999996</v>
      </c>
    </row>
    <row r="66" spans="2:28" x14ac:dyDescent="0.4">
      <c r="B66" s="11">
        <v>49</v>
      </c>
      <c r="C66" s="16">
        <f t="shared" si="1"/>
        <v>7.7821790826399155</v>
      </c>
      <c r="D66" s="17">
        <f t="shared" si="3"/>
        <v>8.6468656473776839</v>
      </c>
      <c r="E66" s="17">
        <f t="shared" si="2"/>
        <v>9.5115522121154523</v>
      </c>
      <c r="F66" s="2">
        <v>8.9178999999999995</v>
      </c>
      <c r="G66" s="2" t="str">
        <f t="shared" si="0"/>
        <v>Pass</v>
      </c>
      <c r="Y66" s="2">
        <v>51</v>
      </c>
      <c r="Z66" s="2">
        <v>0.31019999999999998</v>
      </c>
      <c r="AA66" s="2">
        <v>0.32990000000000003</v>
      </c>
      <c r="AB66" s="2">
        <v>9.6113999999999997</v>
      </c>
    </row>
    <row r="67" spans="2:28" x14ac:dyDescent="0.4">
      <c r="B67" s="11">
        <v>50</v>
      </c>
      <c r="C67" s="16">
        <f t="shared" si="1"/>
        <v>8.1014759609851055</v>
      </c>
      <c r="D67" s="17">
        <f t="shared" si="3"/>
        <v>9.0016399566501164</v>
      </c>
      <c r="E67" s="17">
        <f t="shared" si="2"/>
        <v>9.9018039523151273</v>
      </c>
      <c r="F67" s="2">
        <v>9.2615999999999996</v>
      </c>
      <c r="G67" s="2" t="str">
        <f t="shared" si="0"/>
        <v>Pass</v>
      </c>
      <c r="Y67" s="2">
        <v>52</v>
      </c>
      <c r="Z67" s="2">
        <v>0.30940000000000001</v>
      </c>
      <c r="AA67" s="2">
        <v>0.33029999999999998</v>
      </c>
      <c r="AB67" s="2">
        <v>9.9387000000000008</v>
      </c>
    </row>
    <row r="68" spans="2:28" x14ac:dyDescent="0.4">
      <c r="B68" s="11">
        <v>51</v>
      </c>
      <c r="C68" s="16">
        <f t="shared" si="1"/>
        <v>8.4271920670119567</v>
      </c>
      <c r="D68" s="17">
        <f t="shared" si="3"/>
        <v>9.3635467411243969</v>
      </c>
      <c r="E68" s="17">
        <f t="shared" si="2"/>
        <v>10.299901415236837</v>
      </c>
      <c r="F68" s="2">
        <v>9.6113999999999997</v>
      </c>
      <c r="G68" s="2" t="str">
        <f t="shared" si="0"/>
        <v>Pass</v>
      </c>
      <c r="Y68" s="2">
        <v>53</v>
      </c>
      <c r="Z68" s="2">
        <v>0.31009999999999999</v>
      </c>
      <c r="AA68" s="2">
        <v>0.32969999999999999</v>
      </c>
      <c r="AB68" s="2">
        <v>10.3504</v>
      </c>
    </row>
    <row r="69" spans="2:28" x14ac:dyDescent="0.4">
      <c r="B69" s="11">
        <v>52</v>
      </c>
      <c r="C69" s="16">
        <f t="shared" si="1"/>
        <v>8.7593274007204673</v>
      </c>
      <c r="D69" s="17">
        <f t="shared" si="3"/>
        <v>9.7325860008005201</v>
      </c>
      <c r="E69" s="17">
        <f t="shared" si="2"/>
        <v>10.705844600880573</v>
      </c>
      <c r="F69" s="2">
        <v>9.9387000000000008</v>
      </c>
      <c r="G69" s="2" t="str">
        <f t="shared" si="0"/>
        <v>Pass</v>
      </c>
      <c r="Y69" s="2">
        <v>54</v>
      </c>
      <c r="Z69" s="2">
        <v>0.30969999999999998</v>
      </c>
      <c r="AA69" s="2">
        <v>0.32969999999999999</v>
      </c>
      <c r="AB69" s="2">
        <v>10.688700000000001</v>
      </c>
    </row>
    <row r="70" spans="2:28" x14ac:dyDescent="0.4">
      <c r="B70" s="11">
        <v>53</v>
      </c>
      <c r="C70" s="16">
        <f t="shared" si="1"/>
        <v>9.0978819621106446</v>
      </c>
      <c r="D70" s="17">
        <f t="shared" si="3"/>
        <v>10.108757735678493</v>
      </c>
      <c r="E70" s="17">
        <f t="shared" si="2"/>
        <v>11.119633509246341</v>
      </c>
      <c r="F70" s="2">
        <v>10.3504</v>
      </c>
      <c r="G70" s="2" t="str">
        <f t="shared" si="0"/>
        <v>Pass</v>
      </c>
      <c r="Y70" s="2">
        <v>55</v>
      </c>
      <c r="Z70" s="2">
        <v>0.30980000000000002</v>
      </c>
      <c r="AA70" s="2">
        <v>0.3301</v>
      </c>
      <c r="AB70" s="2">
        <v>10.9596</v>
      </c>
    </row>
    <row r="71" spans="2:28" x14ac:dyDescent="0.4">
      <c r="B71" s="11">
        <v>54</v>
      </c>
      <c r="C71" s="16">
        <f t="shared" si="1"/>
        <v>9.442855751182476</v>
      </c>
      <c r="D71" s="17">
        <f t="shared" si="3"/>
        <v>10.492061945758307</v>
      </c>
      <c r="E71" s="17">
        <f t="shared" si="2"/>
        <v>11.541268140334138</v>
      </c>
      <c r="F71" s="2">
        <v>10.688700000000001</v>
      </c>
      <c r="G71" s="2" t="str">
        <f t="shared" si="0"/>
        <v>Pass</v>
      </c>
      <c r="Y71" s="2">
        <v>56</v>
      </c>
      <c r="Z71" s="2">
        <v>0.31080000000000002</v>
      </c>
      <c r="AA71" s="2">
        <v>0.32979999999999998</v>
      </c>
      <c r="AB71" s="2">
        <v>11.4695</v>
      </c>
    </row>
    <row r="72" spans="2:28" x14ac:dyDescent="0.4">
      <c r="B72" s="11">
        <v>55</v>
      </c>
      <c r="C72" s="16">
        <f t="shared" si="1"/>
        <v>9.7942487679359722</v>
      </c>
      <c r="D72" s="17">
        <f t="shared" si="3"/>
        <v>10.882498631039969</v>
      </c>
      <c r="E72" s="17">
        <f t="shared" si="2"/>
        <v>11.970748494143965</v>
      </c>
      <c r="F72" s="2">
        <v>10.9596</v>
      </c>
      <c r="G72" s="2" t="str">
        <f t="shared" si="0"/>
        <v>Pass</v>
      </c>
      <c r="Y72" s="2">
        <v>57</v>
      </c>
      <c r="Z72" s="2">
        <v>0.31009999999999999</v>
      </c>
      <c r="AA72" s="2">
        <v>0.32879999999999998</v>
      </c>
      <c r="AB72" s="2">
        <v>11.775600000000001</v>
      </c>
    </row>
    <row r="73" spans="2:28" x14ac:dyDescent="0.4">
      <c r="B73" s="11">
        <v>56</v>
      </c>
      <c r="C73" s="16">
        <f t="shared" si="1"/>
        <v>10.152061012371126</v>
      </c>
      <c r="D73" s="17">
        <f t="shared" si="3"/>
        <v>11.280067791523473</v>
      </c>
      <c r="E73" s="17">
        <f t="shared" si="2"/>
        <v>12.40807457067582</v>
      </c>
      <c r="F73" s="2">
        <v>11.4695</v>
      </c>
      <c r="G73" s="2" t="str">
        <f t="shared" si="0"/>
        <v>Pass</v>
      </c>
      <c r="Y73" s="2">
        <v>58</v>
      </c>
      <c r="Z73" s="2">
        <v>0.31319999999999998</v>
      </c>
      <c r="AA73" s="2">
        <v>0.32940000000000003</v>
      </c>
      <c r="AB73" s="2">
        <v>12.2765</v>
      </c>
    </row>
    <row r="74" spans="2:28" x14ac:dyDescent="0.4">
      <c r="B74" s="11">
        <v>57</v>
      </c>
      <c r="C74" s="16">
        <f t="shared" si="1"/>
        <v>10.516292484487943</v>
      </c>
      <c r="D74" s="17">
        <f t="shared" si="3"/>
        <v>11.684769427208826</v>
      </c>
      <c r="E74" s="17">
        <f t="shared" si="2"/>
        <v>12.853246369929709</v>
      </c>
      <c r="F74" s="2">
        <v>11.775600000000001</v>
      </c>
      <c r="G74" s="2" t="str">
        <f t="shared" si="0"/>
        <v>Pass</v>
      </c>
      <c r="Y74" s="2">
        <v>59</v>
      </c>
      <c r="Z74" s="2">
        <v>0.31059999999999999</v>
      </c>
      <c r="AA74" s="2">
        <v>0.32550000000000001</v>
      </c>
      <c r="AB74" s="2">
        <v>12.7545</v>
      </c>
    </row>
    <row r="75" spans="2:28" x14ac:dyDescent="0.4">
      <c r="B75" s="11">
        <v>58</v>
      </c>
      <c r="C75" s="16">
        <f t="shared" si="1"/>
        <v>10.886943184286419</v>
      </c>
      <c r="D75" s="17">
        <f t="shared" si="3"/>
        <v>12.096603538096021</v>
      </c>
      <c r="E75" s="17">
        <f t="shared" si="2"/>
        <v>13.306263891905623</v>
      </c>
      <c r="F75" s="2">
        <v>12.2765</v>
      </c>
      <c r="G75" s="2" t="str">
        <f t="shared" si="0"/>
        <v>Pass</v>
      </c>
      <c r="Y75" s="2">
        <v>60</v>
      </c>
      <c r="Z75" s="2">
        <v>0.30919999999999997</v>
      </c>
      <c r="AA75" s="2">
        <v>0.32800000000000001</v>
      </c>
      <c r="AB75" s="2">
        <v>13.416700000000001</v>
      </c>
    </row>
    <row r="76" spans="2:28" x14ac:dyDescent="0.4">
      <c r="B76" s="11">
        <v>59</v>
      </c>
      <c r="C76" s="16">
        <f t="shared" si="1"/>
        <v>11.264013111766559</v>
      </c>
      <c r="D76" s="17">
        <f t="shared" si="3"/>
        <v>12.515570124185066</v>
      </c>
      <c r="E76" s="17">
        <f t="shared" si="2"/>
        <v>13.767127136603573</v>
      </c>
      <c r="F76" s="2">
        <v>12.7545</v>
      </c>
      <c r="G76" s="2" t="str">
        <f t="shared" si="0"/>
        <v>Pass</v>
      </c>
      <c r="Y76" s="2">
        <v>61</v>
      </c>
      <c r="Z76" s="2">
        <v>0.30909999999999999</v>
      </c>
      <c r="AA76" s="2">
        <v>0.32800000000000001</v>
      </c>
      <c r="AB76" s="2">
        <v>13.854200000000001</v>
      </c>
    </row>
    <row r="77" spans="2:28" x14ac:dyDescent="0.4">
      <c r="B77" s="11">
        <v>60</v>
      </c>
      <c r="C77" s="16">
        <f t="shared" si="1"/>
        <v>11.647502266928356</v>
      </c>
      <c r="D77" s="17">
        <f t="shared" si="3"/>
        <v>12.941669185475952</v>
      </c>
      <c r="E77" s="17">
        <f t="shared" si="2"/>
        <v>14.235836104023548</v>
      </c>
      <c r="F77" s="2">
        <v>13.416700000000001</v>
      </c>
      <c r="G77" s="2" t="str">
        <f t="shared" si="0"/>
        <v>Pass</v>
      </c>
      <c r="Y77" s="2">
        <v>62</v>
      </c>
      <c r="Z77" s="2">
        <v>0.3095</v>
      </c>
      <c r="AA77" s="2">
        <v>0.32850000000000001</v>
      </c>
      <c r="AB77" s="2">
        <v>14.3927</v>
      </c>
    </row>
    <row r="78" spans="2:28" x14ac:dyDescent="0.4">
      <c r="B78" s="11">
        <v>61</v>
      </c>
      <c r="C78" s="16">
        <f t="shared" si="1"/>
        <v>12.037410649771818</v>
      </c>
      <c r="D78" s="17">
        <f t="shared" si="3"/>
        <v>13.374900721968688</v>
      </c>
      <c r="E78" s="17">
        <f t="shared" si="2"/>
        <v>14.712390794165557</v>
      </c>
      <c r="F78" s="2">
        <v>13.854200000000001</v>
      </c>
      <c r="G78" s="2" t="str">
        <f t="shared" si="0"/>
        <v>Pass</v>
      </c>
      <c r="Y78" s="2">
        <v>63</v>
      </c>
      <c r="Z78" s="2">
        <v>0.30969999999999998</v>
      </c>
      <c r="AA78" s="2">
        <v>0.32850000000000001</v>
      </c>
      <c r="AB78" s="2">
        <v>14.760999999999999</v>
      </c>
    </row>
    <row r="79" spans="2:28" x14ac:dyDescent="0.4">
      <c r="B79" s="11">
        <v>62</v>
      </c>
      <c r="C79" s="16">
        <f t="shared" si="1"/>
        <v>12.43373826029694</v>
      </c>
      <c r="D79" s="17">
        <f t="shared" si="3"/>
        <v>13.815264733663266</v>
      </c>
      <c r="E79" s="17">
        <f t="shared" si="2"/>
        <v>15.196791207029593</v>
      </c>
      <c r="F79" s="2">
        <v>14.3927</v>
      </c>
      <c r="G79" s="2" t="str">
        <f t="shared" si="0"/>
        <v>Pass</v>
      </c>
      <c r="Y79" s="2">
        <v>64</v>
      </c>
      <c r="Z79" s="2">
        <v>0.30940000000000001</v>
      </c>
      <c r="AA79" s="2">
        <v>0.32800000000000001</v>
      </c>
      <c r="AB79" s="2">
        <v>15.3474</v>
      </c>
    </row>
    <row r="80" spans="2:28" x14ac:dyDescent="0.4">
      <c r="B80" s="11">
        <v>63</v>
      </c>
      <c r="C80" s="16">
        <f t="shared" si="1"/>
        <v>12.836485098503722</v>
      </c>
      <c r="D80" s="17">
        <f t="shared" si="3"/>
        <v>14.262761220559691</v>
      </c>
      <c r="E80" s="17">
        <f t="shared" si="2"/>
        <v>15.689037342615659</v>
      </c>
      <c r="F80" s="2">
        <v>14.760999999999999</v>
      </c>
      <c r="G80" s="2" t="str">
        <f t="shared" si="0"/>
        <v>Pass</v>
      </c>
      <c r="Y80" s="2">
        <v>65</v>
      </c>
      <c r="Z80" s="2">
        <v>0.30890000000000001</v>
      </c>
      <c r="AA80" s="2">
        <v>0.32690000000000002</v>
      </c>
      <c r="AB80" s="2">
        <v>15.789</v>
      </c>
    </row>
    <row r="81" spans="2:28" x14ac:dyDescent="0.4">
      <c r="B81" s="11">
        <v>64</v>
      </c>
      <c r="C81" s="16">
        <f t="shared" si="1"/>
        <v>13.245651164392168</v>
      </c>
      <c r="D81" s="17">
        <f t="shared" si="3"/>
        <v>14.717390182657965</v>
      </c>
      <c r="E81" s="17">
        <f t="shared" si="2"/>
        <v>16.189129200923762</v>
      </c>
      <c r="F81" s="2">
        <v>15.3474</v>
      </c>
      <c r="G81" s="2" t="str">
        <f t="shared" ref="G81:G144" si="4">IF(F81&lt;=C81,"Fail",IF(AND(C81&lt;F81,F81&lt;E81),"Pass",IF(E81&lt;=F81,"Fail")))</f>
        <v>Pass</v>
      </c>
      <c r="Y81" s="2">
        <v>66</v>
      </c>
      <c r="Z81" s="2">
        <v>0.30890000000000001</v>
      </c>
      <c r="AA81" s="2">
        <v>0.3266</v>
      </c>
      <c r="AB81" s="2">
        <v>16.339300000000001</v>
      </c>
    </row>
    <row r="82" spans="2:28" x14ac:dyDescent="0.4">
      <c r="B82" s="11">
        <v>65</v>
      </c>
      <c r="C82" s="16">
        <f t="shared" ref="C82:C145" si="5">D82-D82*(C$14/100)</f>
        <v>13.661236457962271</v>
      </c>
      <c r="D82" s="17">
        <f t="shared" si="3"/>
        <v>15.17915161995808</v>
      </c>
      <c r="E82" s="17">
        <f t="shared" ref="E82:E145" si="6">D82+D82*(C$14/100)</f>
        <v>16.69706678195389</v>
      </c>
      <c r="F82" s="2">
        <v>15.789</v>
      </c>
      <c r="G82" s="2" t="str">
        <f t="shared" si="4"/>
        <v>Pass</v>
      </c>
      <c r="Y82" s="2">
        <v>67</v>
      </c>
      <c r="Z82" s="2">
        <v>0.309</v>
      </c>
      <c r="AA82" s="2">
        <v>0.32690000000000002</v>
      </c>
      <c r="AB82" s="2">
        <v>16.696300000000001</v>
      </c>
    </row>
    <row r="83" spans="2:28" x14ac:dyDescent="0.4">
      <c r="B83" s="11">
        <v>66</v>
      </c>
      <c r="C83" s="16">
        <f t="shared" si="5"/>
        <v>14.083240979214036</v>
      </c>
      <c r="D83" s="17">
        <f t="shared" ref="D83:D146" si="7">D$272*((B83+F$17)/B$272)^C$13</f>
        <v>15.64804553246004</v>
      </c>
      <c r="E83" s="17">
        <f t="shared" si="6"/>
        <v>17.212850085706044</v>
      </c>
      <c r="F83" s="2">
        <v>16.339300000000001</v>
      </c>
      <c r="G83" s="2" t="str">
        <f t="shared" si="4"/>
        <v>Pass</v>
      </c>
      <c r="Y83" s="2">
        <v>68</v>
      </c>
      <c r="Z83" s="2">
        <v>0.30909999999999999</v>
      </c>
      <c r="AA83" s="2">
        <v>0.32669999999999999</v>
      </c>
      <c r="AB83" s="2">
        <v>17.165099999999999</v>
      </c>
    </row>
    <row r="84" spans="2:28" x14ac:dyDescent="0.4">
      <c r="B84" s="11">
        <v>67</v>
      </c>
      <c r="C84" s="16">
        <f t="shared" si="5"/>
        <v>14.511664728147458</v>
      </c>
      <c r="D84" s="17">
        <f t="shared" si="7"/>
        <v>16.124071920163843</v>
      </c>
      <c r="E84" s="17">
        <f t="shared" si="6"/>
        <v>17.736479112180227</v>
      </c>
      <c r="F84" s="2">
        <v>16.696300000000001</v>
      </c>
      <c r="G84" s="2" t="str">
        <f t="shared" si="4"/>
        <v>Pass</v>
      </c>
      <c r="Y84" s="2">
        <v>69</v>
      </c>
      <c r="Z84" s="2">
        <v>0.30919999999999997</v>
      </c>
      <c r="AA84" s="2">
        <v>0.32669999999999999</v>
      </c>
      <c r="AB84" s="2">
        <v>17.774799999999999</v>
      </c>
    </row>
    <row r="85" spans="2:28" x14ac:dyDescent="0.4">
      <c r="B85" s="11">
        <v>68</v>
      </c>
      <c r="C85" s="16">
        <f t="shared" si="5"/>
        <v>14.946507704762549</v>
      </c>
      <c r="D85" s="17">
        <f t="shared" si="7"/>
        <v>16.6072307830695</v>
      </c>
      <c r="E85" s="17">
        <f t="shared" si="6"/>
        <v>18.267953861376451</v>
      </c>
      <c r="F85" s="2">
        <v>17.165099999999999</v>
      </c>
      <c r="G85" s="2" t="str">
        <f t="shared" si="4"/>
        <v>Pass</v>
      </c>
      <c r="Y85" s="2">
        <v>70</v>
      </c>
      <c r="Z85" s="2">
        <v>0.30940000000000001</v>
      </c>
      <c r="AA85" s="2">
        <v>0.32679999999999998</v>
      </c>
      <c r="AB85" s="2">
        <v>18.229399999999998</v>
      </c>
    </row>
    <row r="86" spans="2:28" x14ac:dyDescent="0.4">
      <c r="B86" s="11">
        <v>69</v>
      </c>
      <c r="C86" s="16">
        <f t="shared" si="5"/>
        <v>15.387769909059298</v>
      </c>
      <c r="D86" s="17">
        <f t="shared" si="7"/>
        <v>17.097522121176997</v>
      </c>
      <c r="E86" s="17">
        <f t="shared" si="6"/>
        <v>18.807274333294696</v>
      </c>
      <c r="F86" s="2">
        <v>17.774799999999999</v>
      </c>
      <c r="G86" s="2" t="str">
        <f t="shared" si="4"/>
        <v>Pass</v>
      </c>
      <c r="Y86" s="2">
        <v>71</v>
      </c>
      <c r="Z86" s="2">
        <v>0.30959999999999999</v>
      </c>
      <c r="AA86" s="2">
        <v>0.3271</v>
      </c>
      <c r="AB86" s="2">
        <v>18.785900000000002</v>
      </c>
    </row>
    <row r="87" spans="2:28" x14ac:dyDescent="0.4">
      <c r="B87" s="11">
        <v>70</v>
      </c>
      <c r="C87" s="16">
        <f t="shared" si="5"/>
        <v>15.835451341037702</v>
      </c>
      <c r="D87" s="17">
        <f t="shared" si="7"/>
        <v>17.594945934486336</v>
      </c>
      <c r="E87" s="17">
        <f t="shared" si="6"/>
        <v>19.354440527934969</v>
      </c>
      <c r="F87" s="2">
        <v>18.229399999999998</v>
      </c>
      <c r="G87" s="2" t="str">
        <f t="shared" si="4"/>
        <v>Pass</v>
      </c>
      <c r="Y87" s="2">
        <v>72</v>
      </c>
      <c r="Z87" s="2">
        <v>0.30959999999999999</v>
      </c>
      <c r="AA87" s="2">
        <v>0.32719999999999999</v>
      </c>
      <c r="AB87" s="2">
        <v>19.201000000000001</v>
      </c>
    </row>
    <row r="88" spans="2:28" x14ac:dyDescent="0.4">
      <c r="B88" s="11">
        <v>71</v>
      </c>
      <c r="C88" s="16">
        <f t="shared" si="5"/>
        <v>16.289552000697771</v>
      </c>
      <c r="D88" s="17">
        <f t="shared" si="7"/>
        <v>18.099502222997522</v>
      </c>
      <c r="E88" s="17">
        <f t="shared" si="6"/>
        <v>19.909452445297273</v>
      </c>
      <c r="F88" s="2">
        <v>18.785900000000002</v>
      </c>
      <c r="G88" s="2" t="str">
        <f t="shared" si="4"/>
        <v>Pass</v>
      </c>
      <c r="Y88" s="2">
        <v>73</v>
      </c>
      <c r="Z88" s="2">
        <v>0.31159999999999999</v>
      </c>
      <c r="AA88" s="2">
        <v>0.3306</v>
      </c>
      <c r="AB88" s="2">
        <v>19.699400000000001</v>
      </c>
    </row>
    <row r="89" spans="2:28" x14ac:dyDescent="0.4">
      <c r="B89" s="11">
        <v>72</v>
      </c>
      <c r="C89" s="16">
        <f t="shared" si="5"/>
        <v>16.750071888039507</v>
      </c>
      <c r="D89" s="17">
        <f t="shared" si="7"/>
        <v>18.611190986710564</v>
      </c>
      <c r="E89" s="17">
        <f t="shared" si="6"/>
        <v>20.472310085381622</v>
      </c>
      <c r="F89" s="2">
        <v>19.201000000000001</v>
      </c>
      <c r="G89" s="2" t="str">
        <f t="shared" si="4"/>
        <v>Pass</v>
      </c>
      <c r="Y89" s="2">
        <v>74</v>
      </c>
      <c r="Z89" s="2">
        <v>0.3115</v>
      </c>
      <c r="AA89" s="2">
        <v>0.33029999999999998</v>
      </c>
      <c r="AB89" s="2">
        <v>20.331499999999998</v>
      </c>
    </row>
    <row r="90" spans="2:28" x14ac:dyDescent="0.4">
      <c r="B90" s="11">
        <v>73</v>
      </c>
      <c r="C90" s="16">
        <f t="shared" si="5"/>
        <v>17.217011003062893</v>
      </c>
      <c r="D90" s="17">
        <f t="shared" si="7"/>
        <v>19.130012225625435</v>
      </c>
      <c r="E90" s="17">
        <f t="shared" si="6"/>
        <v>21.043013448187978</v>
      </c>
      <c r="F90" s="2">
        <v>19.699400000000001</v>
      </c>
      <c r="G90" s="2" t="str">
        <f t="shared" si="4"/>
        <v>Pass</v>
      </c>
      <c r="Y90" s="2">
        <v>75</v>
      </c>
      <c r="Z90" s="2">
        <v>0.3115</v>
      </c>
      <c r="AA90" s="2">
        <v>0.3306</v>
      </c>
      <c r="AB90" s="2">
        <v>20.8</v>
      </c>
    </row>
    <row r="91" spans="2:28" x14ac:dyDescent="0.4">
      <c r="B91" s="11">
        <v>74</v>
      </c>
      <c r="C91" s="16">
        <f t="shared" si="5"/>
        <v>17.690369345767945</v>
      </c>
      <c r="D91" s="17">
        <f t="shared" si="7"/>
        <v>19.65596593974216</v>
      </c>
      <c r="E91" s="17">
        <f t="shared" si="6"/>
        <v>21.621562533716375</v>
      </c>
      <c r="F91" s="2">
        <v>20.331499999999998</v>
      </c>
      <c r="G91" s="2" t="str">
        <f t="shared" si="4"/>
        <v>Pass</v>
      </c>
      <c r="Y91" s="2">
        <v>76</v>
      </c>
      <c r="Z91" s="2">
        <v>0.31130000000000002</v>
      </c>
      <c r="AA91" s="2">
        <v>0.33050000000000002</v>
      </c>
      <c r="AB91" s="2">
        <v>21.406099999999999</v>
      </c>
    </row>
    <row r="92" spans="2:28" x14ac:dyDescent="0.4">
      <c r="B92" s="11">
        <v>75</v>
      </c>
      <c r="C92" s="16">
        <f t="shared" si="5"/>
        <v>18.170146916154653</v>
      </c>
      <c r="D92" s="17">
        <f t="shared" si="7"/>
        <v>20.189052129060727</v>
      </c>
      <c r="E92" s="17">
        <f t="shared" si="6"/>
        <v>22.2079573419668</v>
      </c>
      <c r="F92" s="2">
        <v>20.8</v>
      </c>
      <c r="G92" s="2" t="str">
        <f t="shared" si="4"/>
        <v>Pass</v>
      </c>
      <c r="Y92" s="2">
        <v>77</v>
      </c>
      <c r="Z92" s="2">
        <v>0.31080000000000002</v>
      </c>
      <c r="AA92" s="2">
        <v>0.33019999999999999</v>
      </c>
      <c r="AB92" s="2">
        <v>21.8066</v>
      </c>
    </row>
    <row r="93" spans="2:28" x14ac:dyDescent="0.4">
      <c r="B93" s="11">
        <v>76</v>
      </c>
      <c r="C93" s="16">
        <f t="shared" si="5"/>
        <v>18.656343714223034</v>
      </c>
      <c r="D93" s="17">
        <f t="shared" si="7"/>
        <v>20.729270793581151</v>
      </c>
      <c r="E93" s="17">
        <f t="shared" si="6"/>
        <v>22.802197872939267</v>
      </c>
      <c r="F93" s="2">
        <v>21.406099999999999</v>
      </c>
      <c r="G93" s="2" t="str">
        <f t="shared" si="4"/>
        <v>Pass</v>
      </c>
      <c r="Y93" s="2">
        <v>78</v>
      </c>
      <c r="Z93" s="2">
        <v>0.31080000000000002</v>
      </c>
      <c r="AA93" s="2">
        <v>0.33050000000000002</v>
      </c>
      <c r="AB93" s="2">
        <v>22.4953</v>
      </c>
    </row>
    <row r="94" spans="2:28" x14ac:dyDescent="0.4">
      <c r="B94" s="11">
        <v>77</v>
      </c>
      <c r="C94" s="16">
        <f t="shared" si="5"/>
        <v>19.148959739973069</v>
      </c>
      <c r="D94" s="17">
        <f t="shared" si="7"/>
        <v>21.27662193330341</v>
      </c>
      <c r="E94" s="17">
        <f t="shared" si="6"/>
        <v>23.404284126633751</v>
      </c>
      <c r="F94" s="2">
        <v>21.8066</v>
      </c>
      <c r="G94" s="2" t="str">
        <f t="shared" si="4"/>
        <v>Pass</v>
      </c>
      <c r="Y94" s="2">
        <v>79</v>
      </c>
      <c r="Z94" s="2">
        <v>0.31080000000000002</v>
      </c>
      <c r="AA94" s="2">
        <v>0.33019999999999999</v>
      </c>
      <c r="AB94" s="2">
        <v>23.064299999999999</v>
      </c>
    </row>
    <row r="95" spans="2:28" x14ac:dyDescent="0.4">
      <c r="B95" s="11">
        <v>78</v>
      </c>
      <c r="C95" s="16">
        <f t="shared" si="5"/>
        <v>19.647994993404762</v>
      </c>
      <c r="D95" s="17">
        <f t="shared" si="7"/>
        <v>21.831105548227512</v>
      </c>
      <c r="E95" s="17">
        <f t="shared" si="6"/>
        <v>24.014216103050263</v>
      </c>
      <c r="F95" s="2">
        <v>22.4953</v>
      </c>
      <c r="G95" s="2" t="str">
        <f t="shared" si="4"/>
        <v>Pass</v>
      </c>
      <c r="Y95" s="2">
        <v>80</v>
      </c>
      <c r="Z95" s="2">
        <v>0.31119999999999998</v>
      </c>
      <c r="AA95" s="2">
        <v>0.32800000000000001</v>
      </c>
      <c r="AB95" s="2">
        <v>23.225999999999999</v>
      </c>
    </row>
    <row r="96" spans="2:28" x14ac:dyDescent="0.4">
      <c r="B96" s="11">
        <v>79</v>
      </c>
      <c r="C96" s="16">
        <f t="shared" si="5"/>
        <v>20.153449474518116</v>
      </c>
      <c r="D96" s="17">
        <f t="shared" si="7"/>
        <v>22.392721638353461</v>
      </c>
      <c r="E96" s="17">
        <f t="shared" si="6"/>
        <v>24.631993802188806</v>
      </c>
      <c r="F96" s="2">
        <v>23.064299999999999</v>
      </c>
      <c r="G96" s="2" t="str">
        <f t="shared" si="4"/>
        <v>Pass</v>
      </c>
      <c r="Y96" s="2">
        <v>81</v>
      </c>
      <c r="Z96" s="2">
        <v>0.31169999999999998</v>
      </c>
      <c r="AA96" s="2">
        <v>0.32790000000000002</v>
      </c>
      <c r="AB96" s="2">
        <v>23.748899999999999</v>
      </c>
    </row>
    <row r="97" spans="2:28" x14ac:dyDescent="0.4">
      <c r="B97" s="11">
        <v>80</v>
      </c>
      <c r="C97" s="16">
        <f t="shared" si="5"/>
        <v>20.665323183313138</v>
      </c>
      <c r="D97" s="17">
        <f t="shared" si="7"/>
        <v>22.961470203681266</v>
      </c>
      <c r="E97" s="17">
        <f t="shared" si="6"/>
        <v>25.257617224049394</v>
      </c>
      <c r="F97" s="2">
        <v>23.225999999999999</v>
      </c>
      <c r="G97" s="2" t="str">
        <f t="shared" si="4"/>
        <v>Pass</v>
      </c>
      <c r="Y97" s="2">
        <v>82</v>
      </c>
      <c r="Z97" s="2">
        <v>0.311</v>
      </c>
      <c r="AA97" s="2">
        <v>0.33029999999999998</v>
      </c>
      <c r="AB97" s="2">
        <v>24.234400000000001</v>
      </c>
    </row>
    <row r="98" spans="2:28" x14ac:dyDescent="0.4">
      <c r="B98" s="11">
        <v>81</v>
      </c>
      <c r="C98" s="16">
        <f t="shared" si="5"/>
        <v>21.183616119789818</v>
      </c>
      <c r="D98" s="17">
        <f t="shared" si="7"/>
        <v>23.537351244210907</v>
      </c>
      <c r="E98" s="17">
        <f t="shared" si="6"/>
        <v>25.891086368631996</v>
      </c>
      <c r="F98" s="2">
        <v>23.748899999999999</v>
      </c>
      <c r="G98" s="2" t="str">
        <f t="shared" si="4"/>
        <v>Pass</v>
      </c>
      <c r="Y98" s="2">
        <v>83</v>
      </c>
      <c r="Z98" s="2">
        <v>0.31159999999999999</v>
      </c>
      <c r="AA98" s="2">
        <v>0.33050000000000002</v>
      </c>
      <c r="AB98" s="2">
        <v>24.7715</v>
      </c>
    </row>
    <row r="99" spans="2:28" x14ac:dyDescent="0.4">
      <c r="B99" s="11">
        <v>82</v>
      </c>
      <c r="C99" s="16">
        <f t="shared" si="5"/>
        <v>21.708328283948152</v>
      </c>
      <c r="D99" s="17">
        <f t="shared" si="7"/>
        <v>24.12036475994239</v>
      </c>
      <c r="E99" s="17">
        <f t="shared" si="6"/>
        <v>26.532401235936629</v>
      </c>
      <c r="F99" s="2">
        <v>24.234400000000001</v>
      </c>
      <c r="G99" s="2" t="str">
        <f t="shared" si="4"/>
        <v>Pass</v>
      </c>
      <c r="Y99" s="2">
        <v>84</v>
      </c>
      <c r="Z99" s="2">
        <v>0.31180000000000002</v>
      </c>
      <c r="AA99" s="2">
        <v>0.33040000000000003</v>
      </c>
      <c r="AB99" s="2">
        <v>25.488600000000002</v>
      </c>
    </row>
    <row r="100" spans="2:28" x14ac:dyDescent="0.4">
      <c r="B100" s="11">
        <v>83</v>
      </c>
      <c r="C100" s="16">
        <f t="shared" si="5"/>
        <v>22.239459675788151</v>
      </c>
      <c r="D100" s="17">
        <f t="shared" si="7"/>
        <v>24.710510750875724</v>
      </c>
      <c r="E100" s="17">
        <f t="shared" si="6"/>
        <v>27.181561825963296</v>
      </c>
      <c r="F100" s="2">
        <v>24.7715</v>
      </c>
      <c r="G100" s="2" t="str">
        <f t="shared" si="4"/>
        <v>Pass</v>
      </c>
      <c r="Y100" s="2">
        <v>85</v>
      </c>
      <c r="Z100" s="2">
        <v>0.31180000000000002</v>
      </c>
      <c r="AA100" s="2">
        <v>0.33040000000000003</v>
      </c>
      <c r="AB100" s="2">
        <v>26.055700000000002</v>
      </c>
    </row>
    <row r="101" spans="2:28" x14ac:dyDescent="0.4">
      <c r="B101" s="11">
        <v>84</v>
      </c>
      <c r="C101" s="16">
        <f t="shared" si="5"/>
        <v>22.777010295309815</v>
      </c>
      <c r="D101" s="17">
        <f t="shared" si="7"/>
        <v>25.307789217010907</v>
      </c>
      <c r="E101" s="17">
        <f t="shared" si="6"/>
        <v>27.838568138711999</v>
      </c>
      <c r="F101" s="2">
        <v>25.488600000000002</v>
      </c>
      <c r="G101" s="2" t="str">
        <f t="shared" si="4"/>
        <v>Pass</v>
      </c>
      <c r="Y101" s="2">
        <v>86</v>
      </c>
      <c r="Z101" s="2">
        <v>0.31169999999999998</v>
      </c>
      <c r="AA101" s="2">
        <v>0.33019999999999999</v>
      </c>
      <c r="AB101" s="2">
        <v>26.831600000000002</v>
      </c>
    </row>
    <row r="102" spans="2:28" x14ac:dyDescent="0.4">
      <c r="B102" s="11">
        <v>85</v>
      </c>
      <c r="C102" s="16">
        <f t="shared" si="5"/>
        <v>23.320980142513136</v>
      </c>
      <c r="D102" s="17">
        <f t="shared" si="7"/>
        <v>25.912200158347929</v>
      </c>
      <c r="E102" s="17">
        <f t="shared" si="6"/>
        <v>28.503420174182722</v>
      </c>
      <c r="F102" s="2">
        <v>26.055700000000002</v>
      </c>
      <c r="G102" s="2" t="str">
        <f t="shared" si="4"/>
        <v>Pass</v>
      </c>
      <c r="Y102" s="2">
        <v>87</v>
      </c>
      <c r="Z102" s="2">
        <v>0.31159999999999999</v>
      </c>
      <c r="AA102" s="2">
        <v>0.33019999999999999</v>
      </c>
      <c r="AB102" s="2">
        <v>27.402999999999999</v>
      </c>
    </row>
    <row r="103" spans="2:28" x14ac:dyDescent="0.4">
      <c r="B103" s="11">
        <v>86</v>
      </c>
      <c r="C103" s="16">
        <f t="shared" si="5"/>
        <v>23.871369217398119</v>
      </c>
      <c r="D103" s="17">
        <f t="shared" si="7"/>
        <v>26.523743574886797</v>
      </c>
      <c r="E103" s="17">
        <f t="shared" si="6"/>
        <v>29.176117932375476</v>
      </c>
      <c r="F103" s="2">
        <v>26.831600000000002</v>
      </c>
      <c r="G103" s="2" t="str">
        <f t="shared" si="4"/>
        <v>Pass</v>
      </c>
      <c r="Y103" s="2">
        <v>88</v>
      </c>
      <c r="Z103" s="2">
        <v>0.31119999999999998</v>
      </c>
      <c r="AA103" s="2">
        <v>0.3301</v>
      </c>
      <c r="AB103" s="2">
        <v>27.907</v>
      </c>
    </row>
    <row r="104" spans="2:28" x14ac:dyDescent="0.4">
      <c r="B104" s="11">
        <v>87</v>
      </c>
      <c r="C104" s="16">
        <f t="shared" si="5"/>
        <v>24.428177519964763</v>
      </c>
      <c r="D104" s="17">
        <f t="shared" si="7"/>
        <v>27.142419466627512</v>
      </c>
      <c r="E104" s="17">
        <f t="shared" si="6"/>
        <v>29.856661413290261</v>
      </c>
      <c r="F104" s="2">
        <v>27.402999999999999</v>
      </c>
      <c r="G104" s="2" t="str">
        <f t="shared" si="4"/>
        <v>Pass</v>
      </c>
      <c r="Y104" s="2">
        <v>89</v>
      </c>
      <c r="Z104" s="2">
        <v>0.31109999999999999</v>
      </c>
      <c r="AA104" s="2">
        <v>0.33</v>
      </c>
      <c r="AB104" s="2">
        <v>28.647400000000001</v>
      </c>
    </row>
    <row r="105" spans="2:28" x14ac:dyDescent="0.4">
      <c r="B105" s="11">
        <v>88</v>
      </c>
      <c r="C105" s="16">
        <f t="shared" si="5"/>
        <v>24.991405050213068</v>
      </c>
      <c r="D105" s="17">
        <f t="shared" si="7"/>
        <v>27.768227833570077</v>
      </c>
      <c r="E105" s="17">
        <f t="shared" si="6"/>
        <v>30.545050616927085</v>
      </c>
      <c r="F105" s="2">
        <v>27.907</v>
      </c>
      <c r="G105" s="2" t="str">
        <f t="shared" si="4"/>
        <v>Pass</v>
      </c>
      <c r="Y105" s="2">
        <v>90</v>
      </c>
      <c r="Z105" s="2">
        <v>0.3105</v>
      </c>
      <c r="AA105" s="2">
        <v>0.32879999999999998</v>
      </c>
      <c r="AB105" s="2">
        <v>29.2437</v>
      </c>
    </row>
    <row r="106" spans="2:28" x14ac:dyDescent="0.4">
      <c r="B106" s="11">
        <v>89</v>
      </c>
      <c r="C106" s="16">
        <f t="shared" si="5"/>
        <v>25.561051808143031</v>
      </c>
      <c r="D106" s="17">
        <f t="shared" si="7"/>
        <v>28.40116867571448</v>
      </c>
      <c r="E106" s="17">
        <f t="shared" si="6"/>
        <v>31.24128554328593</v>
      </c>
      <c r="F106" s="2">
        <v>28.647400000000001</v>
      </c>
      <c r="G106" s="2" t="str">
        <f t="shared" si="4"/>
        <v>Pass</v>
      </c>
      <c r="Y106" s="2">
        <v>91</v>
      </c>
      <c r="Z106" s="2">
        <v>0.31040000000000001</v>
      </c>
      <c r="AA106" s="2">
        <v>0.32890000000000003</v>
      </c>
      <c r="AB106" s="2">
        <v>30.021799999999999</v>
      </c>
    </row>
    <row r="107" spans="2:28" x14ac:dyDescent="0.4">
      <c r="B107" s="11">
        <v>90</v>
      </c>
      <c r="C107" s="16">
        <f t="shared" si="5"/>
        <v>26.137117793754655</v>
      </c>
      <c r="D107" s="17">
        <f t="shared" si="7"/>
        <v>29.04124199306073</v>
      </c>
      <c r="E107" s="17">
        <f t="shared" si="6"/>
        <v>31.945366192366805</v>
      </c>
      <c r="F107" s="2">
        <v>29.2437</v>
      </c>
      <c r="G107" s="2" t="str">
        <f t="shared" si="4"/>
        <v>Pass</v>
      </c>
      <c r="Y107" s="2">
        <v>92</v>
      </c>
      <c r="Z107" s="2">
        <v>0.31219999999999998</v>
      </c>
      <c r="AA107" s="2">
        <v>0.33160000000000001</v>
      </c>
      <c r="AB107" s="2">
        <v>30.582899999999999</v>
      </c>
    </row>
    <row r="108" spans="2:28" x14ac:dyDescent="0.4">
      <c r="B108" s="11">
        <v>91</v>
      </c>
      <c r="C108" s="16">
        <f t="shared" si="5"/>
        <v>26.71960300704794</v>
      </c>
      <c r="D108" s="17">
        <f t="shared" si="7"/>
        <v>29.688447785608822</v>
      </c>
      <c r="E108" s="17">
        <f t="shared" si="6"/>
        <v>32.657292564169708</v>
      </c>
      <c r="F108" s="2">
        <v>30.021799999999999</v>
      </c>
      <c r="G108" s="2" t="str">
        <f t="shared" si="4"/>
        <v>Pass</v>
      </c>
      <c r="Y108" s="2">
        <v>93</v>
      </c>
      <c r="Z108" s="2">
        <v>0.31230000000000002</v>
      </c>
      <c r="AA108" s="2">
        <v>0.33160000000000001</v>
      </c>
      <c r="AB108" s="2">
        <v>31.163900000000002</v>
      </c>
    </row>
    <row r="109" spans="2:28" x14ac:dyDescent="0.4">
      <c r="B109" s="11">
        <v>92</v>
      </c>
      <c r="C109" s="16">
        <f t="shared" si="5"/>
        <v>27.308507448022894</v>
      </c>
      <c r="D109" s="17">
        <f t="shared" si="7"/>
        <v>30.342786053358772</v>
      </c>
      <c r="E109" s="17">
        <f t="shared" si="6"/>
        <v>33.37706465869465</v>
      </c>
      <c r="F109" s="2">
        <v>30.582899999999999</v>
      </c>
      <c r="G109" s="2" t="str">
        <f t="shared" si="4"/>
        <v>Pass</v>
      </c>
      <c r="Y109" s="2">
        <v>94</v>
      </c>
      <c r="Z109" s="2">
        <v>0.31230000000000002</v>
      </c>
      <c r="AA109" s="2">
        <v>0.33150000000000002</v>
      </c>
      <c r="AB109" s="2">
        <v>31.977499999999999</v>
      </c>
    </row>
    <row r="110" spans="2:28" x14ac:dyDescent="0.4">
      <c r="B110" s="11">
        <v>93</v>
      </c>
      <c r="C110" s="16">
        <f t="shared" si="5"/>
        <v>27.903831116679505</v>
      </c>
      <c r="D110" s="17">
        <f t="shared" si="7"/>
        <v>31.004256796310564</v>
      </c>
      <c r="E110" s="17">
        <f t="shared" si="6"/>
        <v>34.104682475941622</v>
      </c>
      <c r="F110" s="2">
        <v>31.163900000000002</v>
      </c>
      <c r="G110" s="2" t="str">
        <f t="shared" si="4"/>
        <v>Pass</v>
      </c>
      <c r="Y110" s="2">
        <v>95</v>
      </c>
      <c r="Z110" s="2">
        <v>0.31230000000000002</v>
      </c>
      <c r="AA110" s="2">
        <v>0.33129999999999998</v>
      </c>
      <c r="AB110" s="2">
        <v>32.571399999999997</v>
      </c>
    </row>
    <row r="111" spans="2:28" x14ac:dyDescent="0.4">
      <c r="B111" s="11">
        <v>94</v>
      </c>
      <c r="C111" s="16">
        <f t="shared" si="5"/>
        <v>28.505574013017771</v>
      </c>
      <c r="D111" s="17">
        <f t="shared" si="7"/>
        <v>31.672860014464192</v>
      </c>
      <c r="E111" s="17">
        <f t="shared" si="6"/>
        <v>34.840146015910612</v>
      </c>
      <c r="F111" s="2">
        <v>31.977499999999999</v>
      </c>
      <c r="G111" s="2" t="str">
        <f t="shared" si="4"/>
        <v>Pass</v>
      </c>
      <c r="Y111" s="2">
        <v>96</v>
      </c>
      <c r="Z111" s="2">
        <v>0.31180000000000002</v>
      </c>
      <c r="AA111" s="2">
        <v>0.32829999999999998</v>
      </c>
      <c r="AB111" s="2">
        <v>32.7684</v>
      </c>
    </row>
    <row r="112" spans="2:28" x14ac:dyDescent="0.4">
      <c r="B112" s="11">
        <v>95</v>
      </c>
      <c r="C112" s="16">
        <f t="shared" si="5"/>
        <v>29.113736137037701</v>
      </c>
      <c r="D112" s="17">
        <f t="shared" si="7"/>
        <v>32.348595707819669</v>
      </c>
      <c r="E112" s="17">
        <f t="shared" si="6"/>
        <v>35.583455278601633</v>
      </c>
      <c r="F112" s="2">
        <v>32.571399999999997</v>
      </c>
      <c r="G112" s="2" t="str">
        <f t="shared" si="4"/>
        <v>Pass</v>
      </c>
      <c r="Y112" s="2">
        <v>97</v>
      </c>
      <c r="Z112" s="2">
        <v>0.31180000000000002</v>
      </c>
      <c r="AA112" s="2">
        <v>0.32819999999999999</v>
      </c>
      <c r="AB112" s="2">
        <v>33.5807</v>
      </c>
    </row>
    <row r="113" spans="2:28" x14ac:dyDescent="0.4">
      <c r="B113" s="11">
        <v>96</v>
      </c>
      <c r="C113" s="16">
        <f t="shared" si="5"/>
        <v>29.728317488739304</v>
      </c>
      <c r="D113" s="17">
        <f t="shared" si="7"/>
        <v>33.031463876377003</v>
      </c>
      <c r="E113" s="17">
        <f t="shared" si="6"/>
        <v>36.334610264014707</v>
      </c>
      <c r="F113" s="2">
        <v>32.7684</v>
      </c>
      <c r="G113" s="2" t="str">
        <f t="shared" si="4"/>
        <v>Pass</v>
      </c>
      <c r="Y113" s="2">
        <v>98</v>
      </c>
      <c r="Z113" s="2">
        <v>0.31169999999999998</v>
      </c>
      <c r="AA113" s="2">
        <v>0.3281</v>
      </c>
      <c r="AB113" s="2">
        <v>34.197699999999998</v>
      </c>
    </row>
    <row r="114" spans="2:28" x14ac:dyDescent="0.4">
      <c r="B114" s="11">
        <v>97</v>
      </c>
      <c r="C114" s="16">
        <f t="shared" si="5"/>
        <v>30.34931806812255</v>
      </c>
      <c r="D114" s="17">
        <f t="shared" si="7"/>
        <v>33.721464520136166</v>
      </c>
      <c r="E114" s="17">
        <f t="shared" si="6"/>
        <v>37.093610972149783</v>
      </c>
      <c r="F114" s="2">
        <v>33.5807</v>
      </c>
      <c r="G114" s="2" t="str">
        <f t="shared" si="4"/>
        <v>Pass</v>
      </c>
      <c r="Y114" s="2">
        <v>99</v>
      </c>
      <c r="Z114" s="2">
        <v>0.31169999999999998</v>
      </c>
      <c r="AA114" s="2">
        <v>0.3281</v>
      </c>
      <c r="AB114" s="2">
        <v>34.8262</v>
      </c>
    </row>
    <row r="115" spans="2:28" x14ac:dyDescent="0.4">
      <c r="B115" s="11">
        <v>98</v>
      </c>
      <c r="C115" s="16">
        <f t="shared" si="5"/>
        <v>30.97673787518746</v>
      </c>
      <c r="D115" s="17">
        <f t="shared" si="7"/>
        <v>34.418597639097179</v>
      </c>
      <c r="E115" s="17">
        <f t="shared" si="6"/>
        <v>37.860457403006897</v>
      </c>
      <c r="F115" s="2">
        <v>34.197699999999998</v>
      </c>
      <c r="G115" s="2" t="str">
        <f t="shared" si="4"/>
        <v>Pass</v>
      </c>
      <c r="Y115" s="2">
        <v>100</v>
      </c>
      <c r="Z115" s="2">
        <v>0.31169999999999998</v>
      </c>
      <c r="AA115" s="2">
        <v>0.32819999999999999</v>
      </c>
      <c r="AB115" s="2">
        <v>35.686</v>
      </c>
    </row>
    <row r="116" spans="2:28" x14ac:dyDescent="0.4">
      <c r="B116" s="11">
        <v>99</v>
      </c>
      <c r="C116" s="16">
        <f t="shared" si="5"/>
        <v>31.610576909934032</v>
      </c>
      <c r="D116" s="17">
        <f t="shared" si="7"/>
        <v>35.122863233260034</v>
      </c>
      <c r="E116" s="17">
        <f t="shared" si="6"/>
        <v>38.635149556586036</v>
      </c>
      <c r="F116" s="2">
        <v>34.8262</v>
      </c>
      <c r="G116" s="2" t="str">
        <f t="shared" si="4"/>
        <v>Pass</v>
      </c>
      <c r="Y116" s="2">
        <v>101</v>
      </c>
      <c r="Z116" s="2">
        <v>0.31169999999999998</v>
      </c>
      <c r="AA116" s="2">
        <v>0.3281</v>
      </c>
      <c r="AB116" s="2">
        <v>36.39</v>
      </c>
    </row>
    <row r="117" spans="2:28" x14ac:dyDescent="0.4">
      <c r="B117" s="11">
        <v>100</v>
      </c>
      <c r="C117" s="16">
        <f t="shared" si="5"/>
        <v>32.250835172362272</v>
      </c>
      <c r="D117" s="17">
        <f t="shared" si="7"/>
        <v>35.834261302624746</v>
      </c>
      <c r="E117" s="17">
        <f t="shared" si="6"/>
        <v>39.41768743288722</v>
      </c>
      <c r="F117" s="2">
        <v>35.686</v>
      </c>
      <c r="G117" s="2" t="str">
        <f t="shared" si="4"/>
        <v>Pass</v>
      </c>
      <c r="Y117" s="2">
        <v>102</v>
      </c>
      <c r="Z117" s="2">
        <v>0.31169999999999998</v>
      </c>
      <c r="AA117" s="2">
        <v>0.32800000000000001</v>
      </c>
      <c r="AB117" s="2">
        <v>37.282899999999998</v>
      </c>
    </row>
    <row r="118" spans="2:28" x14ac:dyDescent="0.4">
      <c r="B118" s="11">
        <v>101</v>
      </c>
      <c r="C118" s="16">
        <f t="shared" si="5"/>
        <v>32.897512662472174</v>
      </c>
      <c r="D118" s="17">
        <f t="shared" si="7"/>
        <v>36.552791847191301</v>
      </c>
      <c r="E118" s="17">
        <f t="shared" si="6"/>
        <v>40.208071031910428</v>
      </c>
      <c r="F118" s="2">
        <v>36.39</v>
      </c>
      <c r="G118" s="2" t="str">
        <f t="shared" si="4"/>
        <v>Pass</v>
      </c>
      <c r="Y118" s="2">
        <v>103</v>
      </c>
      <c r="Z118" s="2">
        <v>0.31169999999999998</v>
      </c>
      <c r="AA118" s="2">
        <v>0.32800000000000001</v>
      </c>
      <c r="AB118" s="2">
        <v>37.919899999999998</v>
      </c>
    </row>
    <row r="119" spans="2:28" x14ac:dyDescent="0.4">
      <c r="B119" s="11">
        <v>102</v>
      </c>
      <c r="C119" s="16">
        <f t="shared" si="5"/>
        <v>33.550609380263722</v>
      </c>
      <c r="D119" s="17">
        <f t="shared" si="7"/>
        <v>37.278454866959692</v>
      </c>
      <c r="E119" s="17">
        <f t="shared" si="6"/>
        <v>41.006300353655661</v>
      </c>
      <c r="F119" s="2">
        <v>37.282899999999998</v>
      </c>
      <c r="G119" s="2" t="str">
        <f t="shared" si="4"/>
        <v>Pass</v>
      </c>
      <c r="Y119" s="2">
        <v>104</v>
      </c>
      <c r="Z119" s="2">
        <v>0.31169999999999998</v>
      </c>
      <c r="AA119" s="2">
        <v>0.3281</v>
      </c>
      <c r="AB119" s="2">
        <v>38.811</v>
      </c>
    </row>
    <row r="120" spans="2:28" x14ac:dyDescent="0.4">
      <c r="B120" s="11">
        <v>103</v>
      </c>
      <c r="C120" s="16">
        <f t="shared" si="5"/>
        <v>34.210125325736939</v>
      </c>
      <c r="D120" s="17">
        <f t="shared" si="7"/>
        <v>38.011250361929932</v>
      </c>
      <c r="E120" s="17">
        <f t="shared" si="6"/>
        <v>41.812375398122924</v>
      </c>
      <c r="F120" s="2">
        <v>37.919899999999998</v>
      </c>
      <c r="G120" s="2" t="str">
        <f t="shared" si="4"/>
        <v>Pass</v>
      </c>
      <c r="Y120" s="2">
        <v>105</v>
      </c>
      <c r="Z120" s="2">
        <v>0.31180000000000002</v>
      </c>
      <c r="AA120" s="2">
        <v>0.32819999999999999</v>
      </c>
      <c r="AB120" s="2">
        <v>39.511000000000003</v>
      </c>
    </row>
    <row r="121" spans="2:28" x14ac:dyDescent="0.4">
      <c r="B121" s="11">
        <v>104</v>
      </c>
      <c r="C121" s="16">
        <f t="shared" si="5"/>
        <v>34.876060498891825</v>
      </c>
      <c r="D121" s="17">
        <f t="shared" si="7"/>
        <v>38.751178332102029</v>
      </c>
      <c r="E121" s="17">
        <f t="shared" si="6"/>
        <v>42.626296165312233</v>
      </c>
      <c r="F121" s="2">
        <v>38.811</v>
      </c>
      <c r="G121" s="2" t="str">
        <f t="shared" si="4"/>
        <v>Pass</v>
      </c>
      <c r="Y121" s="2">
        <v>106</v>
      </c>
      <c r="Z121" s="2">
        <v>0.31330000000000002</v>
      </c>
      <c r="AA121" s="2">
        <v>0.33069999999999999</v>
      </c>
      <c r="AB121" s="2">
        <v>40.167700000000004</v>
      </c>
    </row>
    <row r="122" spans="2:28" x14ac:dyDescent="0.4">
      <c r="B122" s="11">
        <v>105</v>
      </c>
      <c r="C122" s="16">
        <f t="shared" si="5"/>
        <v>35.548414899728357</v>
      </c>
      <c r="D122" s="17">
        <f t="shared" si="7"/>
        <v>39.498238777475954</v>
      </c>
      <c r="E122" s="17">
        <f t="shared" si="6"/>
        <v>43.448062655223552</v>
      </c>
      <c r="F122" s="2">
        <v>39.511000000000003</v>
      </c>
      <c r="G122" s="2" t="str">
        <f t="shared" si="4"/>
        <v>Pass</v>
      </c>
      <c r="Y122" s="2">
        <v>107</v>
      </c>
      <c r="Z122" s="2">
        <v>0.31419999999999998</v>
      </c>
      <c r="AA122" s="2">
        <v>0.32950000000000002</v>
      </c>
      <c r="AB122" s="2">
        <v>40.931399999999996</v>
      </c>
    </row>
    <row r="123" spans="2:28" x14ac:dyDescent="0.4">
      <c r="B123" s="11">
        <v>106</v>
      </c>
      <c r="C123" s="16">
        <f t="shared" si="5"/>
        <v>36.227188528246558</v>
      </c>
      <c r="D123" s="17">
        <f t="shared" si="7"/>
        <v>40.25243169805173</v>
      </c>
      <c r="E123" s="17">
        <f t="shared" si="6"/>
        <v>44.277674867856902</v>
      </c>
      <c r="F123" s="2">
        <v>40.167700000000004</v>
      </c>
      <c r="G123" s="2" t="str">
        <f t="shared" si="4"/>
        <v>Pass</v>
      </c>
      <c r="Y123" s="2">
        <v>108</v>
      </c>
      <c r="Z123" s="2">
        <v>0.31309999999999999</v>
      </c>
      <c r="AA123" s="2">
        <v>0.3306</v>
      </c>
      <c r="AB123" s="2">
        <v>41.7684</v>
      </c>
    </row>
    <row r="124" spans="2:28" x14ac:dyDescent="0.4">
      <c r="B124" s="11">
        <v>107</v>
      </c>
      <c r="C124" s="16">
        <f t="shared" si="5"/>
        <v>36.912381384446419</v>
      </c>
      <c r="D124" s="17">
        <f t="shared" si="7"/>
        <v>41.013757093829355</v>
      </c>
      <c r="E124" s="17">
        <f t="shared" si="6"/>
        <v>45.11513280321229</v>
      </c>
      <c r="F124" s="2">
        <v>40.931399999999996</v>
      </c>
      <c r="G124" s="2" t="str">
        <f t="shared" si="4"/>
        <v>Pass</v>
      </c>
      <c r="Y124" s="2">
        <v>109</v>
      </c>
      <c r="Z124" s="2">
        <v>0.313</v>
      </c>
      <c r="AA124" s="2">
        <v>0.3306</v>
      </c>
      <c r="AB124" s="2">
        <v>42.701000000000001</v>
      </c>
    </row>
    <row r="125" spans="2:28" x14ac:dyDescent="0.4">
      <c r="B125" s="11">
        <v>108</v>
      </c>
      <c r="C125" s="16">
        <f t="shared" si="5"/>
        <v>37.60399346832795</v>
      </c>
      <c r="D125" s="17">
        <f t="shared" si="7"/>
        <v>41.78221496480883</v>
      </c>
      <c r="E125" s="17">
        <f t="shared" si="6"/>
        <v>45.96043646128971</v>
      </c>
      <c r="F125" s="2">
        <v>41.7684</v>
      </c>
      <c r="G125" s="2" t="str">
        <f t="shared" si="4"/>
        <v>Pass</v>
      </c>
      <c r="Y125" s="2">
        <v>110</v>
      </c>
      <c r="Z125" s="2">
        <v>0.31309999999999999</v>
      </c>
      <c r="AA125" s="2">
        <v>0.33050000000000002</v>
      </c>
      <c r="AB125" s="2">
        <v>43.383499999999998</v>
      </c>
    </row>
    <row r="126" spans="2:28" x14ac:dyDescent="0.4">
      <c r="B126" s="11">
        <v>109</v>
      </c>
      <c r="C126" s="16">
        <f t="shared" si="5"/>
        <v>38.302024779891127</v>
      </c>
      <c r="D126" s="17">
        <f t="shared" si="7"/>
        <v>42.55780531099014</v>
      </c>
      <c r="E126" s="17">
        <f t="shared" si="6"/>
        <v>46.813585842089154</v>
      </c>
      <c r="F126" s="2">
        <v>42.701000000000001</v>
      </c>
      <c r="G126" s="2" t="str">
        <f t="shared" si="4"/>
        <v>Pass</v>
      </c>
      <c r="Y126" s="2">
        <v>111</v>
      </c>
      <c r="Z126" s="2">
        <v>0.313</v>
      </c>
      <c r="AA126" s="2">
        <v>0.33050000000000002</v>
      </c>
      <c r="AB126" s="2">
        <v>44.108699999999999</v>
      </c>
    </row>
    <row r="127" spans="2:28" x14ac:dyDescent="0.4">
      <c r="B127" s="11">
        <v>110</v>
      </c>
      <c r="C127" s="16">
        <f t="shared" si="5"/>
        <v>39.006475319135973</v>
      </c>
      <c r="D127" s="17">
        <f t="shared" si="7"/>
        <v>43.340528132373301</v>
      </c>
      <c r="E127" s="17">
        <f t="shared" si="6"/>
        <v>47.674580945610629</v>
      </c>
      <c r="F127" s="2">
        <v>43.383499999999998</v>
      </c>
      <c r="G127" s="2" t="str">
        <f t="shared" si="4"/>
        <v>Pass</v>
      </c>
      <c r="Y127" s="2">
        <v>112</v>
      </c>
      <c r="Z127" s="2">
        <v>0.31330000000000002</v>
      </c>
      <c r="AA127" s="2">
        <v>0.33029999999999998</v>
      </c>
      <c r="AB127" s="2">
        <v>45.113999999999997</v>
      </c>
    </row>
    <row r="128" spans="2:28" x14ac:dyDescent="0.4">
      <c r="B128" s="11">
        <v>111</v>
      </c>
      <c r="C128" s="16">
        <f t="shared" si="5"/>
        <v>39.717345086062473</v>
      </c>
      <c r="D128" s="17">
        <f t="shared" si="7"/>
        <v>44.130383428958304</v>
      </c>
      <c r="E128" s="17">
        <f t="shared" si="6"/>
        <v>48.543421771854135</v>
      </c>
      <c r="F128" s="2">
        <v>44.108699999999999</v>
      </c>
      <c r="G128" s="2" t="str">
        <f t="shared" si="4"/>
        <v>Pass</v>
      </c>
      <c r="Y128" s="2">
        <v>113</v>
      </c>
      <c r="Z128" s="2">
        <v>0.31330000000000002</v>
      </c>
      <c r="AA128" s="2">
        <v>0.33029999999999998</v>
      </c>
      <c r="AB128" s="2">
        <v>45.774500000000003</v>
      </c>
    </row>
    <row r="129" spans="2:28" x14ac:dyDescent="0.4">
      <c r="B129" s="11">
        <v>112</v>
      </c>
      <c r="C129" s="16">
        <f t="shared" si="5"/>
        <v>40.434634080670655</v>
      </c>
      <c r="D129" s="17">
        <f t="shared" si="7"/>
        <v>44.927371200745171</v>
      </c>
      <c r="E129" s="17">
        <f t="shared" si="6"/>
        <v>49.420108320819686</v>
      </c>
      <c r="F129" s="2">
        <v>45.113999999999997</v>
      </c>
      <c r="G129" s="2" t="str">
        <f t="shared" si="4"/>
        <v>Pass</v>
      </c>
      <c r="Y129" s="2">
        <v>114</v>
      </c>
      <c r="Z129" s="2">
        <v>0.31280000000000002</v>
      </c>
      <c r="AA129" s="2">
        <v>0.3301</v>
      </c>
      <c r="AB129" s="2">
        <v>46.806800000000003</v>
      </c>
    </row>
    <row r="130" spans="2:28" x14ac:dyDescent="0.4">
      <c r="B130" s="11">
        <v>113</v>
      </c>
      <c r="C130" s="16">
        <f t="shared" si="5"/>
        <v>41.15834230296047</v>
      </c>
      <c r="D130" s="17">
        <f t="shared" si="7"/>
        <v>45.731491447733859</v>
      </c>
      <c r="E130" s="17">
        <f t="shared" si="6"/>
        <v>50.304640592507248</v>
      </c>
      <c r="F130" s="2">
        <v>45.774500000000003</v>
      </c>
      <c r="G130" s="2" t="str">
        <f t="shared" si="4"/>
        <v>Pass</v>
      </c>
      <c r="Y130" s="2">
        <v>115</v>
      </c>
      <c r="Z130" s="2">
        <v>0.31240000000000001</v>
      </c>
      <c r="AA130" s="2">
        <v>0.32950000000000002</v>
      </c>
      <c r="AB130" s="2">
        <v>47.581400000000002</v>
      </c>
    </row>
    <row r="131" spans="2:28" x14ac:dyDescent="0.4">
      <c r="B131" s="11">
        <v>114</v>
      </c>
      <c r="C131" s="16">
        <f t="shared" si="5"/>
        <v>41.888469752931954</v>
      </c>
      <c r="D131" s="17">
        <f t="shared" si="7"/>
        <v>46.542744169924397</v>
      </c>
      <c r="E131" s="17">
        <f t="shared" si="6"/>
        <v>51.19701858691684</v>
      </c>
      <c r="F131" s="2">
        <v>46.806800000000003</v>
      </c>
      <c r="G131" s="2" t="str">
        <f t="shared" si="4"/>
        <v>Pass</v>
      </c>
      <c r="Y131" s="2">
        <v>116</v>
      </c>
      <c r="Z131" s="2">
        <v>0.31240000000000001</v>
      </c>
      <c r="AA131" s="2">
        <v>0.32919999999999999</v>
      </c>
      <c r="AB131" s="2">
        <v>48.526000000000003</v>
      </c>
    </row>
    <row r="132" spans="2:28" x14ac:dyDescent="0.4">
      <c r="B132" s="11">
        <v>115</v>
      </c>
      <c r="C132" s="16">
        <f t="shared" si="5"/>
        <v>42.625016430585099</v>
      </c>
      <c r="D132" s="17">
        <f t="shared" si="7"/>
        <v>47.361129367316778</v>
      </c>
      <c r="E132" s="17">
        <f t="shared" si="6"/>
        <v>52.097242304048457</v>
      </c>
      <c r="F132" s="2">
        <v>47.581400000000002</v>
      </c>
      <c r="G132" s="2" t="str">
        <f t="shared" si="4"/>
        <v>Pass</v>
      </c>
      <c r="Y132" s="2">
        <v>117</v>
      </c>
      <c r="Z132" s="2">
        <v>0.31240000000000001</v>
      </c>
      <c r="AA132" s="2">
        <v>0.32919999999999999</v>
      </c>
      <c r="AB132" s="2">
        <v>49.333100000000002</v>
      </c>
    </row>
    <row r="133" spans="2:28" x14ac:dyDescent="0.4">
      <c r="B133" s="11">
        <v>116</v>
      </c>
      <c r="C133" s="16">
        <f t="shared" si="5"/>
        <v>43.367982335919919</v>
      </c>
      <c r="D133" s="17">
        <f t="shared" si="7"/>
        <v>48.186647039911023</v>
      </c>
      <c r="E133" s="17">
        <f t="shared" si="6"/>
        <v>53.005311743902126</v>
      </c>
      <c r="F133" s="2">
        <v>48.526000000000003</v>
      </c>
      <c r="G133" s="2" t="str">
        <f t="shared" si="4"/>
        <v>Pass</v>
      </c>
      <c r="Y133" s="2">
        <v>118</v>
      </c>
      <c r="Z133" s="2">
        <v>0.31219999999999998</v>
      </c>
      <c r="AA133" s="2">
        <v>0.3291</v>
      </c>
      <c r="AB133" s="2">
        <v>50.122399999999999</v>
      </c>
    </row>
    <row r="134" spans="2:28" x14ac:dyDescent="0.4">
      <c r="B134" s="11">
        <v>117</v>
      </c>
      <c r="C134" s="16">
        <f t="shared" si="5"/>
        <v>44.117367468936386</v>
      </c>
      <c r="D134" s="17">
        <f t="shared" si="7"/>
        <v>49.019297187707096</v>
      </c>
      <c r="E134" s="17">
        <f t="shared" si="6"/>
        <v>53.921226906477806</v>
      </c>
      <c r="F134" s="2">
        <v>49.333100000000002</v>
      </c>
      <c r="G134" s="2" t="str">
        <f t="shared" si="4"/>
        <v>Pass</v>
      </c>
      <c r="Y134" s="2">
        <v>119</v>
      </c>
      <c r="Z134" s="2">
        <v>0.31230000000000002</v>
      </c>
      <c r="AA134" s="2">
        <v>0.3291</v>
      </c>
      <c r="AB134" s="2">
        <v>51.168799999999997</v>
      </c>
    </row>
    <row r="135" spans="2:28" x14ac:dyDescent="0.4">
      <c r="B135" s="11">
        <v>118</v>
      </c>
      <c r="C135" s="16">
        <f t="shared" si="5"/>
        <v>44.873171829634515</v>
      </c>
      <c r="D135" s="17">
        <f t="shared" si="7"/>
        <v>49.859079810705019</v>
      </c>
      <c r="E135" s="17">
        <f t="shared" si="6"/>
        <v>54.844987791775523</v>
      </c>
      <c r="F135" s="2">
        <v>50.122399999999999</v>
      </c>
      <c r="G135" s="2" t="str">
        <f t="shared" si="4"/>
        <v>Pass</v>
      </c>
      <c r="Y135" s="2">
        <v>120</v>
      </c>
      <c r="Z135" s="2">
        <v>0.31219999999999998</v>
      </c>
      <c r="AA135" s="2">
        <v>0.32900000000000001</v>
      </c>
      <c r="AB135" s="2">
        <v>51.955500000000001</v>
      </c>
    </row>
    <row r="136" spans="2:28" x14ac:dyDescent="0.4">
      <c r="B136" s="11">
        <v>119</v>
      </c>
      <c r="C136" s="16">
        <f t="shared" si="5"/>
        <v>45.635395418014305</v>
      </c>
      <c r="D136" s="17">
        <f t="shared" si="7"/>
        <v>50.705994908904785</v>
      </c>
      <c r="E136" s="17">
        <f t="shared" si="6"/>
        <v>55.776594399795265</v>
      </c>
      <c r="F136" s="2">
        <v>51.168799999999997</v>
      </c>
      <c r="G136" s="2" t="str">
        <f t="shared" si="4"/>
        <v>Pass</v>
      </c>
      <c r="Y136" s="2">
        <v>121</v>
      </c>
      <c r="Z136" s="2">
        <v>0.31230000000000002</v>
      </c>
      <c r="AA136" s="2">
        <v>0.3291</v>
      </c>
      <c r="AB136" s="2">
        <v>52.992100000000001</v>
      </c>
    </row>
    <row r="137" spans="2:28" x14ac:dyDescent="0.4">
      <c r="B137" s="11">
        <v>120</v>
      </c>
      <c r="C137" s="16">
        <f t="shared" si="5"/>
        <v>46.40403823407577</v>
      </c>
      <c r="D137" s="17">
        <f t="shared" si="7"/>
        <v>51.560042482306407</v>
      </c>
      <c r="E137" s="17">
        <f t="shared" si="6"/>
        <v>56.716046730537045</v>
      </c>
      <c r="F137" s="2">
        <v>51.955500000000001</v>
      </c>
      <c r="G137" s="2" t="str">
        <f t="shared" si="4"/>
        <v>Pass</v>
      </c>
      <c r="Y137" s="2">
        <v>122</v>
      </c>
      <c r="Z137" s="2">
        <v>0.31240000000000001</v>
      </c>
      <c r="AA137" s="2">
        <v>0.32929999999999998</v>
      </c>
      <c r="AB137" s="2">
        <v>53.786999999999999</v>
      </c>
    </row>
    <row r="138" spans="2:28" x14ac:dyDescent="0.4">
      <c r="B138" s="11">
        <v>121</v>
      </c>
      <c r="C138" s="16">
        <f t="shared" si="5"/>
        <v>47.179100277818875</v>
      </c>
      <c r="D138" s="17">
        <f t="shared" si="7"/>
        <v>52.421222530909866</v>
      </c>
      <c r="E138" s="17">
        <f t="shared" si="6"/>
        <v>57.663344784000856</v>
      </c>
      <c r="F138" s="2">
        <v>52.992100000000001</v>
      </c>
      <c r="G138" s="2" t="str">
        <f t="shared" si="4"/>
        <v>Pass</v>
      </c>
      <c r="Y138" s="2">
        <v>123</v>
      </c>
      <c r="Z138" s="2">
        <v>0.313</v>
      </c>
      <c r="AA138" s="2">
        <v>0.32979999999999998</v>
      </c>
      <c r="AB138" s="2">
        <v>54.773699999999998</v>
      </c>
    </row>
    <row r="139" spans="2:28" x14ac:dyDescent="0.4">
      <c r="B139" s="11">
        <v>122</v>
      </c>
      <c r="C139" s="16">
        <f t="shared" si="5"/>
        <v>47.960581549243649</v>
      </c>
      <c r="D139" s="17">
        <f t="shared" si="7"/>
        <v>53.289535054715166</v>
      </c>
      <c r="E139" s="17">
        <f t="shared" si="6"/>
        <v>58.618488560186684</v>
      </c>
      <c r="F139" s="2">
        <v>53.786999999999999</v>
      </c>
      <c r="G139" s="2" t="str">
        <f t="shared" si="4"/>
        <v>Pass</v>
      </c>
      <c r="Y139" s="2">
        <v>124</v>
      </c>
      <c r="Z139" s="2">
        <v>0.3135</v>
      </c>
      <c r="AA139" s="2">
        <v>0.33100000000000002</v>
      </c>
      <c r="AB139" s="2">
        <v>55.602699999999999</v>
      </c>
    </row>
    <row r="140" spans="2:28" x14ac:dyDescent="0.4">
      <c r="B140" s="11">
        <v>123</v>
      </c>
      <c r="C140" s="16">
        <f t="shared" si="5"/>
        <v>48.748482048350091</v>
      </c>
      <c r="D140" s="17">
        <f t="shared" si="7"/>
        <v>54.164980053722324</v>
      </c>
      <c r="E140" s="17">
        <f t="shared" si="6"/>
        <v>59.581478059094557</v>
      </c>
      <c r="F140" s="2">
        <v>54.773699999999998</v>
      </c>
      <c r="G140" s="2" t="str">
        <f t="shared" si="4"/>
        <v>Pass</v>
      </c>
      <c r="Y140" s="2">
        <v>125</v>
      </c>
      <c r="Z140" s="2">
        <v>0.313</v>
      </c>
      <c r="AA140" s="2">
        <v>0.32969999999999999</v>
      </c>
      <c r="AB140" s="2">
        <v>56.737900000000003</v>
      </c>
    </row>
    <row r="141" spans="2:28" x14ac:dyDescent="0.4">
      <c r="B141" s="11">
        <v>124</v>
      </c>
      <c r="C141" s="16">
        <f t="shared" si="5"/>
        <v>49.542801775138194</v>
      </c>
      <c r="D141" s="17">
        <f t="shared" si="7"/>
        <v>55.047557527931325</v>
      </c>
      <c r="E141" s="17">
        <f t="shared" si="6"/>
        <v>60.552313280724455</v>
      </c>
      <c r="F141" s="2">
        <v>55.602699999999999</v>
      </c>
      <c r="G141" s="2" t="str">
        <f t="shared" si="4"/>
        <v>Pass</v>
      </c>
      <c r="Y141" s="2">
        <v>126</v>
      </c>
      <c r="Z141" s="2">
        <v>0.31269999999999998</v>
      </c>
      <c r="AA141" s="2">
        <v>0.32979999999999998</v>
      </c>
      <c r="AB141" s="2">
        <v>57.610199999999999</v>
      </c>
    </row>
    <row r="142" spans="2:28" x14ac:dyDescent="0.4">
      <c r="B142" s="11">
        <v>125</v>
      </c>
      <c r="C142" s="16">
        <f t="shared" si="5"/>
        <v>50.343540729607952</v>
      </c>
      <c r="D142" s="17">
        <f t="shared" si="7"/>
        <v>55.937267477342168</v>
      </c>
      <c r="E142" s="17">
        <f t="shared" si="6"/>
        <v>61.530994225076384</v>
      </c>
      <c r="F142" s="2">
        <v>56.737900000000003</v>
      </c>
      <c r="G142" s="2" t="str">
        <f t="shared" si="4"/>
        <v>Pass</v>
      </c>
      <c r="Y142" s="2">
        <v>127</v>
      </c>
      <c r="Z142" s="2">
        <v>0.31259999999999999</v>
      </c>
      <c r="AA142" s="2">
        <v>0.32969999999999999</v>
      </c>
      <c r="AB142" s="2">
        <v>58.488</v>
      </c>
    </row>
    <row r="143" spans="2:28" x14ac:dyDescent="0.4">
      <c r="B143" s="11">
        <v>126</v>
      </c>
      <c r="C143" s="16">
        <f t="shared" si="5"/>
        <v>51.150698911759363</v>
      </c>
      <c r="D143" s="17">
        <f t="shared" si="7"/>
        <v>56.834109901954847</v>
      </c>
      <c r="E143" s="17">
        <f t="shared" si="6"/>
        <v>62.51752089215033</v>
      </c>
      <c r="F143" s="2">
        <v>57.610199999999999</v>
      </c>
      <c r="G143" s="2" t="str">
        <f t="shared" si="4"/>
        <v>Pass</v>
      </c>
      <c r="Y143" s="2">
        <v>128</v>
      </c>
      <c r="Z143" s="2">
        <v>0.31280000000000002</v>
      </c>
      <c r="AA143" s="2">
        <v>0.32969999999999999</v>
      </c>
      <c r="AB143" s="2">
        <v>59.655200000000001</v>
      </c>
    </row>
    <row r="144" spans="2:28" x14ac:dyDescent="0.4">
      <c r="B144" s="11">
        <v>127</v>
      </c>
      <c r="C144" s="16">
        <f t="shared" si="5"/>
        <v>51.964276321592436</v>
      </c>
      <c r="D144" s="17">
        <f t="shared" si="7"/>
        <v>57.738084801769375</v>
      </c>
      <c r="E144" s="17">
        <f t="shared" si="6"/>
        <v>63.511893281946314</v>
      </c>
      <c r="F144" s="2">
        <v>58.488</v>
      </c>
      <c r="G144" s="2" t="str">
        <f t="shared" si="4"/>
        <v>Pass</v>
      </c>
      <c r="Y144" s="2">
        <v>129</v>
      </c>
      <c r="Z144" s="2">
        <v>0.31259999999999999</v>
      </c>
      <c r="AA144" s="2">
        <v>0.32969999999999999</v>
      </c>
      <c r="AB144" s="2">
        <v>60.557699999999997</v>
      </c>
    </row>
    <row r="145" spans="2:28" x14ac:dyDescent="0.4">
      <c r="B145" s="11">
        <v>128</v>
      </c>
      <c r="C145" s="16">
        <f t="shared" si="5"/>
        <v>52.784272959107177</v>
      </c>
      <c r="D145" s="17">
        <f t="shared" si="7"/>
        <v>58.649192176785753</v>
      </c>
      <c r="E145" s="17">
        <f t="shared" si="6"/>
        <v>64.514111394464322</v>
      </c>
      <c r="F145" s="2">
        <v>59.655200000000001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0.31209999999999999</v>
      </c>
      <c r="AA145" s="2">
        <v>0.32879999999999998</v>
      </c>
      <c r="AB145" s="2">
        <v>61.799799999999998</v>
      </c>
    </row>
    <row r="146" spans="2:28" x14ac:dyDescent="0.4">
      <c r="B146" s="11">
        <v>129</v>
      </c>
      <c r="C146" s="16">
        <f t="shared" ref="C146:C209" si="9">D146-D146*(C$14/100)</f>
        <v>53.610688824303573</v>
      </c>
      <c r="D146" s="17">
        <f t="shared" si="7"/>
        <v>59.567432027003967</v>
      </c>
      <c r="E146" s="17">
        <f t="shared" ref="E146:E209" si="10">D146+D146*(C$14/100)</f>
        <v>65.524175229704369</v>
      </c>
      <c r="F146" s="2">
        <v>60.557699999999997</v>
      </c>
      <c r="G146" s="2" t="str">
        <f t="shared" si="8"/>
        <v>Pass</v>
      </c>
      <c r="Y146" s="2">
        <v>131</v>
      </c>
      <c r="Z146" s="2">
        <v>0.31209999999999999</v>
      </c>
      <c r="AA146" s="2">
        <v>0.32879999999999998</v>
      </c>
      <c r="AB146" s="2">
        <v>62.665599999999998</v>
      </c>
    </row>
    <row r="147" spans="2:28" x14ac:dyDescent="0.4">
      <c r="B147" s="11">
        <v>130</v>
      </c>
      <c r="C147" s="16">
        <f t="shared" si="9"/>
        <v>54.443523917181658</v>
      </c>
      <c r="D147" s="17">
        <f t="shared" ref="D147:D210" si="11">D$272*((B147+F$17)/B$272)^C$13</f>
        <v>60.492804352424066</v>
      </c>
      <c r="E147" s="17">
        <f t="shared" si="10"/>
        <v>66.542084787666468</v>
      </c>
      <c r="F147" s="2">
        <v>61.799799999999998</v>
      </c>
      <c r="G147" s="2" t="str">
        <f t="shared" si="8"/>
        <v>Pass</v>
      </c>
      <c r="Y147" s="2">
        <v>132</v>
      </c>
      <c r="Z147" s="2">
        <v>0.312</v>
      </c>
      <c r="AA147" s="2">
        <v>0.32869999999999999</v>
      </c>
      <c r="AB147" s="2">
        <v>63.7789</v>
      </c>
    </row>
    <row r="148" spans="2:28" x14ac:dyDescent="0.4">
      <c r="B148" s="11">
        <v>131</v>
      </c>
      <c r="C148" s="16">
        <f t="shared" si="9"/>
        <v>55.282778237741383</v>
      </c>
      <c r="D148" s="17">
        <f t="shared" si="11"/>
        <v>61.42530915304598</v>
      </c>
      <c r="E148" s="17">
        <f t="shared" si="10"/>
        <v>67.567840068350577</v>
      </c>
      <c r="F148" s="2">
        <v>62.665599999999998</v>
      </c>
      <c r="G148" s="2" t="str">
        <f t="shared" si="8"/>
        <v>Pass</v>
      </c>
      <c r="Y148" s="2">
        <v>133</v>
      </c>
      <c r="Z148" s="2">
        <v>0.31190000000000001</v>
      </c>
      <c r="AA148" s="2">
        <v>0.32869999999999999</v>
      </c>
      <c r="AB148" s="2">
        <v>64.599100000000007</v>
      </c>
    </row>
    <row r="149" spans="2:28" x14ac:dyDescent="0.4">
      <c r="B149" s="11">
        <v>132</v>
      </c>
      <c r="C149" s="16">
        <f t="shared" si="9"/>
        <v>56.128451785982755</v>
      </c>
      <c r="D149" s="17">
        <f t="shared" si="11"/>
        <v>62.364946428869729</v>
      </c>
      <c r="E149" s="17">
        <f t="shared" si="10"/>
        <v>68.601441071756696</v>
      </c>
      <c r="F149" s="2">
        <v>63.7789</v>
      </c>
      <c r="G149" s="2" t="str">
        <f t="shared" si="8"/>
        <v>Pass</v>
      </c>
      <c r="Y149" s="2">
        <v>134</v>
      </c>
      <c r="Z149" s="2">
        <v>0.31169999999999998</v>
      </c>
      <c r="AA149" s="2">
        <v>0.33</v>
      </c>
      <c r="AB149" s="2">
        <v>65.241799999999998</v>
      </c>
    </row>
    <row r="150" spans="2:28" x14ac:dyDescent="0.4">
      <c r="B150" s="11">
        <v>133</v>
      </c>
      <c r="C150" s="16">
        <f t="shared" si="9"/>
        <v>56.980544561905802</v>
      </c>
      <c r="D150" s="17">
        <f t="shared" si="11"/>
        <v>63.311716179895335</v>
      </c>
      <c r="E150" s="17">
        <f t="shared" si="10"/>
        <v>69.642887797884867</v>
      </c>
      <c r="F150" s="2">
        <v>64.599100000000007</v>
      </c>
      <c r="G150" s="2" t="str">
        <f t="shared" si="8"/>
        <v>Pass</v>
      </c>
      <c r="Y150" s="2">
        <v>135</v>
      </c>
      <c r="Z150" s="2">
        <v>0.31190000000000001</v>
      </c>
      <c r="AA150" s="2">
        <v>0.32850000000000001</v>
      </c>
      <c r="AB150" s="2">
        <v>65.631299999999996</v>
      </c>
    </row>
    <row r="151" spans="2:28" x14ac:dyDescent="0.4">
      <c r="B151" s="11">
        <v>134</v>
      </c>
      <c r="C151" s="16">
        <f t="shared" si="9"/>
        <v>57.839056565510504</v>
      </c>
      <c r="D151" s="17">
        <f t="shared" si="11"/>
        <v>64.265618406122783</v>
      </c>
      <c r="E151" s="17">
        <f t="shared" si="10"/>
        <v>70.692180246735063</v>
      </c>
      <c r="F151" s="2">
        <v>65.241799999999998</v>
      </c>
      <c r="G151" s="2" t="str">
        <f t="shared" si="8"/>
        <v>Pass</v>
      </c>
      <c r="Y151" s="2">
        <v>136</v>
      </c>
      <c r="Z151" s="2">
        <v>0.31180000000000002</v>
      </c>
      <c r="AA151" s="2">
        <v>0.32840000000000003</v>
      </c>
      <c r="AB151" s="2">
        <v>66.915800000000004</v>
      </c>
    </row>
    <row r="152" spans="2:28" x14ac:dyDescent="0.4">
      <c r="B152" s="11">
        <v>135</v>
      </c>
      <c r="C152" s="16">
        <f t="shared" si="9"/>
        <v>58.703987796796874</v>
      </c>
      <c r="D152" s="17">
        <f t="shared" si="11"/>
        <v>65.226653107552082</v>
      </c>
      <c r="E152" s="17">
        <f t="shared" si="10"/>
        <v>71.749318418307297</v>
      </c>
      <c r="F152" s="2">
        <v>65.631299999999996</v>
      </c>
      <c r="G152" s="2" t="str">
        <f t="shared" si="8"/>
        <v>Pass</v>
      </c>
      <c r="Y152" s="2">
        <v>137</v>
      </c>
      <c r="Z152" s="2">
        <v>0.31180000000000002</v>
      </c>
      <c r="AA152" s="2">
        <v>0.32850000000000001</v>
      </c>
      <c r="AB152" s="2">
        <v>67.8703</v>
      </c>
    </row>
    <row r="153" spans="2:28" x14ac:dyDescent="0.4">
      <c r="B153" s="11">
        <v>136</v>
      </c>
      <c r="C153" s="16">
        <f t="shared" si="9"/>
        <v>59.575338255764891</v>
      </c>
      <c r="D153" s="17">
        <f t="shared" si="11"/>
        <v>66.194820284183209</v>
      </c>
      <c r="E153" s="17">
        <f t="shared" si="10"/>
        <v>72.814302312601527</v>
      </c>
      <c r="F153" s="2">
        <v>66.915800000000004</v>
      </c>
      <c r="G153" s="2" t="str">
        <f t="shared" si="8"/>
        <v>Pass</v>
      </c>
      <c r="Y153" s="2">
        <v>138</v>
      </c>
      <c r="Z153" s="2">
        <v>0.31180000000000002</v>
      </c>
      <c r="AA153" s="2">
        <v>0.32850000000000001</v>
      </c>
      <c r="AB153" s="2">
        <v>69.128200000000007</v>
      </c>
    </row>
    <row r="154" spans="2:28" x14ac:dyDescent="0.4">
      <c r="B154" s="11">
        <v>137</v>
      </c>
      <c r="C154" s="16">
        <f t="shared" si="9"/>
        <v>60.453107942414576</v>
      </c>
      <c r="D154" s="17">
        <f t="shared" si="11"/>
        <v>67.170119936016192</v>
      </c>
      <c r="E154" s="17">
        <f t="shared" si="10"/>
        <v>73.887131929617809</v>
      </c>
      <c r="F154" s="2">
        <v>67.8703</v>
      </c>
      <c r="G154" s="2" t="str">
        <f t="shared" si="8"/>
        <v>Pass</v>
      </c>
      <c r="Y154" s="2">
        <v>139</v>
      </c>
      <c r="Z154" s="2">
        <v>0.31190000000000001</v>
      </c>
      <c r="AA154" s="2">
        <v>0.32869999999999999</v>
      </c>
      <c r="AB154" s="2">
        <v>70.054199999999994</v>
      </c>
    </row>
    <row r="155" spans="2:28" x14ac:dyDescent="0.4">
      <c r="B155" s="11">
        <v>138</v>
      </c>
      <c r="C155" s="16">
        <f t="shared" si="9"/>
        <v>61.337296856745951</v>
      </c>
      <c r="D155" s="17">
        <f t="shared" si="11"/>
        <v>68.152552063051061</v>
      </c>
      <c r="E155" s="17">
        <f t="shared" si="10"/>
        <v>74.967807269356172</v>
      </c>
      <c r="F155" s="2">
        <v>69.128200000000007</v>
      </c>
      <c r="G155" s="2" t="str">
        <f t="shared" si="8"/>
        <v>Pass</v>
      </c>
      <c r="Y155" s="2">
        <v>140</v>
      </c>
      <c r="Z155" s="2">
        <v>0.31180000000000002</v>
      </c>
      <c r="AA155" s="2">
        <v>0.32840000000000003</v>
      </c>
      <c r="AB155" s="2">
        <v>71.262200000000007</v>
      </c>
    </row>
    <row r="156" spans="2:28" x14ac:dyDescent="0.4">
      <c r="B156" s="11">
        <v>139</v>
      </c>
      <c r="C156" s="16">
        <f t="shared" si="9"/>
        <v>62.227904998758959</v>
      </c>
      <c r="D156" s="17">
        <f t="shared" si="11"/>
        <v>69.14211666528773</v>
      </c>
      <c r="E156" s="17">
        <f t="shared" si="10"/>
        <v>76.056328331816502</v>
      </c>
      <c r="F156" s="2">
        <v>70.054199999999994</v>
      </c>
      <c r="G156" s="2" t="str">
        <f t="shared" si="8"/>
        <v>Pass</v>
      </c>
      <c r="Y156" s="2">
        <v>141</v>
      </c>
      <c r="Z156" s="2">
        <v>0.31190000000000001</v>
      </c>
      <c r="AA156" s="2">
        <v>0.32840000000000003</v>
      </c>
      <c r="AB156" s="2">
        <v>72.156599999999997</v>
      </c>
    </row>
    <row r="157" spans="2:28" x14ac:dyDescent="0.4">
      <c r="B157" s="11">
        <v>140</v>
      </c>
      <c r="C157" s="16">
        <f t="shared" si="9"/>
        <v>63.124932368453614</v>
      </c>
      <c r="D157" s="17">
        <f t="shared" si="11"/>
        <v>70.138813742726242</v>
      </c>
      <c r="E157" s="17">
        <f t="shared" si="10"/>
        <v>77.152695116998871</v>
      </c>
      <c r="F157" s="2">
        <v>71.262200000000007</v>
      </c>
      <c r="G157" s="2" t="str">
        <f t="shared" si="8"/>
        <v>Pass</v>
      </c>
      <c r="Y157" s="2">
        <v>142</v>
      </c>
      <c r="Z157" s="2">
        <v>0.31190000000000001</v>
      </c>
      <c r="AA157" s="2">
        <v>0.32840000000000003</v>
      </c>
      <c r="AB157" s="2">
        <v>73.119500000000002</v>
      </c>
    </row>
    <row r="158" spans="2:28" x14ac:dyDescent="0.4">
      <c r="B158" s="11">
        <v>141</v>
      </c>
      <c r="C158" s="16">
        <f t="shared" si="9"/>
        <v>64.028378965829944</v>
      </c>
      <c r="D158" s="17">
        <f t="shared" si="11"/>
        <v>71.142643295366611</v>
      </c>
      <c r="E158" s="17">
        <f t="shared" si="10"/>
        <v>78.256907624903278</v>
      </c>
      <c r="F158" s="2">
        <v>72.156599999999997</v>
      </c>
      <c r="G158" s="2" t="str">
        <f t="shared" si="8"/>
        <v>Pass</v>
      </c>
      <c r="Y158" s="2">
        <v>143</v>
      </c>
      <c r="Z158" s="2">
        <v>0.31169999999999998</v>
      </c>
      <c r="AA158" s="2">
        <v>0.32819999999999999</v>
      </c>
      <c r="AB158" s="2">
        <v>74.527900000000002</v>
      </c>
    </row>
    <row r="159" spans="2:28" x14ac:dyDescent="0.4">
      <c r="B159" s="11">
        <v>142</v>
      </c>
      <c r="C159" s="16">
        <f t="shared" si="9"/>
        <v>64.938244790887936</v>
      </c>
      <c r="D159" s="17">
        <f t="shared" si="11"/>
        <v>72.153605323208822</v>
      </c>
      <c r="E159" s="17">
        <f t="shared" si="10"/>
        <v>79.368965855529709</v>
      </c>
      <c r="F159" s="2">
        <v>73.119500000000002</v>
      </c>
      <c r="G159" s="2" t="str">
        <f t="shared" si="8"/>
        <v>Pass</v>
      </c>
      <c r="Y159" s="2">
        <v>144</v>
      </c>
      <c r="Z159" s="2">
        <v>0.31290000000000001</v>
      </c>
      <c r="AA159" s="2">
        <v>0.33029999999999998</v>
      </c>
      <c r="AB159" s="2">
        <v>75.543300000000002</v>
      </c>
    </row>
    <row r="160" spans="2:28" x14ac:dyDescent="0.4">
      <c r="B160" s="11">
        <v>143</v>
      </c>
      <c r="C160" s="16">
        <f t="shared" si="9"/>
        <v>65.854529843627603</v>
      </c>
      <c r="D160" s="17">
        <f t="shared" si="11"/>
        <v>73.17169982625289</v>
      </c>
      <c r="E160" s="17">
        <f t="shared" si="10"/>
        <v>80.488869808878178</v>
      </c>
      <c r="F160" s="2">
        <v>74.527900000000002</v>
      </c>
      <c r="G160" s="2" t="str">
        <f t="shared" si="8"/>
        <v>Pass</v>
      </c>
      <c r="Y160" s="2">
        <v>145</v>
      </c>
      <c r="Z160" s="2">
        <v>0.31290000000000001</v>
      </c>
      <c r="AA160" s="2">
        <v>0.3301</v>
      </c>
      <c r="AB160" s="2">
        <v>76.8874</v>
      </c>
    </row>
    <row r="161" spans="2:28" x14ac:dyDescent="0.4">
      <c r="B161" s="11">
        <v>144</v>
      </c>
      <c r="C161" s="16">
        <f t="shared" si="9"/>
        <v>66.777234124048903</v>
      </c>
      <c r="D161" s="17">
        <f t="shared" si="11"/>
        <v>74.196926804498787</v>
      </c>
      <c r="E161" s="17">
        <f t="shared" si="10"/>
        <v>81.616619484948671</v>
      </c>
      <c r="F161" s="2">
        <v>75.543300000000002</v>
      </c>
      <c r="G161" s="2" t="str">
        <f t="shared" si="8"/>
        <v>Pass</v>
      </c>
      <c r="Y161" s="2">
        <v>146</v>
      </c>
      <c r="Z161" s="2">
        <v>0.31309999999999999</v>
      </c>
      <c r="AA161" s="2">
        <v>0.33019999999999999</v>
      </c>
      <c r="AB161" s="2">
        <v>78.021699999999996</v>
      </c>
    </row>
    <row r="162" spans="2:28" x14ac:dyDescent="0.4">
      <c r="B162" s="11">
        <v>145</v>
      </c>
      <c r="C162" s="16">
        <f t="shared" si="9"/>
        <v>67.706357632151878</v>
      </c>
      <c r="D162" s="17">
        <f t="shared" si="11"/>
        <v>75.229286257946526</v>
      </c>
      <c r="E162" s="17">
        <f t="shared" si="10"/>
        <v>82.752214883741175</v>
      </c>
      <c r="F162" s="2">
        <v>76.8874</v>
      </c>
      <c r="G162" s="2" t="str">
        <f t="shared" si="8"/>
        <v>Pass</v>
      </c>
      <c r="Y162" s="2">
        <v>147</v>
      </c>
      <c r="Z162" s="2">
        <v>0.31180000000000002</v>
      </c>
      <c r="AA162" s="2">
        <v>0.32829999999999998</v>
      </c>
      <c r="AB162" s="2">
        <v>78.039699999999996</v>
      </c>
    </row>
    <row r="163" spans="2:28" x14ac:dyDescent="0.4">
      <c r="B163" s="11">
        <v>146</v>
      </c>
      <c r="C163" s="16">
        <f t="shared" si="9"/>
        <v>68.641900367936543</v>
      </c>
      <c r="D163" s="17">
        <f t="shared" si="11"/>
        <v>76.268778186596165</v>
      </c>
      <c r="E163" s="17">
        <f t="shared" si="10"/>
        <v>83.895656005255788</v>
      </c>
      <c r="F163" s="2">
        <v>78.021699999999996</v>
      </c>
      <c r="G163" s="2" t="str">
        <f t="shared" si="8"/>
        <v>Pass</v>
      </c>
      <c r="Y163" s="2">
        <v>148</v>
      </c>
      <c r="Z163" s="2">
        <v>0.31219999999999998</v>
      </c>
      <c r="AA163" s="2">
        <v>0.32819999999999999</v>
      </c>
      <c r="AB163" s="2">
        <v>79.456800000000001</v>
      </c>
    </row>
    <row r="164" spans="2:28" x14ac:dyDescent="0.4">
      <c r="B164" s="11">
        <v>147</v>
      </c>
      <c r="C164" s="16">
        <f t="shared" si="9"/>
        <v>69.583862331402827</v>
      </c>
      <c r="D164" s="17">
        <f t="shared" si="11"/>
        <v>77.31540259044759</v>
      </c>
      <c r="E164" s="17">
        <f t="shared" si="10"/>
        <v>85.046942849492353</v>
      </c>
      <c r="F164" s="2">
        <v>78.039699999999996</v>
      </c>
      <c r="G164" s="2" t="str">
        <f t="shared" si="8"/>
        <v>Pass</v>
      </c>
      <c r="Y164" s="2">
        <v>149</v>
      </c>
      <c r="Z164" s="2">
        <v>0.31219999999999998</v>
      </c>
      <c r="AA164" s="2">
        <v>0.32819999999999999</v>
      </c>
      <c r="AB164" s="2">
        <v>80.455699999999993</v>
      </c>
    </row>
    <row r="165" spans="2:28" x14ac:dyDescent="0.4">
      <c r="B165" s="11">
        <v>148</v>
      </c>
      <c r="C165" s="16">
        <f t="shared" si="9"/>
        <v>70.532243522550786</v>
      </c>
      <c r="D165" s="17">
        <f t="shared" si="11"/>
        <v>78.369159469500872</v>
      </c>
      <c r="E165" s="17">
        <f t="shared" si="10"/>
        <v>86.206075416450958</v>
      </c>
      <c r="F165" s="2">
        <v>79.456800000000001</v>
      </c>
      <c r="G165" s="2" t="str">
        <f t="shared" si="8"/>
        <v>Pass</v>
      </c>
      <c r="Y165" s="2">
        <v>150</v>
      </c>
      <c r="Z165" s="2">
        <v>0.31219999999999998</v>
      </c>
      <c r="AA165" s="2">
        <v>0.32829999999999998</v>
      </c>
      <c r="AB165" s="2">
        <v>81.457899999999995</v>
      </c>
    </row>
    <row r="166" spans="2:28" x14ac:dyDescent="0.4">
      <c r="B166" s="11">
        <v>149</v>
      </c>
      <c r="C166" s="16">
        <f t="shared" si="9"/>
        <v>71.487043941380392</v>
      </c>
      <c r="D166" s="17">
        <f t="shared" si="11"/>
        <v>79.430048823755996</v>
      </c>
      <c r="E166" s="17">
        <f t="shared" si="10"/>
        <v>87.3730537061316</v>
      </c>
      <c r="F166" s="2">
        <v>80.455699999999993</v>
      </c>
      <c r="G166" s="2" t="str">
        <f t="shared" si="8"/>
        <v>Pass</v>
      </c>
      <c r="Y166" s="2">
        <v>151</v>
      </c>
      <c r="Z166" s="2">
        <v>0.31209999999999999</v>
      </c>
      <c r="AA166" s="2">
        <v>0.32819999999999999</v>
      </c>
      <c r="AB166" s="2">
        <v>82.704599999999999</v>
      </c>
    </row>
    <row r="167" spans="2:28" x14ac:dyDescent="0.4">
      <c r="B167" s="11">
        <v>150</v>
      </c>
      <c r="C167" s="16">
        <f t="shared" si="9"/>
        <v>72.448263587891674</v>
      </c>
      <c r="D167" s="17">
        <f t="shared" si="11"/>
        <v>80.498070653212977</v>
      </c>
      <c r="E167" s="17">
        <f t="shared" si="10"/>
        <v>88.547877718534281</v>
      </c>
      <c r="F167" s="2">
        <v>81.457899999999995</v>
      </c>
      <c r="G167" s="2" t="str">
        <f t="shared" si="8"/>
        <v>Pass</v>
      </c>
      <c r="Y167" s="2">
        <v>152</v>
      </c>
      <c r="Z167" s="2">
        <v>0.31309999999999999</v>
      </c>
      <c r="AA167" s="2">
        <v>0.32990000000000003</v>
      </c>
      <c r="AB167" s="2">
        <v>83.706599999999995</v>
      </c>
    </row>
    <row r="168" spans="2:28" x14ac:dyDescent="0.4">
      <c r="B168" s="11">
        <v>151</v>
      </c>
      <c r="C168" s="16">
        <f t="shared" si="9"/>
        <v>73.415902462084617</v>
      </c>
      <c r="D168" s="17">
        <f t="shared" si="11"/>
        <v>81.573224957871801</v>
      </c>
      <c r="E168" s="17">
        <f t="shared" si="10"/>
        <v>89.730547453658986</v>
      </c>
      <c r="F168" s="2">
        <v>82.704599999999999</v>
      </c>
      <c r="G168" s="2" t="str">
        <f t="shared" si="8"/>
        <v>Pass</v>
      </c>
      <c r="Y168" s="2">
        <v>153</v>
      </c>
      <c r="Z168" s="2">
        <v>0.31259999999999999</v>
      </c>
      <c r="AA168" s="2">
        <v>0.32979999999999998</v>
      </c>
      <c r="AB168" s="2">
        <v>85.138499999999993</v>
      </c>
    </row>
    <row r="169" spans="2:28" x14ac:dyDescent="0.4">
      <c r="B169" s="11">
        <v>152</v>
      </c>
      <c r="C169" s="16">
        <f t="shared" si="9"/>
        <v>74.389960563959221</v>
      </c>
      <c r="D169" s="17">
        <f t="shared" si="11"/>
        <v>82.655511737732468</v>
      </c>
      <c r="E169" s="17">
        <f t="shared" si="10"/>
        <v>90.921062911505715</v>
      </c>
      <c r="F169" s="2">
        <v>83.706599999999995</v>
      </c>
      <c r="G169" s="2" t="str">
        <f t="shared" si="8"/>
        <v>Pass</v>
      </c>
      <c r="Y169" s="2">
        <v>154</v>
      </c>
      <c r="Z169" s="2">
        <v>0.31259999999999999</v>
      </c>
      <c r="AA169" s="2">
        <v>0.32979999999999998</v>
      </c>
      <c r="AB169" s="2">
        <v>86.279300000000006</v>
      </c>
    </row>
    <row r="170" spans="2:28" x14ac:dyDescent="0.4">
      <c r="B170" s="11">
        <v>153</v>
      </c>
      <c r="C170" s="16">
        <f t="shared" si="9"/>
        <v>75.370437893515486</v>
      </c>
      <c r="D170" s="17">
        <f t="shared" si="11"/>
        <v>83.744930992794977</v>
      </c>
      <c r="E170" s="17">
        <f t="shared" si="10"/>
        <v>92.119424092074468</v>
      </c>
      <c r="F170" s="2">
        <v>85.138499999999993</v>
      </c>
      <c r="G170" s="2" t="str">
        <f t="shared" si="8"/>
        <v>Pass</v>
      </c>
      <c r="Y170" s="2">
        <v>155</v>
      </c>
      <c r="Z170" s="2">
        <v>0.31259999999999999</v>
      </c>
      <c r="AA170" s="2">
        <v>0.32979999999999998</v>
      </c>
      <c r="AB170" s="2">
        <v>87.351699999999994</v>
      </c>
    </row>
    <row r="171" spans="2:28" x14ac:dyDescent="0.4">
      <c r="B171" s="11">
        <v>154</v>
      </c>
      <c r="C171" s="16">
        <f t="shared" si="9"/>
        <v>76.357334450753427</v>
      </c>
      <c r="D171" s="17">
        <f t="shared" si="11"/>
        <v>84.841482723059357</v>
      </c>
      <c r="E171" s="17">
        <f t="shared" si="10"/>
        <v>93.325630995365287</v>
      </c>
      <c r="F171" s="2">
        <v>86.279300000000006</v>
      </c>
      <c r="G171" s="2" t="str">
        <f t="shared" si="8"/>
        <v>Pass</v>
      </c>
      <c r="Y171" s="2">
        <v>156</v>
      </c>
      <c r="Z171" s="2">
        <v>0.31259999999999999</v>
      </c>
      <c r="AA171" s="2">
        <v>0.32979999999999998</v>
      </c>
      <c r="AB171" s="2">
        <v>88.756799999999998</v>
      </c>
    </row>
    <row r="172" spans="2:28" x14ac:dyDescent="0.4">
      <c r="B172" s="11">
        <v>155</v>
      </c>
      <c r="C172" s="16">
        <f t="shared" si="9"/>
        <v>77.350650235673015</v>
      </c>
      <c r="D172" s="17">
        <f t="shared" si="11"/>
        <v>85.945166928525566</v>
      </c>
      <c r="E172" s="17">
        <f t="shared" si="10"/>
        <v>94.539683621378117</v>
      </c>
      <c r="F172" s="2">
        <v>87.351699999999994</v>
      </c>
      <c r="G172" s="2" t="str">
        <f t="shared" si="8"/>
        <v>Pass</v>
      </c>
      <c r="Y172" s="2">
        <v>157</v>
      </c>
      <c r="Z172" s="2">
        <v>0.31219999999999998</v>
      </c>
      <c r="AA172" s="2">
        <v>0.3271</v>
      </c>
      <c r="AB172" s="2">
        <v>89.202200000000005</v>
      </c>
    </row>
    <row r="173" spans="2:28" x14ac:dyDescent="0.4">
      <c r="B173" s="11">
        <v>156</v>
      </c>
      <c r="C173" s="16">
        <f t="shared" si="9"/>
        <v>78.35038524827425</v>
      </c>
      <c r="D173" s="17">
        <f t="shared" si="11"/>
        <v>87.055983609193603</v>
      </c>
      <c r="E173" s="17">
        <f t="shared" si="10"/>
        <v>95.761581970112957</v>
      </c>
      <c r="F173" s="2">
        <v>88.756799999999998</v>
      </c>
      <c r="G173" s="2" t="str">
        <f t="shared" si="8"/>
        <v>Pass</v>
      </c>
      <c r="Y173" s="2">
        <v>158</v>
      </c>
      <c r="Z173" s="2">
        <v>0.312</v>
      </c>
      <c r="AA173" s="2">
        <v>0.32969999999999999</v>
      </c>
      <c r="AB173" s="2">
        <v>89.661000000000001</v>
      </c>
    </row>
    <row r="174" spans="2:28" x14ac:dyDescent="0.4">
      <c r="B174" s="11">
        <v>157</v>
      </c>
      <c r="C174" s="16">
        <f t="shared" si="9"/>
        <v>79.356539488557146</v>
      </c>
      <c r="D174" s="17">
        <f t="shared" si="11"/>
        <v>88.173932765063498</v>
      </c>
      <c r="E174" s="17">
        <f t="shared" si="10"/>
        <v>96.991326041569849</v>
      </c>
      <c r="F174" s="2">
        <v>89.202200000000005</v>
      </c>
      <c r="G174" s="2" t="str">
        <f t="shared" si="8"/>
        <v>Pass</v>
      </c>
      <c r="Y174" s="2">
        <v>159</v>
      </c>
      <c r="Z174" s="2">
        <v>0.3125</v>
      </c>
      <c r="AA174" s="2">
        <v>0.32900000000000001</v>
      </c>
      <c r="AB174" s="2">
        <v>91.323599999999999</v>
      </c>
    </row>
    <row r="175" spans="2:28" x14ac:dyDescent="0.4">
      <c r="B175" s="11">
        <v>158</v>
      </c>
      <c r="C175" s="16">
        <f t="shared" si="9"/>
        <v>80.369112956521718</v>
      </c>
      <c r="D175" s="17">
        <f t="shared" si="11"/>
        <v>89.299014396135235</v>
      </c>
      <c r="E175" s="17">
        <f t="shared" si="10"/>
        <v>98.228915835748751</v>
      </c>
      <c r="F175" s="2">
        <v>89.661000000000001</v>
      </c>
      <c r="G175" s="2" t="str">
        <f t="shared" si="8"/>
        <v>Pass</v>
      </c>
      <c r="Y175" s="2">
        <v>160</v>
      </c>
      <c r="Z175" s="2">
        <v>0.3125</v>
      </c>
      <c r="AA175" s="2">
        <v>0.32890000000000003</v>
      </c>
      <c r="AB175" s="2">
        <v>92.472499999999997</v>
      </c>
    </row>
    <row r="176" spans="2:28" x14ac:dyDescent="0.4">
      <c r="B176" s="11">
        <v>159</v>
      </c>
      <c r="C176" s="16">
        <f t="shared" si="9"/>
        <v>81.388105652167951</v>
      </c>
      <c r="D176" s="17">
        <f t="shared" si="11"/>
        <v>90.431228502408828</v>
      </c>
      <c r="E176" s="17">
        <f t="shared" si="10"/>
        <v>99.474351352649705</v>
      </c>
      <c r="F176" s="2">
        <v>91.323599999999999</v>
      </c>
      <c r="G176" s="2" t="str">
        <f t="shared" si="8"/>
        <v>Pass</v>
      </c>
      <c r="Y176" s="2">
        <v>161</v>
      </c>
      <c r="Z176" s="2">
        <v>0.31230000000000002</v>
      </c>
      <c r="AA176" s="2">
        <v>0.32879999999999998</v>
      </c>
      <c r="AB176" s="2">
        <v>94.006100000000004</v>
      </c>
    </row>
    <row r="177" spans="2:28" x14ac:dyDescent="0.4">
      <c r="B177" s="11">
        <v>160</v>
      </c>
      <c r="C177" s="16">
        <f t="shared" si="9"/>
        <v>82.413517575495831</v>
      </c>
      <c r="D177" s="17">
        <f t="shared" si="11"/>
        <v>91.57057508388425</v>
      </c>
      <c r="E177" s="17">
        <f t="shared" si="10"/>
        <v>100.72763259227267</v>
      </c>
      <c r="F177" s="2">
        <v>92.472499999999997</v>
      </c>
      <c r="G177" s="2" t="str">
        <f t="shared" si="8"/>
        <v>Pass</v>
      </c>
      <c r="Y177" s="2">
        <v>162</v>
      </c>
      <c r="Z177" s="2">
        <v>0.31230000000000002</v>
      </c>
      <c r="AA177" s="2">
        <v>0.32879999999999998</v>
      </c>
      <c r="AB177" s="2">
        <v>95.168199999999999</v>
      </c>
    </row>
    <row r="178" spans="2:28" x14ac:dyDescent="0.4">
      <c r="B178" s="11">
        <v>161</v>
      </c>
      <c r="C178" s="16">
        <f t="shared" si="9"/>
        <v>83.445348726505372</v>
      </c>
      <c r="D178" s="17">
        <f t="shared" si="11"/>
        <v>92.71705414056153</v>
      </c>
      <c r="E178" s="17">
        <f t="shared" si="10"/>
        <v>101.98875955461769</v>
      </c>
      <c r="F178" s="2">
        <v>94.006100000000004</v>
      </c>
      <c r="G178" s="2" t="str">
        <f t="shared" si="8"/>
        <v>Pass</v>
      </c>
      <c r="Y178" s="2">
        <v>163</v>
      </c>
      <c r="Z178" s="2">
        <v>0.31330000000000002</v>
      </c>
      <c r="AA178" s="2">
        <v>0.33040000000000003</v>
      </c>
      <c r="AB178" s="2">
        <v>96.242900000000006</v>
      </c>
    </row>
    <row r="179" spans="2:28" x14ac:dyDescent="0.4">
      <c r="B179" s="11">
        <v>162</v>
      </c>
      <c r="C179" s="16">
        <f t="shared" si="9"/>
        <v>84.483599105196618</v>
      </c>
      <c r="D179" s="17">
        <f t="shared" si="11"/>
        <v>93.87066567244068</v>
      </c>
      <c r="E179" s="17">
        <f t="shared" si="10"/>
        <v>103.25773223968474</v>
      </c>
      <c r="F179" s="2">
        <v>95.168199999999999</v>
      </c>
      <c r="G179" s="2" t="str">
        <f t="shared" si="8"/>
        <v>Pass</v>
      </c>
      <c r="Y179" s="2">
        <v>164</v>
      </c>
      <c r="Z179" s="2">
        <v>0.313</v>
      </c>
      <c r="AA179" s="2">
        <v>0.32850000000000001</v>
      </c>
      <c r="AB179" s="2">
        <v>96.665300000000002</v>
      </c>
    </row>
    <row r="180" spans="2:28" x14ac:dyDescent="0.4">
      <c r="B180" s="11">
        <v>163</v>
      </c>
      <c r="C180" s="16">
        <f t="shared" si="9"/>
        <v>85.528268711569481</v>
      </c>
      <c r="D180" s="17">
        <f t="shared" si="11"/>
        <v>95.031409679521644</v>
      </c>
      <c r="E180" s="17">
        <f t="shared" si="10"/>
        <v>104.53455064747381</v>
      </c>
      <c r="F180" s="2">
        <v>96.242900000000006</v>
      </c>
      <c r="G180" s="2" t="str">
        <f t="shared" si="8"/>
        <v>Pass</v>
      </c>
      <c r="Y180" s="2">
        <v>165</v>
      </c>
      <c r="Z180" s="2">
        <v>0.313</v>
      </c>
      <c r="AA180" s="2">
        <v>0.32840000000000003</v>
      </c>
      <c r="AB180" s="2">
        <v>98.220299999999995</v>
      </c>
    </row>
    <row r="181" spans="2:28" x14ac:dyDescent="0.4">
      <c r="B181" s="11">
        <v>164</v>
      </c>
      <c r="C181" s="16">
        <f t="shared" si="9"/>
        <v>86.579357545624006</v>
      </c>
      <c r="D181" s="17">
        <f t="shared" si="11"/>
        <v>96.199286161804451</v>
      </c>
      <c r="E181" s="17">
        <f t="shared" si="10"/>
        <v>105.8192147779849</v>
      </c>
      <c r="F181" s="2">
        <v>96.665300000000002</v>
      </c>
      <c r="G181" s="2" t="str">
        <f t="shared" si="8"/>
        <v>Pass</v>
      </c>
      <c r="Y181" s="2">
        <v>166</v>
      </c>
      <c r="Z181" s="2">
        <v>0.31230000000000002</v>
      </c>
      <c r="AA181" s="2">
        <v>0.32869999999999999</v>
      </c>
      <c r="AB181" s="2">
        <v>98.958200000000005</v>
      </c>
    </row>
    <row r="182" spans="2:28" x14ac:dyDescent="0.4">
      <c r="B182" s="11">
        <v>165</v>
      </c>
      <c r="C182" s="16">
        <f t="shared" si="9"/>
        <v>87.636865607360207</v>
      </c>
      <c r="D182" s="17">
        <f t="shared" si="11"/>
        <v>97.374295119289116</v>
      </c>
      <c r="E182" s="17">
        <f t="shared" si="10"/>
        <v>107.11172463121802</v>
      </c>
      <c r="F182" s="2">
        <v>98.220299999999995</v>
      </c>
      <c r="G182" s="2" t="str">
        <f t="shared" si="8"/>
        <v>Pass</v>
      </c>
      <c r="Y182" s="2">
        <v>167</v>
      </c>
      <c r="Z182" s="2">
        <v>0.31219999999999998</v>
      </c>
      <c r="AA182" s="2">
        <v>0.3286</v>
      </c>
      <c r="AB182" s="2">
        <v>100.5179</v>
      </c>
    </row>
    <row r="183" spans="2:28" x14ac:dyDescent="0.4">
      <c r="B183" s="11">
        <v>166</v>
      </c>
      <c r="C183" s="16">
        <f t="shared" si="9"/>
        <v>88.70079289677804</v>
      </c>
      <c r="D183" s="17">
        <f t="shared" si="11"/>
        <v>98.556436551975608</v>
      </c>
      <c r="E183" s="17">
        <f t="shared" si="10"/>
        <v>108.41208020717318</v>
      </c>
      <c r="F183" s="2">
        <v>98.958200000000005</v>
      </c>
      <c r="G183" s="2" t="str">
        <f t="shared" si="8"/>
        <v>Pass</v>
      </c>
      <c r="Y183" s="2">
        <v>168</v>
      </c>
      <c r="Z183" s="2">
        <v>0.31219999999999998</v>
      </c>
      <c r="AA183" s="2">
        <v>0.32869999999999999</v>
      </c>
      <c r="AB183" s="2">
        <v>101.5459</v>
      </c>
    </row>
    <row r="184" spans="2:28" x14ac:dyDescent="0.4">
      <c r="B184" s="11">
        <v>167</v>
      </c>
      <c r="C184" s="16">
        <f t="shared" si="9"/>
        <v>89.771139413877563</v>
      </c>
      <c r="D184" s="17">
        <f t="shared" si="11"/>
        <v>99.745710459863957</v>
      </c>
      <c r="E184" s="17">
        <f t="shared" si="10"/>
        <v>109.72028150585035</v>
      </c>
      <c r="F184" s="2">
        <v>100.5179</v>
      </c>
      <c r="G184" s="2" t="str">
        <f t="shared" si="8"/>
        <v>Pass</v>
      </c>
      <c r="Y184" s="2">
        <v>169</v>
      </c>
      <c r="Z184" s="2">
        <v>0.31319999999999998</v>
      </c>
      <c r="AA184" s="2">
        <v>0.33029999999999998</v>
      </c>
      <c r="AB184" s="2">
        <v>102.7401</v>
      </c>
    </row>
    <row r="185" spans="2:28" x14ac:dyDescent="0.4">
      <c r="B185" s="11">
        <v>168</v>
      </c>
      <c r="C185" s="16">
        <f t="shared" si="9"/>
        <v>90.847905158658733</v>
      </c>
      <c r="D185" s="17">
        <f t="shared" si="11"/>
        <v>100.94211684295415</v>
      </c>
      <c r="E185" s="17">
        <f t="shared" si="10"/>
        <v>111.03632852724957</v>
      </c>
      <c r="F185" s="2">
        <v>101.5459</v>
      </c>
      <c r="G185" s="2" t="str">
        <f t="shared" si="8"/>
        <v>Pass</v>
      </c>
      <c r="Y185" s="2">
        <v>170</v>
      </c>
      <c r="Z185" s="2">
        <v>0.31309999999999999</v>
      </c>
      <c r="AA185" s="2">
        <v>0.33019999999999999</v>
      </c>
      <c r="AB185" s="2">
        <v>104.3065</v>
      </c>
    </row>
    <row r="186" spans="2:28" x14ac:dyDescent="0.4">
      <c r="B186" s="11">
        <v>169</v>
      </c>
      <c r="C186" s="16">
        <f t="shared" si="9"/>
        <v>91.931090131121564</v>
      </c>
      <c r="D186" s="17">
        <f t="shared" si="11"/>
        <v>102.14565570124618</v>
      </c>
      <c r="E186" s="17">
        <f t="shared" si="10"/>
        <v>112.3602212713708</v>
      </c>
      <c r="F186" s="2">
        <v>102.7401</v>
      </c>
      <c r="G186" s="2" t="str">
        <f t="shared" si="8"/>
        <v>Pass</v>
      </c>
      <c r="Y186" s="2">
        <v>171</v>
      </c>
      <c r="Z186" s="2">
        <v>0.313</v>
      </c>
      <c r="AA186" s="2">
        <v>0.33019999999999999</v>
      </c>
      <c r="AB186" s="2">
        <v>105.53919999999999</v>
      </c>
    </row>
    <row r="187" spans="2:28" x14ac:dyDescent="0.4">
      <c r="B187" s="11">
        <v>170</v>
      </c>
      <c r="C187" s="16">
        <f t="shared" si="9"/>
        <v>93.0206943312661</v>
      </c>
      <c r="D187" s="17">
        <f t="shared" si="11"/>
        <v>103.3563270347401</v>
      </c>
      <c r="E187" s="17">
        <f t="shared" si="10"/>
        <v>113.69195973821411</v>
      </c>
      <c r="F187" s="2">
        <v>104.3065</v>
      </c>
      <c r="G187" s="2" t="str">
        <f t="shared" si="8"/>
        <v>Pass</v>
      </c>
      <c r="Y187" s="2">
        <v>172</v>
      </c>
      <c r="Z187" s="2">
        <v>0.31309999999999999</v>
      </c>
      <c r="AA187" s="2">
        <v>0.3301</v>
      </c>
      <c r="AB187" s="2">
        <v>107.0911</v>
      </c>
    </row>
    <row r="188" spans="2:28" x14ac:dyDescent="0.4">
      <c r="B188" s="11">
        <v>171</v>
      </c>
      <c r="C188" s="16">
        <f t="shared" si="9"/>
        <v>94.116717759092239</v>
      </c>
      <c r="D188" s="17">
        <f t="shared" si="11"/>
        <v>104.57413084343582</v>
      </c>
      <c r="E188" s="17">
        <f t="shared" si="10"/>
        <v>115.03154392777941</v>
      </c>
      <c r="F188" s="2">
        <v>105.53919999999999</v>
      </c>
      <c r="G188" s="2" t="str">
        <f t="shared" si="8"/>
        <v>Pass</v>
      </c>
      <c r="Y188" s="2">
        <v>173</v>
      </c>
      <c r="Z188" s="2">
        <v>0.31280000000000002</v>
      </c>
      <c r="AA188" s="2">
        <v>0.3281</v>
      </c>
      <c r="AB188" s="2">
        <v>107.49939999999999</v>
      </c>
    </row>
    <row r="189" spans="2:28" x14ac:dyDescent="0.4">
      <c r="B189" s="11">
        <v>172</v>
      </c>
      <c r="C189" s="16">
        <f t="shared" si="9"/>
        <v>95.219160414600054</v>
      </c>
      <c r="D189" s="17">
        <f t="shared" si="11"/>
        <v>105.7990671273334</v>
      </c>
      <c r="E189" s="17">
        <f t="shared" si="10"/>
        <v>116.37897384006675</v>
      </c>
      <c r="F189" s="2">
        <v>107.0911</v>
      </c>
      <c r="G189" s="2" t="str">
        <f t="shared" si="8"/>
        <v>Pass</v>
      </c>
      <c r="Y189" s="2">
        <v>174</v>
      </c>
      <c r="Z189" s="2">
        <v>0.31269999999999998</v>
      </c>
      <c r="AA189" s="2">
        <v>0.3281</v>
      </c>
      <c r="AB189" s="2">
        <v>108.723</v>
      </c>
    </row>
    <row r="190" spans="2:28" x14ac:dyDescent="0.4">
      <c r="B190" s="11">
        <v>173</v>
      </c>
      <c r="C190" s="16">
        <f t="shared" si="9"/>
        <v>96.328022297789545</v>
      </c>
      <c r="D190" s="17">
        <f t="shared" si="11"/>
        <v>107.03113588643282</v>
      </c>
      <c r="E190" s="17">
        <f t="shared" si="10"/>
        <v>117.7342494750761</v>
      </c>
      <c r="F190" s="2">
        <v>107.49939999999999</v>
      </c>
      <c r="G190" s="2" t="str">
        <f t="shared" si="8"/>
        <v>Pass</v>
      </c>
      <c r="Y190" s="2">
        <v>175</v>
      </c>
      <c r="Z190" s="2">
        <v>0.31259999999999999</v>
      </c>
      <c r="AA190" s="2">
        <v>0.32819999999999999</v>
      </c>
      <c r="AB190" s="2">
        <v>110.3527</v>
      </c>
    </row>
    <row r="191" spans="2:28" x14ac:dyDescent="0.4">
      <c r="B191" s="11">
        <v>174</v>
      </c>
      <c r="C191" s="16">
        <f t="shared" si="9"/>
        <v>97.443303408660682</v>
      </c>
      <c r="D191" s="17">
        <f t="shared" si="11"/>
        <v>108.2703371207341</v>
      </c>
      <c r="E191" s="17">
        <f t="shared" si="10"/>
        <v>119.09737083280751</v>
      </c>
      <c r="F191" s="2">
        <v>108.723</v>
      </c>
      <c r="G191" s="2" t="str">
        <f t="shared" si="8"/>
        <v>Pass</v>
      </c>
      <c r="Y191" s="2">
        <v>176</v>
      </c>
      <c r="Z191" s="2">
        <v>0.31269999999999998</v>
      </c>
      <c r="AA191" s="2">
        <v>0.3281</v>
      </c>
      <c r="AB191" s="2">
        <v>111.4268</v>
      </c>
    </row>
    <row r="192" spans="2:28" x14ac:dyDescent="0.4">
      <c r="B192" s="11">
        <v>175</v>
      </c>
      <c r="C192" s="16">
        <f t="shared" si="9"/>
        <v>98.565003747213481</v>
      </c>
      <c r="D192" s="17">
        <f t="shared" si="11"/>
        <v>109.5166708302372</v>
      </c>
      <c r="E192" s="17">
        <f t="shared" si="10"/>
        <v>120.46833791326092</v>
      </c>
      <c r="F192" s="2">
        <v>110.3527</v>
      </c>
      <c r="G192" s="2" t="str">
        <f t="shared" si="8"/>
        <v>Pass</v>
      </c>
      <c r="Y192" s="2">
        <v>177</v>
      </c>
      <c r="Z192" s="2">
        <v>0.31259999999999999</v>
      </c>
      <c r="AA192" s="2">
        <v>0.3281</v>
      </c>
      <c r="AB192" s="2">
        <v>112.6665</v>
      </c>
    </row>
    <row r="193" spans="2:28" x14ac:dyDescent="0.4">
      <c r="B193" s="11">
        <v>176</v>
      </c>
      <c r="C193" s="16">
        <f t="shared" si="9"/>
        <v>99.693123313447927</v>
      </c>
      <c r="D193" s="17">
        <f t="shared" si="11"/>
        <v>110.77013701494215</v>
      </c>
      <c r="E193" s="17">
        <f t="shared" si="10"/>
        <v>121.84715071643637</v>
      </c>
      <c r="F193" s="2">
        <v>111.4268</v>
      </c>
      <c r="G193" s="2" t="str">
        <f t="shared" si="8"/>
        <v>Pass</v>
      </c>
      <c r="Y193" s="2">
        <v>178</v>
      </c>
      <c r="Z193" s="2">
        <v>0.31259999999999999</v>
      </c>
      <c r="AA193" s="2">
        <v>0.32790000000000002</v>
      </c>
      <c r="AB193" s="2">
        <v>114.2848</v>
      </c>
    </row>
    <row r="194" spans="2:28" x14ac:dyDescent="0.4">
      <c r="B194" s="11">
        <v>177</v>
      </c>
      <c r="C194" s="16">
        <f t="shared" si="9"/>
        <v>100.82766210736406</v>
      </c>
      <c r="D194" s="17">
        <f t="shared" si="11"/>
        <v>112.03073567484896</v>
      </c>
      <c r="E194" s="17">
        <f t="shared" si="10"/>
        <v>123.23380924233385</v>
      </c>
      <c r="F194" s="2">
        <v>112.6665</v>
      </c>
      <c r="G194" s="2" t="str">
        <f t="shared" si="8"/>
        <v>Pass</v>
      </c>
      <c r="Y194" s="2">
        <v>179</v>
      </c>
      <c r="Z194" s="2">
        <v>0.31359999999999999</v>
      </c>
      <c r="AA194" s="2">
        <v>0.32950000000000002</v>
      </c>
      <c r="AB194" s="2">
        <v>115.5488</v>
      </c>
    </row>
    <row r="195" spans="2:28" x14ac:dyDescent="0.4">
      <c r="B195" s="11">
        <v>178</v>
      </c>
      <c r="C195" s="16">
        <f t="shared" si="9"/>
        <v>101.96862012896187</v>
      </c>
      <c r="D195" s="17">
        <f t="shared" si="11"/>
        <v>113.29846680995763</v>
      </c>
      <c r="E195" s="17">
        <f t="shared" si="10"/>
        <v>124.62831349095339</v>
      </c>
      <c r="F195" s="2">
        <v>114.2848</v>
      </c>
      <c r="G195" s="2" t="str">
        <f t="shared" si="8"/>
        <v>Pass</v>
      </c>
      <c r="Y195" s="2">
        <v>180</v>
      </c>
      <c r="Z195" s="2">
        <v>0.3135</v>
      </c>
      <c r="AA195" s="2">
        <v>0.32940000000000003</v>
      </c>
      <c r="AB195" s="2">
        <v>116.78830000000001</v>
      </c>
    </row>
    <row r="196" spans="2:28" x14ac:dyDescent="0.4">
      <c r="B196" s="11">
        <v>179</v>
      </c>
      <c r="C196" s="16">
        <f t="shared" si="9"/>
        <v>103.1159973782413</v>
      </c>
      <c r="D196" s="17">
        <f t="shared" si="11"/>
        <v>114.57333042026812</v>
      </c>
      <c r="E196" s="17">
        <f t="shared" si="10"/>
        <v>126.03066346229494</v>
      </c>
      <c r="F196" s="2">
        <v>115.5488</v>
      </c>
      <c r="G196" s="2" t="str">
        <f t="shared" si="8"/>
        <v>Pass</v>
      </c>
      <c r="Y196" s="2">
        <v>181</v>
      </c>
      <c r="Z196" s="2">
        <v>0.31340000000000001</v>
      </c>
      <c r="AA196" s="2">
        <v>0.32950000000000002</v>
      </c>
      <c r="AB196" s="2">
        <v>118.4588</v>
      </c>
    </row>
    <row r="197" spans="2:28" x14ac:dyDescent="0.4">
      <c r="B197" s="11">
        <v>180</v>
      </c>
      <c r="C197" s="16">
        <f t="shared" si="9"/>
        <v>104.26979385520242</v>
      </c>
      <c r="D197" s="17">
        <f t="shared" si="11"/>
        <v>115.85532650578047</v>
      </c>
      <c r="E197" s="17">
        <f t="shared" si="10"/>
        <v>127.44085915635851</v>
      </c>
      <c r="F197" s="2">
        <v>116.78830000000001</v>
      </c>
      <c r="G197" s="2" t="str">
        <f t="shared" si="8"/>
        <v>Pass</v>
      </c>
      <c r="Y197" s="2">
        <v>182</v>
      </c>
      <c r="Z197" s="2">
        <v>0.31280000000000002</v>
      </c>
      <c r="AA197" s="2">
        <v>0.32969999999999999</v>
      </c>
      <c r="AB197" s="2">
        <v>119.7197</v>
      </c>
    </row>
    <row r="198" spans="2:28" x14ac:dyDescent="0.4">
      <c r="B198" s="11">
        <v>181</v>
      </c>
      <c r="C198" s="16">
        <f t="shared" si="9"/>
        <v>105.43000955984517</v>
      </c>
      <c r="D198" s="17">
        <f t="shared" si="11"/>
        <v>117.14445506649464</v>
      </c>
      <c r="E198" s="17">
        <f t="shared" si="10"/>
        <v>128.8589005731441</v>
      </c>
      <c r="F198" s="2">
        <v>118.4588</v>
      </c>
      <c r="G198" s="2" t="str">
        <f t="shared" si="8"/>
        <v>Pass</v>
      </c>
      <c r="Y198" s="2">
        <v>183</v>
      </c>
      <c r="Z198" s="2">
        <v>0.31269999999999998</v>
      </c>
      <c r="AA198" s="2">
        <v>0.32969999999999999</v>
      </c>
      <c r="AB198" s="2">
        <v>120.9581</v>
      </c>
    </row>
    <row r="199" spans="2:28" x14ac:dyDescent="0.4">
      <c r="B199" s="11">
        <v>182</v>
      </c>
      <c r="C199" s="16">
        <f t="shared" si="9"/>
        <v>106.5966444921696</v>
      </c>
      <c r="D199" s="17">
        <f t="shared" si="11"/>
        <v>118.44071610241068</v>
      </c>
      <c r="E199" s="17">
        <f t="shared" si="10"/>
        <v>130.28478771265173</v>
      </c>
      <c r="F199" s="2">
        <v>119.7197</v>
      </c>
      <c r="G199" s="2" t="str">
        <f t="shared" si="8"/>
        <v>Pass</v>
      </c>
      <c r="Y199" s="2">
        <v>184</v>
      </c>
      <c r="Z199" s="2">
        <v>0.31269999999999998</v>
      </c>
      <c r="AA199" s="2">
        <v>0.32950000000000002</v>
      </c>
      <c r="AB199" s="2">
        <v>122.1801</v>
      </c>
    </row>
    <row r="200" spans="2:28" x14ac:dyDescent="0.4">
      <c r="B200" s="11">
        <v>183</v>
      </c>
      <c r="C200" s="16">
        <f t="shared" si="9"/>
        <v>107.76969865217569</v>
      </c>
      <c r="D200" s="17">
        <f t="shared" si="11"/>
        <v>119.74410961352855</v>
      </c>
      <c r="E200" s="17">
        <f t="shared" si="10"/>
        <v>131.71852057488141</v>
      </c>
      <c r="F200" s="2">
        <v>120.9581</v>
      </c>
      <c r="G200" s="2" t="str">
        <f t="shared" si="8"/>
        <v>Pass</v>
      </c>
      <c r="Y200" s="2">
        <v>185</v>
      </c>
      <c r="Z200" s="2">
        <v>0.31259999999999999</v>
      </c>
      <c r="AA200" s="2">
        <v>0.32940000000000003</v>
      </c>
      <c r="AB200" s="2">
        <v>123.8424</v>
      </c>
    </row>
    <row r="201" spans="2:28" x14ac:dyDescent="0.4">
      <c r="B201" s="11">
        <v>184</v>
      </c>
      <c r="C201" s="16">
        <f t="shared" si="9"/>
        <v>108.94917203986343</v>
      </c>
      <c r="D201" s="17">
        <f t="shared" si="11"/>
        <v>121.05463559984825</v>
      </c>
      <c r="E201" s="17">
        <f t="shared" si="10"/>
        <v>133.16009915983307</v>
      </c>
      <c r="F201" s="2">
        <v>122.1801</v>
      </c>
      <c r="G201" s="2" t="str">
        <f t="shared" si="8"/>
        <v>Pass</v>
      </c>
      <c r="Y201" s="2">
        <v>186</v>
      </c>
      <c r="Z201" s="2">
        <v>0.31240000000000001</v>
      </c>
      <c r="AA201" s="2">
        <v>0.3276</v>
      </c>
      <c r="AB201" s="2">
        <v>124.27370000000001</v>
      </c>
    </row>
    <row r="202" spans="2:28" x14ac:dyDescent="0.4">
      <c r="B202" s="11">
        <v>185</v>
      </c>
      <c r="C202" s="16">
        <f t="shared" si="9"/>
        <v>110.13506465523285</v>
      </c>
      <c r="D202" s="17">
        <f t="shared" si="11"/>
        <v>122.37229406136984</v>
      </c>
      <c r="E202" s="17">
        <f t="shared" si="10"/>
        <v>134.60952346750682</v>
      </c>
      <c r="F202" s="2">
        <v>123.8424</v>
      </c>
      <c r="G202" s="2" t="str">
        <f t="shared" si="8"/>
        <v>Pass</v>
      </c>
      <c r="Y202" s="2">
        <v>187</v>
      </c>
      <c r="Z202" s="2">
        <v>0.31240000000000001</v>
      </c>
      <c r="AA202" s="2">
        <v>0.3276</v>
      </c>
      <c r="AB202" s="2">
        <v>125.504</v>
      </c>
    </row>
    <row r="203" spans="2:28" x14ac:dyDescent="0.4">
      <c r="B203" s="11">
        <v>186</v>
      </c>
      <c r="C203" s="16">
        <f t="shared" si="9"/>
        <v>111.32737649828395</v>
      </c>
      <c r="D203" s="17">
        <f t="shared" si="11"/>
        <v>123.69708499809329</v>
      </c>
      <c r="E203" s="17">
        <f t="shared" si="10"/>
        <v>136.06679349790261</v>
      </c>
      <c r="F203" s="2">
        <v>124.27370000000001</v>
      </c>
      <c r="G203" s="2" t="str">
        <f t="shared" si="8"/>
        <v>Pass</v>
      </c>
      <c r="Y203" s="2">
        <v>188</v>
      </c>
      <c r="Z203" s="2">
        <v>0.31230000000000002</v>
      </c>
      <c r="AA203" s="2">
        <v>0.32750000000000001</v>
      </c>
      <c r="AB203" s="2">
        <v>127.0793</v>
      </c>
    </row>
    <row r="204" spans="2:28" x14ac:dyDescent="0.4">
      <c r="B204" s="11">
        <v>187</v>
      </c>
      <c r="C204" s="16">
        <f t="shared" si="9"/>
        <v>112.52610756901669</v>
      </c>
      <c r="D204" s="17">
        <f t="shared" si="11"/>
        <v>125.02900841001853</v>
      </c>
      <c r="E204" s="17">
        <f t="shared" si="10"/>
        <v>137.53190925102038</v>
      </c>
      <c r="F204" s="2">
        <v>125.504</v>
      </c>
      <c r="G204" s="2" t="str">
        <f t="shared" si="8"/>
        <v>Pass</v>
      </c>
      <c r="Y204" s="2">
        <v>189</v>
      </c>
      <c r="Z204" s="2">
        <v>0.31309999999999999</v>
      </c>
      <c r="AA204" s="2">
        <v>0.32900000000000001</v>
      </c>
      <c r="AB204" s="2">
        <v>128.34809999999999</v>
      </c>
    </row>
    <row r="205" spans="2:28" x14ac:dyDescent="0.4">
      <c r="B205" s="11">
        <v>188</v>
      </c>
      <c r="C205" s="16">
        <f t="shared" si="9"/>
        <v>113.73125786743105</v>
      </c>
      <c r="D205" s="17">
        <f t="shared" si="11"/>
        <v>126.36806429714562</v>
      </c>
      <c r="E205" s="17">
        <f t="shared" si="10"/>
        <v>139.00487072686019</v>
      </c>
      <c r="F205" s="2">
        <v>127.0793</v>
      </c>
      <c r="G205" s="2" t="str">
        <f t="shared" si="8"/>
        <v>Pass</v>
      </c>
      <c r="Y205" s="2">
        <v>190</v>
      </c>
      <c r="Z205" s="2">
        <v>0.31309999999999999</v>
      </c>
      <c r="AA205" s="2">
        <v>0.32890000000000003</v>
      </c>
      <c r="AB205" s="2">
        <v>129.60640000000001</v>
      </c>
    </row>
    <row r="206" spans="2:28" x14ac:dyDescent="0.4">
      <c r="B206" s="11">
        <v>189</v>
      </c>
      <c r="C206" s="16">
        <f t="shared" si="9"/>
        <v>114.94282739352712</v>
      </c>
      <c r="D206" s="17">
        <f t="shared" si="11"/>
        <v>127.71425265947458</v>
      </c>
      <c r="E206" s="17">
        <f t="shared" si="10"/>
        <v>140.48567792542204</v>
      </c>
      <c r="F206" s="2">
        <v>128.34809999999999</v>
      </c>
      <c r="G206" s="2" t="str">
        <f t="shared" si="8"/>
        <v>Pass</v>
      </c>
      <c r="Y206" s="2">
        <v>191</v>
      </c>
      <c r="Z206" s="2">
        <v>0.31309999999999999</v>
      </c>
      <c r="AA206" s="2">
        <v>0.32890000000000003</v>
      </c>
      <c r="AB206" s="2">
        <v>131.28790000000001</v>
      </c>
    </row>
    <row r="207" spans="2:28" x14ac:dyDescent="0.4">
      <c r="B207" s="11">
        <v>190</v>
      </c>
      <c r="C207" s="16">
        <f t="shared" si="9"/>
        <v>116.16081614730481</v>
      </c>
      <c r="D207" s="17">
        <f t="shared" si="11"/>
        <v>129.06757349700536</v>
      </c>
      <c r="E207" s="17">
        <f t="shared" si="10"/>
        <v>141.9743308467059</v>
      </c>
      <c r="F207" s="2">
        <v>129.60640000000001</v>
      </c>
      <c r="G207" s="2" t="str">
        <f t="shared" si="8"/>
        <v>Pass</v>
      </c>
      <c r="Y207" s="2">
        <v>192</v>
      </c>
      <c r="Z207" s="2">
        <v>0.31309999999999999</v>
      </c>
      <c r="AA207" s="2">
        <v>0.32890000000000003</v>
      </c>
      <c r="AB207" s="2">
        <v>132.5977</v>
      </c>
    </row>
    <row r="208" spans="2:28" x14ac:dyDescent="0.4">
      <c r="B208" s="11">
        <v>191</v>
      </c>
      <c r="C208" s="16">
        <f t="shared" si="9"/>
        <v>117.38522412876421</v>
      </c>
      <c r="D208" s="17">
        <f t="shared" si="11"/>
        <v>130.42802680973801</v>
      </c>
      <c r="E208" s="17">
        <f t="shared" si="10"/>
        <v>143.47082949071182</v>
      </c>
      <c r="F208" s="2">
        <v>131.28790000000001</v>
      </c>
      <c r="G208" s="2" t="str">
        <f t="shared" si="8"/>
        <v>Pass</v>
      </c>
      <c r="Y208" s="2">
        <v>193</v>
      </c>
      <c r="Z208" s="2">
        <v>0.31309999999999999</v>
      </c>
      <c r="AA208" s="2">
        <v>0.32879999999999998</v>
      </c>
      <c r="AB208" s="2">
        <v>134.34970000000001</v>
      </c>
    </row>
    <row r="209" spans="2:28" x14ac:dyDescent="0.4">
      <c r="B209" s="11">
        <v>192</v>
      </c>
      <c r="C209" s="16">
        <f t="shared" si="9"/>
        <v>118.61605133790523</v>
      </c>
      <c r="D209" s="17">
        <f t="shared" si="11"/>
        <v>131.79561259767249</v>
      </c>
      <c r="E209" s="17">
        <f t="shared" si="10"/>
        <v>144.97517385743973</v>
      </c>
      <c r="F209" s="2">
        <v>132.5977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0.313</v>
      </c>
      <c r="AA209" s="2">
        <v>0.32879999999999998</v>
      </c>
      <c r="AB209" s="2">
        <v>135.68029999999999</v>
      </c>
    </row>
    <row r="210" spans="2:28" x14ac:dyDescent="0.4">
      <c r="B210" s="11">
        <v>193</v>
      </c>
      <c r="C210" s="16">
        <f t="shared" ref="C210:C272" si="13">D210-D210*(C$14/100)</f>
        <v>119.85329777472792</v>
      </c>
      <c r="D210" s="17">
        <f t="shared" si="11"/>
        <v>133.1703308608088</v>
      </c>
      <c r="E210" s="17">
        <f t="shared" ref="E210:E272" si="14">D210+D210*(C$14/100)</f>
        <v>146.48736394688967</v>
      </c>
      <c r="F210" s="2">
        <v>134.34970000000001</v>
      </c>
      <c r="G210" s="2" t="str">
        <f t="shared" si="12"/>
        <v>Pass</v>
      </c>
      <c r="Y210" s="2">
        <v>195</v>
      </c>
      <c r="Z210" s="2">
        <v>0.31290000000000001</v>
      </c>
      <c r="AA210" s="2">
        <v>0.32869999999999999</v>
      </c>
      <c r="AB210" s="2">
        <v>137.48230000000001</v>
      </c>
    </row>
    <row r="211" spans="2:28" x14ac:dyDescent="0.4">
      <c r="B211" s="11">
        <v>194</v>
      </c>
      <c r="C211" s="16">
        <f t="shared" si="13"/>
        <v>121.09696343923231</v>
      </c>
      <c r="D211" s="17">
        <f t="shared" ref="D211:D271" si="15">D$272*((B211+F$17)/B$272)^C$13</f>
        <v>134.55218159914702</v>
      </c>
      <c r="E211" s="17">
        <f t="shared" si="14"/>
        <v>148.00739975906171</v>
      </c>
      <c r="F211" s="2">
        <v>135.68029999999999</v>
      </c>
      <c r="G211" s="2" t="str">
        <f t="shared" si="12"/>
        <v>Pass</v>
      </c>
      <c r="Y211" s="2">
        <v>196</v>
      </c>
      <c r="Z211" s="2">
        <v>0.31369999999999998</v>
      </c>
      <c r="AA211" s="2">
        <v>0.33019999999999999</v>
      </c>
      <c r="AB211" s="2">
        <v>138.82509999999999</v>
      </c>
    </row>
    <row r="212" spans="2:28" x14ac:dyDescent="0.4">
      <c r="B212" s="11">
        <v>195</v>
      </c>
      <c r="C212" s="16">
        <f t="shared" si="13"/>
        <v>122.34704833141834</v>
      </c>
      <c r="D212" s="17">
        <f t="shared" si="15"/>
        <v>135.94116481268705</v>
      </c>
      <c r="E212" s="17">
        <f t="shared" si="14"/>
        <v>149.53528129395576</v>
      </c>
      <c r="F212" s="2">
        <v>137.48230000000001</v>
      </c>
      <c r="G212" s="2" t="str">
        <f t="shared" si="12"/>
        <v>Pass</v>
      </c>
      <c r="Y212" s="2">
        <v>197</v>
      </c>
      <c r="Z212" s="2">
        <v>0.31369999999999998</v>
      </c>
      <c r="AA212" s="2">
        <v>0.33019999999999999</v>
      </c>
      <c r="AB212" s="2">
        <v>140.17420000000001</v>
      </c>
    </row>
    <row r="213" spans="2:28" x14ac:dyDescent="0.4">
      <c r="B213" s="11">
        <v>196</v>
      </c>
      <c r="C213" s="16">
        <f t="shared" si="13"/>
        <v>123.60355245128602</v>
      </c>
      <c r="D213" s="17">
        <f t="shared" si="15"/>
        <v>137.33728050142892</v>
      </c>
      <c r="E213" s="17">
        <f t="shared" si="14"/>
        <v>151.07100855157182</v>
      </c>
      <c r="F213" s="2">
        <v>138.82509999999999</v>
      </c>
      <c r="G213" s="2" t="str">
        <f t="shared" si="12"/>
        <v>Pass</v>
      </c>
      <c r="Y213" s="2">
        <v>198</v>
      </c>
      <c r="Z213" s="2">
        <v>0.31290000000000001</v>
      </c>
      <c r="AA213" s="2">
        <v>0.3286</v>
      </c>
      <c r="AB213" s="2">
        <v>140.15600000000001</v>
      </c>
    </row>
    <row r="214" spans="2:28" x14ac:dyDescent="0.4">
      <c r="B214" s="11">
        <v>197</v>
      </c>
      <c r="C214" s="16">
        <f t="shared" si="13"/>
        <v>124.86647579883535</v>
      </c>
      <c r="D214" s="17">
        <f t="shared" si="15"/>
        <v>138.74052866537261</v>
      </c>
      <c r="E214" s="17">
        <f t="shared" si="14"/>
        <v>152.61458153190986</v>
      </c>
      <c r="F214" s="2">
        <v>140.17420000000001</v>
      </c>
      <c r="G214" s="2" t="str">
        <f t="shared" si="12"/>
        <v>Pass</v>
      </c>
      <c r="Y214" s="2">
        <v>199</v>
      </c>
      <c r="Z214" s="2">
        <v>0.31280000000000002</v>
      </c>
      <c r="AA214" s="2">
        <v>0.32869999999999999</v>
      </c>
      <c r="AB214" s="2">
        <v>141.96250000000001</v>
      </c>
    </row>
    <row r="215" spans="2:28" x14ac:dyDescent="0.4">
      <c r="B215" s="11">
        <v>198</v>
      </c>
      <c r="C215" s="16">
        <f t="shared" si="13"/>
        <v>126.13581837406635</v>
      </c>
      <c r="D215" s="17">
        <f t="shared" si="15"/>
        <v>140.15090930451817</v>
      </c>
      <c r="E215" s="17">
        <f t="shared" si="14"/>
        <v>154.16600023496997</v>
      </c>
      <c r="F215" s="2">
        <v>140.15600000000001</v>
      </c>
      <c r="G215" s="2" t="str">
        <f t="shared" si="12"/>
        <v>Pass</v>
      </c>
      <c r="Y215" s="2">
        <v>200</v>
      </c>
      <c r="Z215" s="2">
        <v>0.31280000000000002</v>
      </c>
      <c r="AA215" s="2">
        <v>0.3286</v>
      </c>
      <c r="AB215" s="2">
        <v>143.30889999999999</v>
      </c>
    </row>
    <row r="216" spans="2:28" x14ac:dyDescent="0.4">
      <c r="B216" s="11">
        <v>199</v>
      </c>
      <c r="C216" s="16">
        <f t="shared" si="13"/>
        <v>127.41158017697902</v>
      </c>
      <c r="D216" s="17">
        <f t="shared" si="15"/>
        <v>141.56842241886557</v>
      </c>
      <c r="E216" s="17">
        <f t="shared" si="14"/>
        <v>155.72526466075212</v>
      </c>
      <c r="F216" s="2">
        <v>141.96250000000001</v>
      </c>
      <c r="G216" s="2" t="str">
        <f t="shared" si="12"/>
        <v>Pass</v>
      </c>
      <c r="Y216" s="2">
        <v>201</v>
      </c>
      <c r="Z216" s="2">
        <v>0.31280000000000002</v>
      </c>
      <c r="AA216" s="2">
        <v>0.32850000000000001</v>
      </c>
      <c r="AB216" s="2">
        <v>145.10079999999999</v>
      </c>
    </row>
    <row r="217" spans="2:28" x14ac:dyDescent="0.4">
      <c r="B217" s="11">
        <v>200</v>
      </c>
      <c r="C217" s="16">
        <f t="shared" si="13"/>
        <v>128.69376120757332</v>
      </c>
      <c r="D217" s="17">
        <f t="shared" si="15"/>
        <v>142.99306800841481</v>
      </c>
      <c r="E217" s="17">
        <f t="shared" si="14"/>
        <v>157.2923748092563</v>
      </c>
      <c r="F217" s="2">
        <v>143.30889999999999</v>
      </c>
      <c r="G217" s="2" t="str">
        <f t="shared" si="12"/>
        <v>Pass</v>
      </c>
      <c r="Y217" s="2">
        <v>202</v>
      </c>
      <c r="Z217" s="2">
        <v>0.31280000000000002</v>
      </c>
      <c r="AA217" s="2">
        <v>0.3286</v>
      </c>
      <c r="AB217" s="2">
        <v>146.57759999999999</v>
      </c>
    </row>
    <row r="218" spans="2:28" x14ac:dyDescent="0.4">
      <c r="B218" s="11">
        <v>201</v>
      </c>
      <c r="C218" s="16">
        <f t="shared" si="13"/>
        <v>129.98236146584932</v>
      </c>
      <c r="D218" s="17">
        <f t="shared" si="15"/>
        <v>144.42484607316592</v>
      </c>
      <c r="E218" s="17">
        <f t="shared" si="14"/>
        <v>158.86733068048252</v>
      </c>
      <c r="F218" s="2">
        <v>145.10079999999999</v>
      </c>
      <c r="G218" s="2" t="str">
        <f t="shared" si="12"/>
        <v>Pass</v>
      </c>
      <c r="Y218" s="2">
        <v>203</v>
      </c>
      <c r="Z218" s="2">
        <v>0.31269999999999998</v>
      </c>
      <c r="AA218" s="2">
        <v>0.32850000000000001</v>
      </c>
      <c r="AB218" s="2">
        <v>148.39109999999999</v>
      </c>
    </row>
    <row r="219" spans="2:28" x14ac:dyDescent="0.4">
      <c r="B219" s="11">
        <v>202</v>
      </c>
      <c r="C219" s="16">
        <f t="shared" si="13"/>
        <v>131.277380951807</v>
      </c>
      <c r="D219" s="17">
        <f t="shared" si="15"/>
        <v>145.86375661311888</v>
      </c>
      <c r="E219" s="17">
        <f t="shared" si="14"/>
        <v>160.45013227443076</v>
      </c>
      <c r="F219" s="2">
        <v>146.57759999999999</v>
      </c>
      <c r="G219" s="2" t="str">
        <f t="shared" si="12"/>
        <v>Pass</v>
      </c>
      <c r="Y219" s="2">
        <v>204</v>
      </c>
      <c r="Z219" s="2">
        <v>0.3135</v>
      </c>
      <c r="AA219" s="2">
        <v>0.32990000000000003</v>
      </c>
      <c r="AB219" s="2">
        <v>149.80600000000001</v>
      </c>
    </row>
    <row r="220" spans="2:28" x14ac:dyDescent="0.4">
      <c r="B220" s="11">
        <v>203</v>
      </c>
      <c r="C220" s="16">
        <f t="shared" si="13"/>
        <v>132.57881966544628</v>
      </c>
      <c r="D220" s="17">
        <f t="shared" si="15"/>
        <v>147.30979962827365</v>
      </c>
      <c r="E220" s="17">
        <f t="shared" si="14"/>
        <v>162.04077959110103</v>
      </c>
      <c r="F220" s="2">
        <v>148.39109999999999</v>
      </c>
      <c r="G220" s="2" t="str">
        <f t="shared" si="12"/>
        <v>Pass</v>
      </c>
      <c r="Y220" s="2">
        <v>205</v>
      </c>
      <c r="Z220" s="2">
        <v>0.31340000000000001</v>
      </c>
      <c r="AA220" s="2">
        <v>0.32979999999999998</v>
      </c>
      <c r="AB220" s="2">
        <v>151.20609999999999</v>
      </c>
    </row>
    <row r="221" spans="2:28" x14ac:dyDescent="0.4">
      <c r="B221" s="11">
        <v>204</v>
      </c>
      <c r="C221" s="16">
        <f t="shared" si="13"/>
        <v>133.88667760676725</v>
      </c>
      <c r="D221" s="17">
        <f t="shared" si="15"/>
        <v>148.76297511863029</v>
      </c>
      <c r="E221" s="17">
        <f t="shared" si="14"/>
        <v>163.63927263049334</v>
      </c>
      <c r="F221" s="2">
        <v>149.80600000000001</v>
      </c>
      <c r="G221" s="2" t="str">
        <f t="shared" si="12"/>
        <v>Pass</v>
      </c>
      <c r="Y221" s="2">
        <v>206</v>
      </c>
      <c r="Z221" s="2">
        <v>0.31330000000000002</v>
      </c>
      <c r="AA221" s="2">
        <v>0.32979999999999998</v>
      </c>
      <c r="AB221" s="2">
        <v>153.1052</v>
      </c>
    </row>
    <row r="222" spans="2:28" x14ac:dyDescent="0.4">
      <c r="B222" s="11">
        <v>205</v>
      </c>
      <c r="C222" s="16">
        <f t="shared" si="13"/>
        <v>135.20095477576987</v>
      </c>
      <c r="D222" s="17">
        <f t="shared" si="15"/>
        <v>150.22328308418875</v>
      </c>
      <c r="E222" s="17">
        <f t="shared" si="14"/>
        <v>165.24561139260763</v>
      </c>
      <c r="F222" s="2">
        <v>151.20609999999999</v>
      </c>
      <c r="G222" s="2" t="str">
        <f t="shared" si="12"/>
        <v>Pass</v>
      </c>
      <c r="Y222" s="2">
        <v>207</v>
      </c>
      <c r="Z222" s="2">
        <v>0.31330000000000002</v>
      </c>
      <c r="AA222" s="2">
        <v>0.32969999999999999</v>
      </c>
      <c r="AB222" s="2">
        <v>154.48670000000001</v>
      </c>
    </row>
    <row r="223" spans="2:28" x14ac:dyDescent="0.4">
      <c r="B223" s="11">
        <v>206</v>
      </c>
      <c r="C223" s="16">
        <f t="shared" si="13"/>
        <v>136.52165117245417</v>
      </c>
      <c r="D223" s="17">
        <f t="shared" si="15"/>
        <v>151.69072352494908</v>
      </c>
      <c r="E223" s="17">
        <f t="shared" si="14"/>
        <v>166.85979587744399</v>
      </c>
      <c r="F223" s="2">
        <v>153.1052</v>
      </c>
      <c r="G223" s="2" t="str">
        <f t="shared" si="12"/>
        <v>Pass</v>
      </c>
      <c r="Y223" s="2">
        <v>208</v>
      </c>
      <c r="Z223" s="2">
        <v>0.31319999999999998</v>
      </c>
      <c r="AA223" s="2">
        <v>0.3296</v>
      </c>
      <c r="AB223" s="2">
        <v>155.88069999999999</v>
      </c>
    </row>
    <row r="224" spans="2:28" x14ac:dyDescent="0.4">
      <c r="B224" s="11">
        <v>207</v>
      </c>
      <c r="C224" s="16">
        <f t="shared" si="13"/>
        <v>137.84876679682009</v>
      </c>
      <c r="D224" s="17">
        <f t="shared" si="15"/>
        <v>153.16529644091122</v>
      </c>
      <c r="E224" s="17">
        <f t="shared" si="14"/>
        <v>168.48182608500235</v>
      </c>
      <c r="F224" s="2">
        <v>154.48670000000001</v>
      </c>
      <c r="G224" s="2" t="str">
        <f t="shared" si="12"/>
        <v>Pass</v>
      </c>
      <c r="Y224" s="2">
        <v>209</v>
      </c>
      <c r="Z224" s="2">
        <v>0.31319999999999998</v>
      </c>
      <c r="AA224" s="2">
        <v>0.32969999999999999</v>
      </c>
      <c r="AB224" s="2">
        <v>157.73699999999999</v>
      </c>
    </row>
    <row r="225" spans="2:28" x14ac:dyDescent="0.4">
      <c r="B225" s="11">
        <v>208</v>
      </c>
      <c r="C225" s="16">
        <f t="shared" si="13"/>
        <v>139.18230164886771</v>
      </c>
      <c r="D225" s="17">
        <f t="shared" si="15"/>
        <v>154.64700183207523</v>
      </c>
      <c r="E225" s="17">
        <f t="shared" si="14"/>
        <v>170.11170201528276</v>
      </c>
      <c r="F225" s="2">
        <v>155.88069999999999</v>
      </c>
      <c r="G225" s="2" t="str">
        <f t="shared" si="12"/>
        <v>Pass</v>
      </c>
      <c r="Y225" s="2">
        <v>210</v>
      </c>
      <c r="Z225" s="2">
        <v>0.31319999999999998</v>
      </c>
      <c r="AA225" s="2">
        <v>0.3296</v>
      </c>
      <c r="AB225" s="2">
        <v>159.15350000000001</v>
      </c>
    </row>
    <row r="226" spans="2:28" x14ac:dyDescent="0.4">
      <c r="B226" s="11">
        <v>209</v>
      </c>
      <c r="C226" s="16">
        <f t="shared" si="13"/>
        <v>140.52225572859697</v>
      </c>
      <c r="D226" s="17">
        <f t="shared" si="15"/>
        <v>156.13583969844109</v>
      </c>
      <c r="E226" s="17">
        <f t="shared" si="14"/>
        <v>171.7494236682852</v>
      </c>
      <c r="F226" s="2">
        <v>157.73699999999999</v>
      </c>
      <c r="G226" s="2" t="str">
        <f t="shared" si="12"/>
        <v>Pass</v>
      </c>
      <c r="Y226" s="2">
        <v>211</v>
      </c>
      <c r="Z226" s="2">
        <v>0.31309999999999999</v>
      </c>
      <c r="AA226" s="2">
        <v>0.32950000000000002</v>
      </c>
      <c r="AB226" s="2">
        <v>161.0719</v>
      </c>
    </row>
    <row r="227" spans="2:28" x14ac:dyDescent="0.4">
      <c r="B227" s="11">
        <v>210</v>
      </c>
      <c r="C227" s="16">
        <f t="shared" si="13"/>
        <v>141.86862903600797</v>
      </c>
      <c r="D227" s="17">
        <f t="shared" si="15"/>
        <v>157.63181004000884</v>
      </c>
      <c r="E227" s="17">
        <f t="shared" si="14"/>
        <v>173.39499104400971</v>
      </c>
      <c r="F227" s="2">
        <v>159.15350000000001</v>
      </c>
      <c r="G227" s="2" t="str">
        <f t="shared" si="12"/>
        <v>Pass</v>
      </c>
      <c r="Y227" s="2">
        <v>212</v>
      </c>
      <c r="Z227" s="2">
        <v>0.31340000000000001</v>
      </c>
      <c r="AA227" s="2">
        <v>0.3291</v>
      </c>
      <c r="AB227" s="2">
        <v>161.3913</v>
      </c>
    </row>
    <row r="228" spans="2:28" x14ac:dyDescent="0.4">
      <c r="B228" s="11">
        <v>211</v>
      </c>
      <c r="C228" s="16">
        <f t="shared" si="13"/>
        <v>143.22142157110054</v>
      </c>
      <c r="D228" s="17">
        <f t="shared" si="15"/>
        <v>159.13491285677839</v>
      </c>
      <c r="E228" s="17">
        <f t="shared" si="14"/>
        <v>175.04840414245623</v>
      </c>
      <c r="F228" s="2">
        <v>161.0719</v>
      </c>
      <c r="G228" s="2" t="str">
        <f t="shared" si="12"/>
        <v>Pass</v>
      </c>
      <c r="Y228" s="2">
        <v>213</v>
      </c>
      <c r="Z228" s="2">
        <v>0.31330000000000002</v>
      </c>
      <c r="AA228" s="2">
        <v>0.3291</v>
      </c>
      <c r="AB228" s="2">
        <v>162.7655</v>
      </c>
    </row>
    <row r="229" spans="2:28" x14ac:dyDescent="0.4">
      <c r="B229" s="11">
        <v>212</v>
      </c>
      <c r="C229" s="16">
        <f t="shared" si="13"/>
        <v>144.5806333338748</v>
      </c>
      <c r="D229" s="17">
        <f t="shared" si="15"/>
        <v>160.64514814874977</v>
      </c>
      <c r="E229" s="17">
        <f t="shared" si="14"/>
        <v>176.70966296362474</v>
      </c>
      <c r="F229" s="2">
        <v>161.3913</v>
      </c>
      <c r="G229" s="2" t="str">
        <f t="shared" si="12"/>
        <v>Pass</v>
      </c>
      <c r="Y229" s="2">
        <v>214</v>
      </c>
      <c r="Z229" s="2">
        <v>0.31330000000000002</v>
      </c>
      <c r="AA229" s="2">
        <v>0.3291</v>
      </c>
      <c r="AB229" s="2">
        <v>164.2047</v>
      </c>
    </row>
    <row r="230" spans="2:28" x14ac:dyDescent="0.4">
      <c r="B230" s="11">
        <v>213</v>
      </c>
      <c r="C230" s="16">
        <f t="shared" si="13"/>
        <v>145.94626432433068</v>
      </c>
      <c r="D230" s="17">
        <f t="shared" si="15"/>
        <v>162.162515915923</v>
      </c>
      <c r="E230" s="17">
        <f t="shared" si="14"/>
        <v>178.37876750751531</v>
      </c>
      <c r="F230" s="2">
        <v>162.7655</v>
      </c>
      <c r="G230" s="2" t="str">
        <f t="shared" si="12"/>
        <v>Pass</v>
      </c>
      <c r="Y230" s="2">
        <v>215</v>
      </c>
      <c r="Z230" s="2">
        <v>0.31319999999999998</v>
      </c>
      <c r="AA230" s="2">
        <v>0.3291</v>
      </c>
      <c r="AB230" s="2">
        <v>166.1541</v>
      </c>
    </row>
    <row r="231" spans="2:28" x14ac:dyDescent="0.4">
      <c r="B231" s="11">
        <v>214</v>
      </c>
      <c r="C231" s="16">
        <f t="shared" si="13"/>
        <v>147.31831454246827</v>
      </c>
      <c r="D231" s="17">
        <f t="shared" si="15"/>
        <v>163.68701615829809</v>
      </c>
      <c r="E231" s="17">
        <f t="shared" si="14"/>
        <v>180.05571777412791</v>
      </c>
      <c r="F231" s="2">
        <v>164.2047</v>
      </c>
      <c r="G231" s="2" t="str">
        <f t="shared" si="12"/>
        <v>Pass</v>
      </c>
      <c r="Y231" s="2">
        <v>216</v>
      </c>
      <c r="Z231" s="2">
        <v>0.31319999999999998</v>
      </c>
      <c r="AA231" s="2">
        <v>0.3291</v>
      </c>
      <c r="AB231" s="2">
        <v>167.62090000000001</v>
      </c>
    </row>
    <row r="232" spans="2:28" x14ac:dyDescent="0.4">
      <c r="B232" s="11">
        <v>215</v>
      </c>
      <c r="C232" s="16">
        <f t="shared" si="13"/>
        <v>148.69678398828751</v>
      </c>
      <c r="D232" s="17">
        <f t="shared" si="15"/>
        <v>165.218648875875</v>
      </c>
      <c r="E232" s="17">
        <f t="shared" si="14"/>
        <v>181.7405137634625</v>
      </c>
      <c r="F232" s="2">
        <v>166.1541</v>
      </c>
      <c r="G232" s="2" t="str">
        <f t="shared" si="12"/>
        <v>Pass</v>
      </c>
      <c r="Y232" s="2">
        <v>217</v>
      </c>
      <c r="Z232" s="2">
        <v>0.31309999999999999</v>
      </c>
      <c r="AA232" s="2">
        <v>0.32900000000000001</v>
      </c>
      <c r="AB232" s="2">
        <v>169.56559999999999</v>
      </c>
    </row>
    <row r="233" spans="2:28" x14ac:dyDescent="0.4">
      <c r="B233" s="11">
        <v>216</v>
      </c>
      <c r="C233" s="16">
        <f t="shared" si="13"/>
        <v>150.08167266178842</v>
      </c>
      <c r="D233" s="17">
        <f t="shared" si="15"/>
        <v>166.75741406865379</v>
      </c>
      <c r="E233" s="17">
        <f t="shared" si="14"/>
        <v>183.43315547551916</v>
      </c>
      <c r="F233" s="2">
        <v>167.62090000000001</v>
      </c>
      <c r="G233" s="2" t="str">
        <f t="shared" si="12"/>
        <v>Pass</v>
      </c>
      <c r="Y233" s="2">
        <v>218</v>
      </c>
      <c r="Z233" s="2">
        <v>0.313</v>
      </c>
      <c r="AA233" s="2">
        <v>0.32890000000000003</v>
      </c>
      <c r="AB233" s="2">
        <v>171.00460000000001</v>
      </c>
    </row>
    <row r="234" spans="2:28" x14ac:dyDescent="0.4">
      <c r="B234" s="11">
        <v>217</v>
      </c>
      <c r="C234" s="16">
        <f t="shared" si="13"/>
        <v>151.47298056297097</v>
      </c>
      <c r="D234" s="17">
        <f t="shared" si="15"/>
        <v>168.30331173663441</v>
      </c>
      <c r="E234" s="17">
        <f t="shared" si="14"/>
        <v>185.13364291029785</v>
      </c>
      <c r="F234" s="2">
        <v>169.56559999999999</v>
      </c>
      <c r="G234" s="2" t="str">
        <f t="shared" si="12"/>
        <v>Pass</v>
      </c>
      <c r="Y234" s="2">
        <v>219</v>
      </c>
      <c r="Z234" s="2">
        <v>0.31269999999999998</v>
      </c>
      <c r="AA234" s="2">
        <v>0.32840000000000003</v>
      </c>
      <c r="AB234" s="2">
        <v>173.0318</v>
      </c>
    </row>
    <row r="235" spans="2:28" x14ac:dyDescent="0.4">
      <c r="B235" s="11">
        <v>218</v>
      </c>
      <c r="C235" s="16">
        <f t="shared" si="13"/>
        <v>152.87070769183521</v>
      </c>
      <c r="D235" s="17">
        <f t="shared" si="15"/>
        <v>169.85634187981691</v>
      </c>
      <c r="E235" s="17">
        <f t="shared" si="14"/>
        <v>186.84197606779861</v>
      </c>
      <c r="F235" s="2">
        <v>171.00460000000001</v>
      </c>
      <c r="G235" s="2" t="str">
        <f t="shared" si="12"/>
        <v>Pass</v>
      </c>
      <c r="Y235" s="2">
        <v>220</v>
      </c>
      <c r="Z235" s="2">
        <v>0.31340000000000001</v>
      </c>
      <c r="AA235" s="2">
        <v>0.32979999999999998</v>
      </c>
      <c r="AB235" s="2">
        <v>174.4075</v>
      </c>
    </row>
    <row r="236" spans="2:28" x14ac:dyDescent="0.4">
      <c r="B236" s="11">
        <v>219</v>
      </c>
      <c r="C236" s="16">
        <f t="shared" si="13"/>
        <v>154.27485404838112</v>
      </c>
      <c r="D236" s="17">
        <f t="shared" si="15"/>
        <v>171.41650449820125</v>
      </c>
      <c r="E236" s="17">
        <f t="shared" si="14"/>
        <v>188.55815494802138</v>
      </c>
      <c r="F236" s="2">
        <v>173.0318</v>
      </c>
      <c r="G236" s="2" t="str">
        <f t="shared" si="12"/>
        <v>Pass</v>
      </c>
      <c r="Y236" s="2">
        <v>221</v>
      </c>
      <c r="Z236" s="2">
        <v>0.31330000000000002</v>
      </c>
      <c r="AA236" s="2">
        <v>0.32940000000000003</v>
      </c>
      <c r="AB236" s="2">
        <v>175.88480000000001</v>
      </c>
    </row>
    <row r="237" spans="2:28" x14ac:dyDescent="0.4">
      <c r="B237" s="11">
        <v>220</v>
      </c>
      <c r="C237" s="16">
        <f t="shared" si="13"/>
        <v>155.68541963260864</v>
      </c>
      <c r="D237" s="17">
        <f t="shared" si="15"/>
        <v>172.98379959178737</v>
      </c>
      <c r="E237" s="17">
        <f t="shared" si="14"/>
        <v>190.28217955096611</v>
      </c>
      <c r="F237" s="2">
        <v>174.4075</v>
      </c>
      <c r="G237" s="2" t="str">
        <f t="shared" si="12"/>
        <v>Pass</v>
      </c>
      <c r="Y237" s="2">
        <v>222</v>
      </c>
      <c r="Z237" s="2">
        <v>0.31240000000000001</v>
      </c>
      <c r="AA237" s="2">
        <v>0.3291</v>
      </c>
      <c r="AB237" s="2">
        <v>177.43770000000001</v>
      </c>
    </row>
    <row r="238" spans="2:28" x14ac:dyDescent="0.4">
      <c r="B238" s="11">
        <v>221</v>
      </c>
      <c r="C238" s="16">
        <f t="shared" si="13"/>
        <v>157.10240444451784</v>
      </c>
      <c r="D238" s="17">
        <f t="shared" si="15"/>
        <v>174.5582271605754</v>
      </c>
      <c r="E238" s="17">
        <f t="shared" si="14"/>
        <v>192.01404987663295</v>
      </c>
      <c r="F238" s="2">
        <v>175.88480000000001</v>
      </c>
      <c r="G238" s="2" t="str">
        <f t="shared" si="12"/>
        <v>Pass</v>
      </c>
      <c r="Y238" s="2">
        <v>223</v>
      </c>
      <c r="Z238" s="2">
        <v>0.31230000000000002</v>
      </c>
      <c r="AA238" s="2">
        <v>0.3291</v>
      </c>
      <c r="AB238" s="2">
        <v>178.92099999999999</v>
      </c>
    </row>
    <row r="239" spans="2:28" x14ac:dyDescent="0.4">
      <c r="B239" s="11">
        <v>222</v>
      </c>
      <c r="C239" s="16">
        <f t="shared" si="13"/>
        <v>158.52580848410872</v>
      </c>
      <c r="D239" s="17">
        <f t="shared" si="15"/>
        <v>176.13978720456524</v>
      </c>
      <c r="E239" s="17">
        <f t="shared" si="14"/>
        <v>193.75376592502175</v>
      </c>
      <c r="F239" s="2">
        <v>177.43770000000001</v>
      </c>
      <c r="G239" s="2" t="str">
        <f t="shared" si="12"/>
        <v>Pass</v>
      </c>
      <c r="Y239" s="2">
        <v>224</v>
      </c>
      <c r="Z239" s="2">
        <v>0.31230000000000002</v>
      </c>
      <c r="AA239" s="2">
        <v>0.32890000000000003</v>
      </c>
      <c r="AB239" s="2">
        <v>180.8322</v>
      </c>
    </row>
    <row r="240" spans="2:28" x14ac:dyDescent="0.4">
      <c r="B240" s="11">
        <v>223</v>
      </c>
      <c r="C240" s="16">
        <f t="shared" si="13"/>
        <v>159.95563175138122</v>
      </c>
      <c r="D240" s="17">
        <f t="shared" si="15"/>
        <v>177.72847972375692</v>
      </c>
      <c r="E240" s="17">
        <f t="shared" si="14"/>
        <v>195.50132769613262</v>
      </c>
      <c r="F240" s="2">
        <v>178.92099999999999</v>
      </c>
      <c r="G240" s="2" t="str">
        <f t="shared" si="12"/>
        <v>Pass</v>
      </c>
      <c r="Y240" s="2">
        <v>225</v>
      </c>
      <c r="Z240" s="2">
        <v>0.31219999999999998</v>
      </c>
      <c r="AA240" s="2">
        <v>0.32879999999999998</v>
      </c>
      <c r="AB240" s="2">
        <v>182.3126</v>
      </c>
    </row>
    <row r="241" spans="2:28" x14ac:dyDescent="0.4">
      <c r="B241" s="11">
        <v>224</v>
      </c>
      <c r="C241" s="16">
        <f t="shared" si="13"/>
        <v>161.39187424633539</v>
      </c>
      <c r="D241" s="17">
        <f t="shared" si="15"/>
        <v>179.32430471815044</v>
      </c>
      <c r="E241" s="17">
        <f t="shared" si="14"/>
        <v>197.2567351899655</v>
      </c>
      <c r="F241" s="2">
        <v>180.8322</v>
      </c>
      <c r="G241" s="2" t="str">
        <f t="shared" si="12"/>
        <v>Pass</v>
      </c>
      <c r="Y241" s="2">
        <v>226</v>
      </c>
      <c r="Z241" s="2">
        <v>0.312</v>
      </c>
      <c r="AA241" s="2">
        <v>0.32879999999999998</v>
      </c>
      <c r="AB241" s="2">
        <v>184.3109</v>
      </c>
    </row>
    <row r="242" spans="2:28" x14ac:dyDescent="0.4">
      <c r="B242" s="11">
        <v>225</v>
      </c>
      <c r="C242" s="16">
        <f t="shared" si="13"/>
        <v>162.83453596897127</v>
      </c>
      <c r="D242" s="17">
        <f t="shared" si="15"/>
        <v>180.92726218774584</v>
      </c>
      <c r="E242" s="17">
        <f t="shared" si="14"/>
        <v>199.01998840652041</v>
      </c>
      <c r="F242" s="2">
        <v>182.3126</v>
      </c>
      <c r="G242" s="2" t="str">
        <f t="shared" si="12"/>
        <v>Pass</v>
      </c>
      <c r="Y242" s="2">
        <v>227</v>
      </c>
      <c r="Z242" s="2">
        <v>0.31190000000000001</v>
      </c>
      <c r="AA242" s="2">
        <v>0.32879999999999998</v>
      </c>
      <c r="AB242" s="2">
        <v>185.79849999999999</v>
      </c>
    </row>
    <row r="243" spans="2:28" x14ac:dyDescent="0.4">
      <c r="B243" s="11">
        <v>226</v>
      </c>
      <c r="C243" s="16">
        <f t="shared" si="13"/>
        <v>164.28361691928879</v>
      </c>
      <c r="D243" s="17">
        <f t="shared" si="15"/>
        <v>182.53735213254311</v>
      </c>
      <c r="E243" s="17">
        <f t="shared" si="14"/>
        <v>200.79108734579742</v>
      </c>
      <c r="F243" s="2">
        <v>184.3109</v>
      </c>
      <c r="G243" s="2" t="str">
        <f t="shared" si="12"/>
        <v>Pass</v>
      </c>
      <c r="Y243" s="2">
        <v>228</v>
      </c>
      <c r="Z243" s="2">
        <v>0.31269999999999998</v>
      </c>
      <c r="AA243" s="2">
        <v>0.32919999999999999</v>
      </c>
      <c r="AB243" s="2">
        <v>186.28319999999999</v>
      </c>
    </row>
    <row r="244" spans="2:28" x14ac:dyDescent="0.4">
      <c r="B244" s="11">
        <v>227</v>
      </c>
      <c r="C244" s="16">
        <f t="shared" si="13"/>
        <v>165.73911709728793</v>
      </c>
      <c r="D244" s="17">
        <f t="shared" si="15"/>
        <v>184.15457455254216</v>
      </c>
      <c r="E244" s="17">
        <f t="shared" si="14"/>
        <v>202.57003200779639</v>
      </c>
      <c r="F244" s="2">
        <v>185.79849999999999</v>
      </c>
      <c r="G244" s="2" t="str">
        <f t="shared" si="12"/>
        <v>Pass</v>
      </c>
      <c r="Y244" s="2">
        <v>229</v>
      </c>
      <c r="Z244" s="2">
        <v>0.31269999999999998</v>
      </c>
      <c r="AA244" s="2">
        <v>0.32919999999999999</v>
      </c>
      <c r="AB244" s="2">
        <v>187.86539999999999</v>
      </c>
    </row>
    <row r="245" spans="2:28" x14ac:dyDescent="0.4">
      <c r="B245" s="11">
        <v>228</v>
      </c>
      <c r="C245" s="16">
        <f t="shared" si="13"/>
        <v>167.20103650296878</v>
      </c>
      <c r="D245" s="17">
        <f t="shared" si="15"/>
        <v>185.77892944774308</v>
      </c>
      <c r="E245" s="17">
        <f t="shared" si="14"/>
        <v>204.35682239251739</v>
      </c>
      <c r="F245" s="2">
        <v>186.28319999999999</v>
      </c>
      <c r="G245" s="2" t="str">
        <f t="shared" si="12"/>
        <v>Pass</v>
      </c>
      <c r="Y245" s="2">
        <v>230</v>
      </c>
      <c r="Z245" s="2">
        <v>0.31259999999999999</v>
      </c>
      <c r="AA245" s="2">
        <v>0.3291</v>
      </c>
      <c r="AB245" s="2">
        <v>190.0017</v>
      </c>
    </row>
    <row r="246" spans="2:28" x14ac:dyDescent="0.4">
      <c r="B246" s="11">
        <v>229</v>
      </c>
      <c r="C246" s="16">
        <f t="shared" si="13"/>
        <v>168.6693751363313</v>
      </c>
      <c r="D246" s="17">
        <f t="shared" si="15"/>
        <v>187.41041681814588</v>
      </c>
      <c r="E246" s="17">
        <f t="shared" si="14"/>
        <v>206.15145849996046</v>
      </c>
      <c r="F246" s="2">
        <v>187.86539999999999</v>
      </c>
      <c r="G246" s="2" t="str">
        <f t="shared" si="12"/>
        <v>Pass</v>
      </c>
      <c r="Y246" s="2">
        <v>231</v>
      </c>
      <c r="Z246" s="2">
        <v>0.31259999999999999</v>
      </c>
      <c r="AA246" s="2">
        <v>0.32900000000000001</v>
      </c>
      <c r="AB246" s="2">
        <v>191.63339999999999</v>
      </c>
    </row>
    <row r="247" spans="2:28" x14ac:dyDescent="0.4">
      <c r="B247" s="11">
        <v>230</v>
      </c>
      <c r="C247" s="16">
        <f t="shared" si="13"/>
        <v>170.14413299737544</v>
      </c>
      <c r="D247" s="17">
        <f t="shared" si="15"/>
        <v>189.04903666375048</v>
      </c>
      <c r="E247" s="17">
        <f t="shared" si="14"/>
        <v>207.95394033012553</v>
      </c>
      <c r="F247" s="2">
        <v>190.0017</v>
      </c>
      <c r="G247" s="2" t="str">
        <f t="shared" si="12"/>
        <v>Pass</v>
      </c>
      <c r="Y247" s="2">
        <v>232</v>
      </c>
      <c r="Z247" s="2">
        <v>0.3125</v>
      </c>
      <c r="AA247" s="2">
        <v>0.32900000000000001</v>
      </c>
      <c r="AB247" s="2">
        <v>193.2938</v>
      </c>
    </row>
    <row r="248" spans="2:28" x14ac:dyDescent="0.4">
      <c r="B248" s="11">
        <v>231</v>
      </c>
      <c r="C248" s="16">
        <f t="shared" si="13"/>
        <v>171.62531008610122</v>
      </c>
      <c r="D248" s="17">
        <f t="shared" si="15"/>
        <v>190.69478898455691</v>
      </c>
      <c r="E248" s="17">
        <f t="shared" si="14"/>
        <v>209.76426788301259</v>
      </c>
      <c r="F248" s="2">
        <v>191.63339999999999</v>
      </c>
      <c r="G248" s="2" t="str">
        <f t="shared" si="12"/>
        <v>Pass</v>
      </c>
      <c r="Y248" s="2">
        <v>233</v>
      </c>
      <c r="Z248" s="2">
        <v>0.31259999999999999</v>
      </c>
      <c r="AA248" s="2">
        <v>0.32929999999999998</v>
      </c>
      <c r="AB248" s="2">
        <v>195.3903</v>
      </c>
    </row>
    <row r="249" spans="2:28" x14ac:dyDescent="0.4">
      <c r="B249" s="11">
        <v>232</v>
      </c>
      <c r="C249" s="16">
        <f t="shared" si="13"/>
        <v>173.11290640250871</v>
      </c>
      <c r="D249" s="17">
        <f t="shared" si="15"/>
        <v>192.34767378056523</v>
      </c>
      <c r="E249" s="17">
        <f t="shared" si="14"/>
        <v>211.58244115862175</v>
      </c>
      <c r="F249" s="2">
        <v>193.2938</v>
      </c>
      <c r="G249" s="2" t="str">
        <f t="shared" si="12"/>
        <v>Pass</v>
      </c>
      <c r="Y249" s="2">
        <v>234</v>
      </c>
      <c r="Z249" s="2">
        <v>0.31319999999999998</v>
      </c>
      <c r="AA249" s="2">
        <v>0.33040000000000003</v>
      </c>
      <c r="AB249" s="2">
        <v>197.01740000000001</v>
      </c>
    </row>
    <row r="250" spans="2:28" x14ac:dyDescent="0.4">
      <c r="B250" s="11">
        <v>233</v>
      </c>
      <c r="C250" s="16">
        <f t="shared" si="13"/>
        <v>174.60692194659785</v>
      </c>
      <c r="D250" s="17">
        <f t="shared" si="15"/>
        <v>194.0076910517754</v>
      </c>
      <c r="E250" s="17">
        <f t="shared" si="14"/>
        <v>213.40846015695294</v>
      </c>
      <c r="F250" s="2">
        <v>195.3903</v>
      </c>
      <c r="G250" s="2" t="str">
        <f t="shared" si="12"/>
        <v>Pass</v>
      </c>
      <c r="Y250" s="2">
        <v>235</v>
      </c>
      <c r="Z250" s="2">
        <v>0.31340000000000001</v>
      </c>
      <c r="AA250" s="2">
        <v>0.3306</v>
      </c>
      <c r="AB250" s="2">
        <v>199.03450000000001</v>
      </c>
    </row>
    <row r="251" spans="2:28" x14ac:dyDescent="0.4">
      <c r="B251" s="11">
        <v>234</v>
      </c>
      <c r="C251" s="16">
        <f t="shared" si="13"/>
        <v>176.10735671836866</v>
      </c>
      <c r="D251" s="17">
        <f t="shared" si="15"/>
        <v>195.6748407981874</v>
      </c>
      <c r="E251" s="17">
        <f t="shared" si="14"/>
        <v>215.24232487800614</v>
      </c>
      <c r="F251" s="2">
        <v>197.01740000000001</v>
      </c>
      <c r="G251" s="2" t="str">
        <f t="shared" si="12"/>
        <v>Pass</v>
      </c>
      <c r="Y251" s="2">
        <v>236</v>
      </c>
      <c r="Z251" s="2">
        <v>0.31319999999999998</v>
      </c>
      <c r="AA251" s="2">
        <v>0.33050000000000002</v>
      </c>
      <c r="AB251" s="2">
        <v>200.6208</v>
      </c>
    </row>
    <row r="252" spans="2:28" x14ac:dyDescent="0.4">
      <c r="B252" s="11">
        <v>235</v>
      </c>
      <c r="C252" s="16">
        <f t="shared" si="13"/>
        <v>177.61421071782112</v>
      </c>
      <c r="D252" s="17">
        <f t="shared" si="15"/>
        <v>197.34912301980125</v>
      </c>
      <c r="E252" s="17">
        <f t="shared" si="14"/>
        <v>217.08403532178139</v>
      </c>
      <c r="F252" s="2">
        <v>199.03450000000001</v>
      </c>
      <c r="G252" s="2" t="str">
        <f t="shared" si="12"/>
        <v>Pass</v>
      </c>
      <c r="Y252" s="2">
        <v>237</v>
      </c>
      <c r="Z252" s="2">
        <v>0.31309999999999999</v>
      </c>
      <c r="AA252" s="2">
        <v>0.33040000000000003</v>
      </c>
      <c r="AB252" s="2">
        <v>202.1909</v>
      </c>
    </row>
    <row r="253" spans="2:28" x14ac:dyDescent="0.4">
      <c r="B253" s="11">
        <v>236</v>
      </c>
      <c r="C253" s="16">
        <f t="shared" si="13"/>
        <v>179.12748394495523</v>
      </c>
      <c r="D253" s="17">
        <f t="shared" si="15"/>
        <v>199.03053771661692</v>
      </c>
      <c r="E253" s="17">
        <f t="shared" si="14"/>
        <v>218.93359148827861</v>
      </c>
      <c r="F253" s="2">
        <v>200.6208</v>
      </c>
      <c r="G253" s="2" t="str">
        <f t="shared" si="12"/>
        <v>Pass</v>
      </c>
      <c r="Y253" s="2">
        <v>238</v>
      </c>
      <c r="Z253" s="2">
        <v>0.313</v>
      </c>
      <c r="AA253" s="2">
        <v>0.33019999999999999</v>
      </c>
      <c r="AB253" s="2">
        <v>204.31440000000001</v>
      </c>
    </row>
    <row r="254" spans="2:28" x14ac:dyDescent="0.4">
      <c r="B254" s="11">
        <v>237</v>
      </c>
      <c r="C254" s="16">
        <f t="shared" si="13"/>
        <v>180.64717639977098</v>
      </c>
      <c r="D254" s="17">
        <f t="shared" si="15"/>
        <v>200.71908488863443</v>
      </c>
      <c r="E254" s="17">
        <f t="shared" si="14"/>
        <v>220.79099337749787</v>
      </c>
      <c r="F254" s="2">
        <v>202.1909</v>
      </c>
      <c r="G254" s="2" t="str">
        <f t="shared" si="12"/>
        <v>Pass</v>
      </c>
      <c r="Y254" s="2">
        <v>239</v>
      </c>
      <c r="Z254" s="2">
        <v>0.313</v>
      </c>
      <c r="AA254" s="2">
        <v>0.32869999999999999</v>
      </c>
      <c r="AB254" s="2">
        <v>204.95480000000001</v>
      </c>
    </row>
    <row r="255" spans="2:28" x14ac:dyDescent="0.4">
      <c r="B255" s="11">
        <v>238</v>
      </c>
      <c r="C255" s="16">
        <f t="shared" si="13"/>
        <v>182.17328808226841</v>
      </c>
      <c r="D255" s="17">
        <f t="shared" si="15"/>
        <v>202.41476453585381</v>
      </c>
      <c r="E255" s="17">
        <f t="shared" si="14"/>
        <v>222.6562409894392</v>
      </c>
      <c r="F255" s="2">
        <v>204.31440000000001</v>
      </c>
      <c r="G255" s="2" t="str">
        <f t="shared" si="12"/>
        <v>Pass</v>
      </c>
      <c r="Y255" s="2">
        <v>240</v>
      </c>
      <c r="Z255" s="2">
        <v>0.313</v>
      </c>
      <c r="AA255" s="2">
        <v>0.3301</v>
      </c>
      <c r="AB255" s="2">
        <v>205.96190000000001</v>
      </c>
    </row>
    <row r="256" spans="2:28" x14ac:dyDescent="0.4">
      <c r="B256" s="11">
        <v>239</v>
      </c>
      <c r="C256" s="16">
        <f t="shared" si="13"/>
        <v>183.70581899244752</v>
      </c>
      <c r="D256" s="17">
        <f t="shared" si="15"/>
        <v>204.11757665827503</v>
      </c>
      <c r="E256" s="17">
        <f t="shared" si="14"/>
        <v>224.52933432410254</v>
      </c>
      <c r="F256" s="2">
        <v>204.95480000000001</v>
      </c>
      <c r="G256" s="2" t="str">
        <f t="shared" si="12"/>
        <v>Pass</v>
      </c>
      <c r="Y256" s="2">
        <v>241</v>
      </c>
      <c r="Z256" s="2">
        <v>0.31309999999999999</v>
      </c>
      <c r="AA256" s="2">
        <v>0.32990000000000003</v>
      </c>
      <c r="AB256" s="2">
        <v>208.16909999999999</v>
      </c>
    </row>
    <row r="257" spans="2:28" x14ac:dyDescent="0.4">
      <c r="B257" s="11">
        <v>240</v>
      </c>
      <c r="C257" s="16">
        <f t="shared" si="13"/>
        <v>185.24476913030827</v>
      </c>
      <c r="D257" s="17">
        <f t="shared" si="15"/>
        <v>205.82752125589806</v>
      </c>
      <c r="E257" s="17">
        <f t="shared" si="14"/>
        <v>226.41027338148785</v>
      </c>
      <c r="F257" s="2">
        <v>205.96190000000001</v>
      </c>
      <c r="G257" s="2" t="str">
        <f t="shared" si="12"/>
        <v>Pass</v>
      </c>
      <c r="Y257" s="2">
        <v>242</v>
      </c>
      <c r="Z257" s="2">
        <v>0.313</v>
      </c>
      <c r="AA257" s="2">
        <v>0.32990000000000003</v>
      </c>
      <c r="AB257" s="2">
        <v>209.7226</v>
      </c>
    </row>
    <row r="258" spans="2:28" x14ac:dyDescent="0.4">
      <c r="B258" s="11">
        <v>241</v>
      </c>
      <c r="C258" s="16">
        <f t="shared" si="13"/>
        <v>186.79013849585075</v>
      </c>
      <c r="D258" s="17">
        <f t="shared" si="15"/>
        <v>207.54459832872305</v>
      </c>
      <c r="E258" s="17">
        <f t="shared" si="14"/>
        <v>228.29905816159535</v>
      </c>
      <c r="F258" s="2">
        <v>208.16909999999999</v>
      </c>
      <c r="G258" s="2" t="str">
        <f t="shared" si="12"/>
        <v>Pass</v>
      </c>
      <c r="Y258" s="2">
        <v>243</v>
      </c>
      <c r="Z258" s="2">
        <v>0.31280000000000002</v>
      </c>
      <c r="AA258" s="2">
        <v>0.32969999999999999</v>
      </c>
      <c r="AB258" s="2">
        <v>211.60990000000001</v>
      </c>
    </row>
    <row r="259" spans="2:28" x14ac:dyDescent="0.4">
      <c r="B259" s="11">
        <v>242</v>
      </c>
      <c r="C259" s="16">
        <f t="shared" si="13"/>
        <v>188.34192708907483</v>
      </c>
      <c r="D259" s="17">
        <f t="shared" si="15"/>
        <v>209.2688078767498</v>
      </c>
      <c r="E259" s="17">
        <f t="shared" si="14"/>
        <v>230.19568866442478</v>
      </c>
      <c r="F259" s="2">
        <v>209.7226</v>
      </c>
      <c r="G259" s="2" t="str">
        <f t="shared" si="12"/>
        <v>Pass</v>
      </c>
      <c r="Y259" s="2">
        <v>244</v>
      </c>
      <c r="Z259" s="2">
        <v>0.31230000000000002</v>
      </c>
      <c r="AA259" s="2">
        <v>0.32940000000000003</v>
      </c>
      <c r="AB259" s="2">
        <v>213.06100000000001</v>
      </c>
    </row>
    <row r="260" spans="2:28" x14ac:dyDescent="0.4">
      <c r="B260" s="11">
        <v>243</v>
      </c>
      <c r="C260" s="16">
        <f t="shared" si="13"/>
        <v>189.90013490998055</v>
      </c>
      <c r="D260" s="17">
        <f t="shared" si="15"/>
        <v>211.0001498999784</v>
      </c>
      <c r="E260" s="17">
        <f t="shared" si="14"/>
        <v>232.10016488997624</v>
      </c>
      <c r="F260" s="2">
        <v>211.60990000000001</v>
      </c>
      <c r="G260" s="2" t="str">
        <f t="shared" si="12"/>
        <v>Pass</v>
      </c>
      <c r="Y260" s="2">
        <v>245</v>
      </c>
      <c r="Z260" s="2">
        <v>0.31219999999999998</v>
      </c>
      <c r="AA260" s="2">
        <v>0.32969999999999999</v>
      </c>
      <c r="AB260" s="2">
        <v>214.52879999999999</v>
      </c>
    </row>
    <row r="261" spans="2:28" x14ac:dyDescent="0.4">
      <c r="B261" s="11">
        <v>244</v>
      </c>
      <c r="C261" s="16">
        <f t="shared" si="13"/>
        <v>191.46476195856795</v>
      </c>
      <c r="D261" s="17">
        <f t="shared" si="15"/>
        <v>212.73862439840883</v>
      </c>
      <c r="E261" s="17">
        <f t="shared" si="14"/>
        <v>234.01248683824971</v>
      </c>
      <c r="F261" s="2">
        <v>213.06100000000001</v>
      </c>
      <c r="G261" s="2" t="str">
        <f t="shared" si="12"/>
        <v>Pass</v>
      </c>
      <c r="Y261" s="2">
        <v>246</v>
      </c>
      <c r="Z261" s="2">
        <v>0.31180000000000002</v>
      </c>
      <c r="AA261" s="2">
        <v>0.32950000000000002</v>
      </c>
      <c r="AB261" s="2">
        <v>216.3982</v>
      </c>
    </row>
    <row r="262" spans="2:28" x14ac:dyDescent="0.4">
      <c r="B262" s="11">
        <v>245</v>
      </c>
      <c r="C262" s="16">
        <f t="shared" si="13"/>
        <v>193.03580823483702</v>
      </c>
      <c r="D262" s="17">
        <f t="shared" si="15"/>
        <v>214.48423137204114</v>
      </c>
      <c r="E262" s="17">
        <f t="shared" si="14"/>
        <v>235.93265450924525</v>
      </c>
      <c r="F262" s="2">
        <v>214.52879999999999</v>
      </c>
      <c r="G262" s="2" t="str">
        <f t="shared" si="12"/>
        <v>Pass</v>
      </c>
      <c r="Y262" s="2">
        <v>247</v>
      </c>
      <c r="Z262" s="2">
        <v>0.31140000000000001</v>
      </c>
      <c r="AA262" s="2">
        <v>0.32929999999999998</v>
      </c>
      <c r="AB262" s="2">
        <v>217.77809999999999</v>
      </c>
    </row>
    <row r="263" spans="2:28" x14ac:dyDescent="0.4">
      <c r="B263" s="11">
        <v>246</v>
      </c>
      <c r="C263" s="16">
        <f t="shared" si="13"/>
        <v>194.61327373878774</v>
      </c>
      <c r="D263" s="17">
        <f t="shared" si="15"/>
        <v>216.23697082087526</v>
      </c>
      <c r="E263" s="17">
        <f t="shared" si="14"/>
        <v>237.86066790296277</v>
      </c>
      <c r="F263" s="2">
        <v>216.3982</v>
      </c>
      <c r="G263" s="2" t="str">
        <f t="shared" si="12"/>
        <v>Pass</v>
      </c>
      <c r="Y263" s="2">
        <v>248</v>
      </c>
      <c r="Z263" s="2">
        <v>0.31119999999999998</v>
      </c>
      <c r="AA263" s="2">
        <v>0.3291</v>
      </c>
      <c r="AB263" s="2">
        <v>219.58109999999999</v>
      </c>
    </row>
    <row r="264" spans="2:28" x14ac:dyDescent="0.4">
      <c r="B264" s="11">
        <v>247</v>
      </c>
      <c r="C264" s="16">
        <f t="shared" si="13"/>
        <v>196.19715847042011</v>
      </c>
      <c r="D264" s="17">
        <f t="shared" si="15"/>
        <v>217.99684274491122</v>
      </c>
      <c r="E264" s="17">
        <f t="shared" si="14"/>
        <v>239.79652701940233</v>
      </c>
      <c r="F264" s="2">
        <v>217.77809999999999</v>
      </c>
      <c r="G264" s="2" t="str">
        <f t="shared" si="12"/>
        <v>Pass</v>
      </c>
      <c r="Y264" s="2">
        <v>249</v>
      </c>
      <c r="Z264" s="2">
        <v>0.31119999999999998</v>
      </c>
      <c r="AA264" s="2">
        <v>0.32879999999999998</v>
      </c>
      <c r="AB264" s="2">
        <v>221.02619999999999</v>
      </c>
    </row>
    <row r="265" spans="2:28" x14ac:dyDescent="0.4">
      <c r="B265" s="11">
        <v>248</v>
      </c>
      <c r="C265" s="16">
        <f t="shared" si="13"/>
        <v>197.78746242973415</v>
      </c>
      <c r="D265" s="17">
        <f t="shared" si="15"/>
        <v>219.76384714414905</v>
      </c>
      <c r="E265" s="17">
        <f t="shared" si="14"/>
        <v>241.74023185856396</v>
      </c>
      <c r="F265" s="2">
        <v>219.58109999999999</v>
      </c>
      <c r="G265" s="2" t="str">
        <f t="shared" si="12"/>
        <v>Pass</v>
      </c>
      <c r="Y265" s="2">
        <v>250</v>
      </c>
      <c r="Z265" s="2">
        <v>0.31130000000000002</v>
      </c>
      <c r="AA265" s="2">
        <v>0.32850000000000001</v>
      </c>
      <c r="AB265" s="2">
        <v>222.5351</v>
      </c>
    </row>
    <row r="266" spans="2:28" x14ac:dyDescent="0.4">
      <c r="B266" s="11">
        <v>249</v>
      </c>
      <c r="C266" s="16">
        <f t="shared" si="13"/>
        <v>199.38418561672989</v>
      </c>
      <c r="D266" s="17">
        <f t="shared" si="15"/>
        <v>221.53798401858879</v>
      </c>
      <c r="E266" s="17">
        <f t="shared" si="14"/>
        <v>243.69178242044768</v>
      </c>
      <c r="F266" s="2">
        <v>221.02619999999999</v>
      </c>
      <c r="G266" s="2" t="str">
        <f t="shared" si="12"/>
        <v>Pass</v>
      </c>
      <c r="Y266" s="2">
        <v>251</v>
      </c>
      <c r="Z266" s="2">
        <v>0.31280000000000002</v>
      </c>
      <c r="AA266" s="2">
        <v>0.32919999999999999</v>
      </c>
      <c r="AB266" s="2">
        <v>224.80789999999999</v>
      </c>
    </row>
    <row r="267" spans="2:28" x14ac:dyDescent="0.4">
      <c r="B267" s="11">
        <v>250</v>
      </c>
      <c r="C267" s="16">
        <f t="shared" si="13"/>
        <v>200.98732803140729</v>
      </c>
      <c r="D267" s="17">
        <f t="shared" si="15"/>
        <v>223.31925336823031</v>
      </c>
      <c r="E267" s="17">
        <f t="shared" si="14"/>
        <v>245.65117870505333</v>
      </c>
      <c r="F267" s="2">
        <v>222.5351</v>
      </c>
      <c r="G267" s="2" t="str">
        <f t="shared" si="12"/>
        <v>Pass</v>
      </c>
      <c r="Y267" s="2">
        <v>252</v>
      </c>
      <c r="Z267" s="2">
        <v>0.31309999999999999</v>
      </c>
      <c r="AA267" s="2">
        <v>0.32900000000000001</v>
      </c>
      <c r="AB267" s="2">
        <v>226.36789999999999</v>
      </c>
    </row>
    <row r="268" spans="2:28" x14ac:dyDescent="0.4">
      <c r="B268" s="11">
        <v>251</v>
      </c>
      <c r="C268" s="16">
        <f t="shared" si="13"/>
        <v>202.5968896737663</v>
      </c>
      <c r="D268" s="17">
        <f t="shared" si="15"/>
        <v>225.10765519307367</v>
      </c>
      <c r="E268" s="17">
        <f t="shared" si="14"/>
        <v>247.61842071238104</v>
      </c>
      <c r="F268" s="2">
        <v>224.80789999999999</v>
      </c>
      <c r="G268" s="2" t="str">
        <f t="shared" si="12"/>
        <v>Pass</v>
      </c>
      <c r="Y268" s="2">
        <v>253</v>
      </c>
      <c r="Z268" s="2">
        <v>0.313</v>
      </c>
      <c r="AA268" s="2">
        <v>0.32850000000000001</v>
      </c>
      <c r="AB268" s="2">
        <v>227.8228</v>
      </c>
    </row>
    <row r="269" spans="2:28" x14ac:dyDescent="0.4">
      <c r="B269" s="11">
        <v>252</v>
      </c>
      <c r="C269" s="16">
        <f t="shared" si="13"/>
        <v>204.21287054380699</v>
      </c>
      <c r="D269" s="17">
        <f t="shared" si="15"/>
        <v>226.90318949311887</v>
      </c>
      <c r="E269" s="17">
        <f t="shared" si="14"/>
        <v>249.59350844243076</v>
      </c>
      <c r="F269" s="2">
        <v>226.36789999999999</v>
      </c>
      <c r="G269" s="2" t="str">
        <f t="shared" si="12"/>
        <v>Pass</v>
      </c>
      <c r="Y269" s="2">
        <v>254</v>
      </c>
      <c r="Z269" s="2">
        <v>0.313</v>
      </c>
      <c r="AA269" s="2">
        <v>0.32840000000000003</v>
      </c>
      <c r="AB269" s="2">
        <v>230.2482</v>
      </c>
    </row>
    <row r="270" spans="2:28" x14ac:dyDescent="0.4">
      <c r="B270" s="11">
        <v>253</v>
      </c>
      <c r="C270" s="16">
        <f t="shared" si="13"/>
        <v>205.83527064152932</v>
      </c>
      <c r="D270" s="17">
        <f t="shared" si="15"/>
        <v>228.70585626836592</v>
      </c>
      <c r="E270" s="17">
        <f t="shared" si="14"/>
        <v>251.57644189520252</v>
      </c>
      <c r="F270" s="2">
        <v>227.8228</v>
      </c>
      <c r="G270" s="2" t="str">
        <f t="shared" si="12"/>
        <v>Pass</v>
      </c>
      <c r="Y270" s="2">
        <v>255</v>
      </c>
      <c r="Z270" s="2">
        <v>0.31259999999999999</v>
      </c>
      <c r="AA270" s="2">
        <v>0.3286</v>
      </c>
      <c r="AB270" s="2">
        <v>231.8946</v>
      </c>
    </row>
    <row r="271" spans="2:28" x14ac:dyDescent="0.4">
      <c r="B271" s="11">
        <v>254</v>
      </c>
      <c r="C271" s="16">
        <f t="shared" si="13"/>
        <v>207.46408996693333</v>
      </c>
      <c r="D271" s="17">
        <f t="shared" si="15"/>
        <v>230.51565551881481</v>
      </c>
      <c r="E271" s="17">
        <f t="shared" si="14"/>
        <v>253.56722107069629</v>
      </c>
      <c r="F271" s="2">
        <v>230.2482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46</v>
      </c>
    </row>
    <row r="272" spans="2:28" x14ac:dyDescent="0.4">
      <c r="B272" s="11">
        <v>255</v>
      </c>
      <c r="C272" s="16">
        <f t="shared" si="13"/>
        <v>208.70514</v>
      </c>
      <c r="D272" s="18">
        <f>C12</f>
        <v>231.8946</v>
      </c>
      <c r="E272" s="17">
        <f t="shared" si="14"/>
        <v>255.08405999999999</v>
      </c>
      <c r="F272" s="2">
        <v>231.8946</v>
      </c>
      <c r="G272" s="2" t="str">
        <f t="shared" si="12"/>
        <v>Pass</v>
      </c>
    </row>
  </sheetData>
  <protectedRanges>
    <protectedRange password="EBF1" sqref="C2:D2 C4:D4" name="範圍1"/>
    <protectedRange password="EBF1" sqref="C11:C13" name="範圍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17" priority="1" operator="equal">
      <formula>"Fail"</formula>
    </cfRule>
    <cfRule type="cellIs" dxfId="16" priority="2" operator="equal">
      <formula>"Pass"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682D-6BB2-4B4E-9883-35F1830CCAF3}">
  <dimension ref="B2:AB272"/>
  <sheetViews>
    <sheetView topLeftCell="A9" zoomScale="55" zoomScaleNormal="55" workbookViewId="0">
      <selection activeCell="V13" sqref="V13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45736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0.26400000000000001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234.68270000000001</v>
      </c>
      <c r="D12" s="4" t="s">
        <v>9</v>
      </c>
      <c r="E12" s="4"/>
      <c r="Y12" s="9" t="s">
        <v>31</v>
      </c>
    </row>
    <row r="13" spans="2:28" x14ac:dyDescent="0.4">
      <c r="B13" s="1" t="s">
        <v>11</v>
      </c>
      <c r="C13" s="8">
        <v>2.2000000000000002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0.2747</v>
      </c>
      <c r="AA15" s="2">
        <v>0.28179999999999999</v>
      </c>
      <c r="AB15" s="2">
        <v>0.26400000000000001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0.27479999999999999</v>
      </c>
      <c r="AA16" s="2">
        <v>0.28079999999999999</v>
      </c>
      <c r="AB16" s="2">
        <v>0.26269999999999999</v>
      </c>
    </row>
    <row r="17" spans="2:28" ht="17.5" thickTop="1" x14ac:dyDescent="0.4">
      <c r="B17" s="11">
        <v>0</v>
      </c>
      <c r="C17" s="16">
        <f>D17-D17*(C$14/100)</f>
        <v>5.7261645989197023E-5</v>
      </c>
      <c r="D17" s="17">
        <f>D$272*((B17+F$17)/B$272)^C$13</f>
        <v>6.36240510991078E-5</v>
      </c>
      <c r="E17" s="17">
        <f>D17+D17*(C$14/100)</f>
        <v>6.9986456209018578E-5</v>
      </c>
      <c r="F17" s="2">
        <v>0.26400000000000001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0.27550000000000002</v>
      </c>
      <c r="AA17" s="2">
        <v>0.28089999999999998</v>
      </c>
      <c r="AB17" s="2">
        <v>0.26400000000000001</v>
      </c>
    </row>
    <row r="18" spans="2:28" x14ac:dyDescent="0.4">
      <c r="B18" s="11">
        <v>1</v>
      </c>
      <c r="C18" s="16">
        <f t="shared" ref="C18:C81" si="1">D18-D18*(C$14/100)</f>
        <v>1.7954724732310774E-3</v>
      </c>
      <c r="D18" s="17">
        <f>D$272*((B18+F$17)/B$272)^C$13</f>
        <v>1.9949694147011971E-3</v>
      </c>
      <c r="E18" s="17">
        <f t="shared" ref="E18:E81" si="2">D18+D18*(C$14/100)</f>
        <v>2.1944663561713168E-3</v>
      </c>
      <c r="F18" s="2">
        <v>0.26269999999999999</v>
      </c>
      <c r="G18" s="2" t="str">
        <f t="shared" si="0"/>
        <v>Fail</v>
      </c>
      <c r="Y18" s="2">
        <v>3</v>
      </c>
      <c r="Z18" s="2">
        <v>0.27679999999999999</v>
      </c>
      <c r="AA18" s="2">
        <v>0.28349999999999997</v>
      </c>
      <c r="AB18" s="2">
        <v>0.27760000000000001</v>
      </c>
    </row>
    <row r="19" spans="2:28" x14ac:dyDescent="0.4">
      <c r="B19" s="11">
        <v>2</v>
      </c>
      <c r="C19" s="16">
        <f t="shared" si="1"/>
        <v>6.4723697299628666E-3</v>
      </c>
      <c r="D19" s="17">
        <f t="shared" ref="D19:D82" si="3">D$272*((B19+F$17)/B$272)^C$13</f>
        <v>7.1915219221809629E-3</v>
      </c>
      <c r="E19" s="17">
        <f t="shared" si="2"/>
        <v>7.9106741143990592E-3</v>
      </c>
      <c r="F19" s="2">
        <v>0.26400000000000001</v>
      </c>
      <c r="G19" s="2" t="str">
        <f t="shared" si="0"/>
        <v>Fail</v>
      </c>
      <c r="Y19" s="2">
        <v>4</v>
      </c>
      <c r="Z19" s="2">
        <v>0.27850000000000003</v>
      </c>
      <c r="AA19" s="2">
        <v>0.2928</v>
      </c>
      <c r="AB19" s="2">
        <v>0.29680000000000001</v>
      </c>
    </row>
    <row r="20" spans="2:28" x14ac:dyDescent="0.4">
      <c r="B20" s="11">
        <v>3</v>
      </c>
      <c r="C20" s="16">
        <f t="shared" si="1"/>
        <v>1.4473898366469434E-2</v>
      </c>
      <c r="D20" s="17">
        <f t="shared" si="3"/>
        <v>1.608210929607715E-2</v>
      </c>
      <c r="E20" s="17">
        <f t="shared" si="2"/>
        <v>1.7690320225684866E-2</v>
      </c>
      <c r="F20" s="2">
        <v>0.27760000000000001</v>
      </c>
      <c r="G20" s="2" t="str">
        <f t="shared" si="0"/>
        <v>Fail</v>
      </c>
      <c r="Y20" s="2">
        <v>5</v>
      </c>
      <c r="Z20" s="2">
        <v>0.27539999999999998</v>
      </c>
      <c r="AA20" s="2">
        <v>0.28410000000000002</v>
      </c>
      <c r="AB20" s="2">
        <v>0.29699999999999999</v>
      </c>
    </row>
    <row r="21" spans="2:28" x14ac:dyDescent="0.4">
      <c r="B21" s="11">
        <v>4</v>
      </c>
      <c r="C21" s="16">
        <f t="shared" si="1"/>
        <v>2.605751640225891E-2</v>
      </c>
      <c r="D21" s="17">
        <f t="shared" si="3"/>
        <v>2.8952796002509898E-2</v>
      </c>
      <c r="E21" s="17">
        <f t="shared" si="2"/>
        <v>3.1848075602760886E-2</v>
      </c>
      <c r="F21" s="2">
        <v>0.29680000000000001</v>
      </c>
      <c r="G21" s="2" t="str">
        <f t="shared" si="0"/>
        <v>Fail</v>
      </c>
      <c r="Y21" s="2">
        <v>6</v>
      </c>
      <c r="Z21" s="2">
        <v>0.2797</v>
      </c>
      <c r="AA21" s="2">
        <v>0.29299999999999998</v>
      </c>
      <c r="AB21" s="2">
        <v>0.31330000000000002</v>
      </c>
    </row>
    <row r="22" spans="2:28" x14ac:dyDescent="0.4">
      <c r="B22" s="11">
        <v>5</v>
      </c>
      <c r="C22" s="16">
        <f t="shared" si="1"/>
        <v>4.142191049510973E-2</v>
      </c>
      <c r="D22" s="17">
        <f t="shared" si="3"/>
        <v>4.6024344994566369E-2</v>
      </c>
      <c r="E22" s="17">
        <f t="shared" si="2"/>
        <v>5.0626779494023007E-2</v>
      </c>
      <c r="F22" s="2">
        <v>0.29699999999999999</v>
      </c>
      <c r="G22" s="2" t="str">
        <f t="shared" si="0"/>
        <v>Fail</v>
      </c>
      <c r="Y22" s="2">
        <v>7</v>
      </c>
      <c r="Z22" s="2">
        <v>0.28060000000000002</v>
      </c>
      <c r="AA22" s="2">
        <v>0.29380000000000001</v>
      </c>
      <c r="AB22" s="2">
        <v>0.33050000000000002</v>
      </c>
    </row>
    <row r="23" spans="2:28" x14ac:dyDescent="0.4">
      <c r="B23" s="11">
        <v>6</v>
      </c>
      <c r="C23" s="16">
        <f t="shared" si="1"/>
        <v>6.0730804811474838E-2</v>
      </c>
      <c r="D23" s="17">
        <f t="shared" si="3"/>
        <v>6.7478672012749819E-2</v>
      </c>
      <c r="E23" s="17">
        <f t="shared" si="2"/>
        <v>7.4226539214024806E-2</v>
      </c>
      <c r="F23" s="2">
        <v>0.31330000000000002</v>
      </c>
      <c r="G23" s="2" t="str">
        <f t="shared" si="0"/>
        <v>Fail</v>
      </c>
      <c r="Y23" s="2">
        <v>8</v>
      </c>
      <c r="Z23" s="2">
        <v>0.27610000000000001</v>
      </c>
      <c r="AA23" s="2">
        <v>0.29270000000000002</v>
      </c>
      <c r="AB23" s="2">
        <v>0.36270000000000002</v>
      </c>
    </row>
    <row r="24" spans="2:28" x14ac:dyDescent="0.4">
      <c r="B24" s="11">
        <v>7</v>
      </c>
      <c r="C24" s="16">
        <f t="shared" si="1"/>
        <v>8.412440909867544E-2</v>
      </c>
      <c r="D24" s="17">
        <f t="shared" si="3"/>
        <v>9.3471565665194933E-2</v>
      </c>
      <c r="E24" s="17">
        <f t="shared" si="2"/>
        <v>0.10281872223171443</v>
      </c>
      <c r="F24" s="2">
        <v>0.33050000000000002</v>
      </c>
      <c r="G24" s="2" t="str">
        <f t="shared" si="0"/>
        <v>Fail</v>
      </c>
      <c r="Y24" s="2">
        <v>9</v>
      </c>
      <c r="Z24" s="2">
        <v>0.2787</v>
      </c>
      <c r="AA24" s="2">
        <v>0.29699999999999999</v>
      </c>
      <c r="AB24" s="2">
        <v>0.36799999999999999</v>
      </c>
    </row>
    <row r="25" spans="2:28" x14ac:dyDescent="0.4">
      <c r="B25" s="11">
        <v>8</v>
      </c>
      <c r="C25" s="16">
        <f t="shared" si="1"/>
        <v>0.11172590142037656</v>
      </c>
      <c r="D25" s="17">
        <f t="shared" si="3"/>
        <v>0.12413989046708505</v>
      </c>
      <c r="E25" s="17">
        <f t="shared" si="2"/>
        <v>0.13655387951379355</v>
      </c>
      <c r="F25" s="2">
        <v>0.36270000000000002</v>
      </c>
      <c r="G25" s="2" t="str">
        <f t="shared" si="0"/>
        <v>Fail</v>
      </c>
      <c r="Y25" s="2">
        <v>10</v>
      </c>
      <c r="Z25" s="2">
        <v>0.28210000000000002</v>
      </c>
      <c r="AA25" s="2">
        <v>0.29959999999999998</v>
      </c>
      <c r="AB25" s="2">
        <v>0.40089999999999998</v>
      </c>
    </row>
    <row r="26" spans="2:28" x14ac:dyDescent="0.4">
      <c r="B26" s="11">
        <v>9</v>
      </c>
      <c r="C26" s="16">
        <f t="shared" si="1"/>
        <v>0.14364548851239373</v>
      </c>
      <c r="D26" s="17">
        <f t="shared" si="3"/>
        <v>0.15960609834710413</v>
      </c>
      <c r="E26" s="17">
        <f t="shared" si="2"/>
        <v>0.17556670818181452</v>
      </c>
      <c r="F26" s="2">
        <v>0.36799999999999999</v>
      </c>
      <c r="G26" s="2" t="str">
        <f t="shared" si="0"/>
        <v>Fail</v>
      </c>
      <c r="Y26" s="2">
        <v>11</v>
      </c>
      <c r="Z26" s="2">
        <v>0.28449999999999998</v>
      </c>
      <c r="AA26" s="2">
        <v>0.30399999999999999</v>
      </c>
      <c r="AB26" s="2">
        <v>0.44740000000000002</v>
      </c>
    </row>
    <row r="27" spans="2:28" x14ac:dyDescent="0.4">
      <c r="B27" s="11">
        <v>10</v>
      </c>
      <c r="C27" s="16">
        <f t="shared" si="1"/>
        <v>0.17998313158545781</v>
      </c>
      <c r="D27" s="17">
        <f t="shared" si="3"/>
        <v>0.19998125731717534</v>
      </c>
      <c r="E27" s="17">
        <f t="shared" si="2"/>
        <v>0.21997938304889286</v>
      </c>
      <c r="F27" s="2">
        <v>0.40089999999999998</v>
      </c>
      <c r="G27" s="2" t="str">
        <f t="shared" si="0"/>
        <v>Fail</v>
      </c>
      <c r="Y27" s="2">
        <v>12</v>
      </c>
      <c r="Z27" s="2">
        <v>0.28539999999999999</v>
      </c>
      <c r="AA27" s="2">
        <v>0.31159999999999999</v>
      </c>
      <c r="AB27" s="2">
        <v>0.4738</v>
      </c>
    </row>
    <row r="28" spans="2:28" x14ac:dyDescent="0.4">
      <c r="B28" s="11">
        <v>11</v>
      </c>
      <c r="C28" s="16">
        <f t="shared" si="1"/>
        <v>0.22083047190784513</v>
      </c>
      <c r="D28" s="17">
        <f t="shared" si="3"/>
        <v>0.24536719100871682</v>
      </c>
      <c r="E28" s="17">
        <f t="shared" si="2"/>
        <v>0.26990391010958847</v>
      </c>
      <c r="F28" s="2">
        <v>0.44740000000000002</v>
      </c>
      <c r="G28" s="2" t="str">
        <f t="shared" si="0"/>
        <v>Fail</v>
      </c>
      <c r="Y28" s="2">
        <v>13</v>
      </c>
      <c r="Z28" s="2">
        <v>0.28949999999999998</v>
      </c>
      <c r="AA28" s="2">
        <v>0.31850000000000001</v>
      </c>
      <c r="AB28" s="2">
        <v>0.54139999999999999</v>
      </c>
    </row>
    <row r="29" spans="2:28" x14ac:dyDescent="0.4">
      <c r="B29" s="11">
        <v>12</v>
      </c>
      <c r="C29" s="16">
        <f t="shared" si="1"/>
        <v>0.26627224543107869</v>
      </c>
      <c r="D29" s="17">
        <f t="shared" si="3"/>
        <v>0.29585805047897634</v>
      </c>
      <c r="E29" s="17">
        <f t="shared" si="2"/>
        <v>0.32544385552687399</v>
      </c>
      <c r="F29" s="2">
        <v>0.4738</v>
      </c>
      <c r="G29" s="2" t="str">
        <f t="shared" si="0"/>
        <v>Fail</v>
      </c>
      <c r="Y29" s="2">
        <v>14</v>
      </c>
      <c r="Z29" s="2">
        <v>0.28749999999999998</v>
      </c>
      <c r="AA29" s="2">
        <v>0.32229999999999998</v>
      </c>
      <c r="AB29" s="2">
        <v>0.60089999999999999</v>
      </c>
    </row>
    <row r="30" spans="2:28" x14ac:dyDescent="0.4">
      <c r="B30" s="11">
        <v>13</v>
      </c>
      <c r="C30" s="16">
        <f t="shared" si="1"/>
        <v>0.31638735487308184</v>
      </c>
      <c r="D30" s="17">
        <f t="shared" si="3"/>
        <v>0.35154150541453538</v>
      </c>
      <c r="E30" s="17">
        <f t="shared" si="2"/>
        <v>0.38669565595598893</v>
      </c>
      <c r="F30" s="2">
        <v>0.54139999999999999</v>
      </c>
      <c r="G30" s="2" t="str">
        <f t="shared" si="0"/>
        <v>Fail</v>
      </c>
      <c r="Y30" s="2">
        <v>15</v>
      </c>
      <c r="Z30" s="2">
        <v>0.29170000000000001</v>
      </c>
      <c r="AA30" s="2">
        <v>0.32400000000000001</v>
      </c>
      <c r="AB30" s="2">
        <v>0.68810000000000004</v>
      </c>
    </row>
    <row r="31" spans="2:28" x14ac:dyDescent="0.4">
      <c r="B31" s="11">
        <v>14</v>
      </c>
      <c r="C31" s="16">
        <f t="shared" si="1"/>
        <v>0.37124970304181393</v>
      </c>
      <c r="D31" s="17">
        <f t="shared" si="3"/>
        <v>0.41249967004645993</v>
      </c>
      <c r="E31" s="17">
        <f t="shared" si="2"/>
        <v>0.45374963705110594</v>
      </c>
      <c r="F31" s="2">
        <v>0.60089999999999999</v>
      </c>
      <c r="G31" s="2" t="str">
        <f t="shared" si="0"/>
        <v>Fail</v>
      </c>
      <c r="Y31" s="2">
        <v>16</v>
      </c>
      <c r="Z31" s="2">
        <v>0.2969</v>
      </c>
      <c r="AA31" s="2">
        <v>0.3306</v>
      </c>
      <c r="AB31" s="2">
        <v>0.69020000000000004</v>
      </c>
    </row>
    <row r="32" spans="2:28" x14ac:dyDescent="0.4">
      <c r="B32" s="11">
        <v>15</v>
      </c>
      <c r="C32" s="16">
        <f t="shared" si="1"/>
        <v>0.43092885434314721</v>
      </c>
      <c r="D32" s="17">
        <f t="shared" si="3"/>
        <v>0.47880983815905248</v>
      </c>
      <c r="E32" s="17">
        <f t="shared" si="2"/>
        <v>0.52669082197495776</v>
      </c>
      <c r="F32" s="2">
        <v>0.68810000000000004</v>
      </c>
      <c r="G32" s="2" t="str">
        <f t="shared" si="0"/>
        <v>Fail</v>
      </c>
      <c r="Y32" s="2">
        <v>17</v>
      </c>
      <c r="Z32" s="2">
        <v>0.30120000000000002</v>
      </c>
      <c r="AA32" s="2">
        <v>0.32990000000000003</v>
      </c>
      <c r="AB32" s="2">
        <v>0.77749999999999997</v>
      </c>
    </row>
    <row r="33" spans="2:28" x14ac:dyDescent="0.4">
      <c r="B33" s="11">
        <v>16</v>
      </c>
      <c r="C33" s="16">
        <f t="shared" si="1"/>
        <v>0.49549056930892027</v>
      </c>
      <c r="D33" s="17">
        <f t="shared" si="3"/>
        <v>0.5505450770099114</v>
      </c>
      <c r="E33" s="17">
        <f t="shared" si="2"/>
        <v>0.60559958471090258</v>
      </c>
      <c r="F33" s="2">
        <v>0.69020000000000004</v>
      </c>
      <c r="G33" s="2" t="str">
        <f t="shared" si="0"/>
        <v>Fail</v>
      </c>
      <c r="Y33" s="2">
        <v>18</v>
      </c>
      <c r="Z33" s="2">
        <v>0.30070000000000002</v>
      </c>
      <c r="AA33" s="2">
        <v>0.3352</v>
      </c>
      <c r="AB33" s="2">
        <v>0.86260000000000003</v>
      </c>
    </row>
    <row r="34" spans="2:28" x14ac:dyDescent="0.4">
      <c r="B34" s="11">
        <v>17</v>
      </c>
      <c r="C34" s="16">
        <f t="shared" si="1"/>
        <v>0.56499724313648558</v>
      </c>
      <c r="D34" s="17">
        <f t="shared" si="3"/>
        <v>0.62777471459609513</v>
      </c>
      <c r="E34" s="17">
        <f t="shared" si="2"/>
        <v>0.69055218605570468</v>
      </c>
      <c r="F34" s="2">
        <v>0.77749999999999997</v>
      </c>
      <c r="G34" s="2" t="str">
        <f t="shared" si="0"/>
        <v>Fail</v>
      </c>
      <c r="Y34" s="2">
        <v>19</v>
      </c>
      <c r="Z34" s="2">
        <v>0.30280000000000001</v>
      </c>
      <c r="AA34" s="2">
        <v>0.3367</v>
      </c>
      <c r="AB34" s="2">
        <v>0.97929999999999995</v>
      </c>
    </row>
    <row r="35" spans="2:28" x14ac:dyDescent="0.4">
      <c r="B35" s="11">
        <v>18</v>
      </c>
      <c r="C35" s="16">
        <f t="shared" si="1"/>
        <v>0.63950827024459467</v>
      </c>
      <c r="D35" s="17">
        <f t="shared" si="3"/>
        <v>0.71056474471621633</v>
      </c>
      <c r="E35" s="17">
        <f t="shared" si="2"/>
        <v>0.781621219187838</v>
      </c>
      <c r="F35" s="2">
        <v>0.86260000000000003</v>
      </c>
      <c r="G35" s="2" t="str">
        <f t="shared" si="0"/>
        <v>Fail</v>
      </c>
      <c r="Y35" s="2">
        <v>20</v>
      </c>
      <c r="Z35" s="2">
        <v>0.29659999999999997</v>
      </c>
      <c r="AA35" s="2">
        <v>0.3322</v>
      </c>
      <c r="AB35" s="2">
        <v>1.0457000000000001</v>
      </c>
    </row>
    <row r="36" spans="2:28" x14ac:dyDescent="0.4">
      <c r="B36" s="11">
        <v>19</v>
      </c>
      <c r="C36" s="16">
        <f t="shared" si="1"/>
        <v>0.71908035083580946</v>
      </c>
      <c r="D36" s="17">
        <f t="shared" si="3"/>
        <v>0.79897816759534379</v>
      </c>
      <c r="E36" s="17">
        <f t="shared" si="2"/>
        <v>0.87887598435487813</v>
      </c>
      <c r="F36" s="2">
        <v>0.97929999999999995</v>
      </c>
      <c r="G36" s="2" t="str">
        <f t="shared" si="0"/>
        <v>Fail</v>
      </c>
      <c r="Y36" s="2">
        <v>21</v>
      </c>
      <c r="Z36" s="2">
        <v>0.29770000000000002</v>
      </c>
      <c r="AA36" s="2">
        <v>0.33339999999999997</v>
      </c>
      <c r="AB36" s="2">
        <v>1.1603000000000001</v>
      </c>
    </row>
    <row r="37" spans="2:28" x14ac:dyDescent="0.4">
      <c r="B37" s="11">
        <v>20</v>
      </c>
      <c r="C37" s="16">
        <f t="shared" si="1"/>
        <v>0.80376775132193745</v>
      </c>
      <c r="D37" s="17">
        <f t="shared" si="3"/>
        <v>0.89307527924659713</v>
      </c>
      <c r="E37" s="17">
        <f t="shared" si="2"/>
        <v>0.98238280717125681</v>
      </c>
      <c r="F37" s="2">
        <v>1.0457000000000001</v>
      </c>
      <c r="G37" s="2" t="str">
        <f t="shared" si="0"/>
        <v>Fail</v>
      </c>
      <c r="Y37" s="2">
        <v>22</v>
      </c>
      <c r="Z37" s="2">
        <v>0.3009</v>
      </c>
      <c r="AA37" s="2">
        <v>0.33489999999999998</v>
      </c>
      <c r="AB37" s="2">
        <v>1.2685999999999999</v>
      </c>
    </row>
    <row r="38" spans="2:28" x14ac:dyDescent="0.4">
      <c r="B38" s="11">
        <v>21</v>
      </c>
      <c r="C38" s="16">
        <f t="shared" si="1"/>
        <v>0.89362252756137073</v>
      </c>
      <c r="D38" s="17">
        <f t="shared" si="3"/>
        <v>0.99291391951263408</v>
      </c>
      <c r="E38" s="17">
        <f t="shared" si="2"/>
        <v>1.0922053114638974</v>
      </c>
      <c r="F38" s="2">
        <v>1.1603000000000001</v>
      </c>
      <c r="G38" s="2" t="str">
        <f t="shared" si="0"/>
        <v>Fail</v>
      </c>
      <c r="Y38" s="2">
        <v>23</v>
      </c>
      <c r="Z38" s="2">
        <v>0.3009</v>
      </c>
      <c r="AA38" s="2">
        <v>0.33439999999999998</v>
      </c>
      <c r="AB38" s="2">
        <v>1.3775999999999999</v>
      </c>
    </row>
    <row r="39" spans="2:28" x14ac:dyDescent="0.4">
      <c r="B39" s="11">
        <v>22</v>
      </c>
      <c r="C39" s="16">
        <f t="shared" si="1"/>
        <v>0.98869471776985207</v>
      </c>
      <c r="D39" s="17">
        <f t="shared" si="3"/>
        <v>1.0985496864109467</v>
      </c>
      <c r="E39" s="17">
        <f t="shared" si="2"/>
        <v>1.2084046550520413</v>
      </c>
      <c r="F39" s="2">
        <v>1.2685999999999999</v>
      </c>
      <c r="G39" s="2" t="str">
        <f t="shared" si="0"/>
        <v>Fail</v>
      </c>
      <c r="Y39" s="2">
        <v>24</v>
      </c>
      <c r="Z39" s="2">
        <v>0.3039</v>
      </c>
      <c r="AA39" s="2">
        <v>0.3337</v>
      </c>
      <c r="AB39" s="2">
        <v>1.4590000000000001</v>
      </c>
    </row>
    <row r="40" spans="2:28" x14ac:dyDescent="0.4">
      <c r="B40" s="11">
        <v>23</v>
      </c>
      <c r="C40" s="16">
        <f t="shared" si="1"/>
        <v>1.0890325104402196</v>
      </c>
      <c r="D40" s="17">
        <f t="shared" si="3"/>
        <v>1.2100361227113552</v>
      </c>
      <c r="E40" s="17">
        <f t="shared" si="2"/>
        <v>1.3310397349824907</v>
      </c>
      <c r="F40" s="2">
        <v>1.3775999999999999</v>
      </c>
      <c r="G40" s="2" t="str">
        <f t="shared" si="0"/>
        <v>Fail</v>
      </c>
      <c r="Y40" s="2">
        <v>25</v>
      </c>
      <c r="Z40" s="2">
        <v>0.30170000000000002</v>
      </c>
      <c r="AA40" s="2">
        <v>0.3367</v>
      </c>
      <c r="AB40" s="2">
        <v>1.5603</v>
      </c>
    </row>
    <row r="41" spans="2:28" x14ac:dyDescent="0.4">
      <c r="B41" s="11">
        <v>24</v>
      </c>
      <c r="C41" s="16">
        <f t="shared" si="1"/>
        <v>1.1946823914727631</v>
      </c>
      <c r="D41" s="17">
        <f t="shared" si="3"/>
        <v>1.3274248794141812</v>
      </c>
      <c r="E41" s="17">
        <f t="shared" si="2"/>
        <v>1.4601673673555993</v>
      </c>
      <c r="F41" s="2">
        <v>1.4590000000000001</v>
      </c>
      <c r="G41" s="2" t="str">
        <f t="shared" si="0"/>
        <v>Pass</v>
      </c>
      <c r="Y41" s="2">
        <v>26</v>
      </c>
      <c r="Z41" s="2">
        <v>0.29899999999999999</v>
      </c>
      <c r="AA41" s="2">
        <v>0.33679999999999999</v>
      </c>
      <c r="AB41" s="2">
        <v>1.6718999999999999</v>
      </c>
    </row>
    <row r="42" spans="2:28" x14ac:dyDescent="0.4">
      <c r="B42" s="11">
        <v>25</v>
      </c>
      <c r="C42" s="16">
        <f t="shared" si="1"/>
        <v>1.3056892738629797</v>
      </c>
      <c r="D42" s="17">
        <f t="shared" si="3"/>
        <v>1.4507658598477553</v>
      </c>
      <c r="E42" s="17">
        <f t="shared" si="2"/>
        <v>1.5958424458325309</v>
      </c>
      <c r="F42" s="2">
        <v>1.5603</v>
      </c>
      <c r="G42" s="2" t="str">
        <f t="shared" si="0"/>
        <v>Pass</v>
      </c>
      <c r="Y42" s="2">
        <v>27</v>
      </c>
      <c r="Z42" s="2">
        <v>0.30049999999999999</v>
      </c>
      <c r="AA42" s="2">
        <v>0.33710000000000001</v>
      </c>
      <c r="AB42" s="2">
        <v>1.7652000000000001</v>
      </c>
    </row>
    <row r="43" spans="2:28" x14ac:dyDescent="0.4">
      <c r="B43" s="11">
        <v>26</v>
      </c>
      <c r="C43" s="16">
        <f t="shared" si="1"/>
        <v>1.4220966126402825</v>
      </c>
      <c r="D43" s="17">
        <f t="shared" si="3"/>
        <v>1.5801073473780918</v>
      </c>
      <c r="E43" s="17">
        <f t="shared" si="2"/>
        <v>1.738118082115901</v>
      </c>
      <c r="F43" s="2">
        <v>1.6718999999999999</v>
      </c>
      <c r="G43" s="2" t="str">
        <f t="shared" si="0"/>
        <v>Pass</v>
      </c>
      <c r="Y43" s="2">
        <v>28</v>
      </c>
      <c r="Z43" s="2">
        <v>0.30180000000000001</v>
      </c>
      <c r="AA43" s="2">
        <v>0.3367</v>
      </c>
      <c r="AB43" s="2">
        <v>1.8909</v>
      </c>
    </row>
    <row r="44" spans="2:28" x14ac:dyDescent="0.4">
      <c r="B44" s="11">
        <v>27</v>
      </c>
      <c r="C44" s="16">
        <f t="shared" si="1"/>
        <v>1.5439465072461176</v>
      </c>
      <c r="D44" s="17">
        <f t="shared" si="3"/>
        <v>1.715496119162353</v>
      </c>
      <c r="E44" s="17">
        <f t="shared" si="2"/>
        <v>1.8870457310785884</v>
      </c>
      <c r="F44" s="2">
        <v>1.7652000000000001</v>
      </c>
      <c r="G44" s="2" t="str">
        <f t="shared" si="0"/>
        <v>Pass</v>
      </c>
      <c r="Y44" s="2">
        <v>29</v>
      </c>
      <c r="Z44" s="2">
        <v>0.30430000000000001</v>
      </c>
      <c r="AA44" s="2">
        <v>0.33650000000000002</v>
      </c>
      <c r="AB44" s="2">
        <v>1.9968999999999999</v>
      </c>
    </row>
    <row r="45" spans="2:28" x14ac:dyDescent="0.4">
      <c r="B45" s="11">
        <v>28</v>
      </c>
      <c r="C45" s="16">
        <f t="shared" si="1"/>
        <v>1.6712797931450785</v>
      </c>
      <c r="D45" s="17">
        <f t="shared" si="3"/>
        <v>1.8569775479389761</v>
      </c>
      <c r="E45" s="17">
        <f t="shared" si="2"/>
        <v>2.0426753027328735</v>
      </c>
      <c r="F45" s="2">
        <v>1.8909</v>
      </c>
      <c r="G45" s="2" t="str">
        <f t="shared" si="0"/>
        <v>Pass</v>
      </c>
      <c r="Y45" s="2">
        <v>30</v>
      </c>
      <c r="Z45" s="2">
        <v>0.30299999999999999</v>
      </c>
      <c r="AA45" s="2">
        <v>0.34420000000000001</v>
      </c>
      <c r="AB45" s="2">
        <v>2.2286999999999999</v>
      </c>
    </row>
    <row r="46" spans="2:28" x14ac:dyDescent="0.4">
      <c r="B46" s="11">
        <v>29</v>
      </c>
      <c r="C46" s="16">
        <f t="shared" si="1"/>
        <v>1.8041361241506357</v>
      </c>
      <c r="D46" s="17">
        <f t="shared" si="3"/>
        <v>2.0045956935007063</v>
      </c>
      <c r="E46" s="17">
        <f t="shared" si="2"/>
        <v>2.2050552628507769</v>
      </c>
      <c r="F46" s="2">
        <v>1.9968999999999999</v>
      </c>
      <c r="G46" s="2" t="str">
        <f t="shared" si="0"/>
        <v>Pass</v>
      </c>
      <c r="Y46" s="2">
        <v>31</v>
      </c>
      <c r="Z46" s="2">
        <v>0.30299999999999999</v>
      </c>
      <c r="AA46" s="2">
        <v>0.34410000000000002</v>
      </c>
      <c r="AB46" s="2">
        <v>2.3833000000000002</v>
      </c>
    </row>
    <row r="47" spans="2:28" x14ac:dyDescent="0.4">
      <c r="B47" s="11">
        <v>30</v>
      </c>
      <c r="C47" s="16">
        <f t="shared" si="1"/>
        <v>1.94255404669854</v>
      </c>
      <c r="D47" s="17">
        <f t="shared" si="3"/>
        <v>2.1583933852206001</v>
      </c>
      <c r="E47" s="17">
        <f t="shared" si="2"/>
        <v>2.3742327237426601</v>
      </c>
      <c r="F47" s="2">
        <v>2.2286999999999999</v>
      </c>
      <c r="G47" s="2" t="str">
        <f t="shared" si="0"/>
        <v>Pass</v>
      </c>
      <c r="Y47" s="2">
        <v>32</v>
      </c>
      <c r="Z47" s="2">
        <v>0.3034</v>
      </c>
      <c r="AA47" s="2">
        <v>0.34460000000000002</v>
      </c>
      <c r="AB47" s="2">
        <v>2.5097999999999998</v>
      </c>
    </row>
    <row r="48" spans="2:28" x14ac:dyDescent="0.4">
      <c r="B48" s="11">
        <v>31</v>
      </c>
      <c r="C48" s="16">
        <f t="shared" si="1"/>
        <v>2.0865710671010245</v>
      </c>
      <c r="D48" s="17">
        <f t="shared" si="3"/>
        <v>2.318412296778916</v>
      </c>
      <c r="E48" s="17">
        <f t="shared" si="2"/>
        <v>2.5502535264568076</v>
      </c>
      <c r="F48" s="2">
        <v>2.3833000000000002</v>
      </c>
      <c r="G48" s="2" t="str">
        <f t="shared" si="0"/>
        <v>Pass</v>
      </c>
      <c r="Y48" s="2">
        <v>33</v>
      </c>
      <c r="Z48" s="2">
        <v>0.3044</v>
      </c>
      <c r="AA48" s="2">
        <v>0.34489999999999998</v>
      </c>
      <c r="AB48" s="2">
        <v>2.6507999999999998</v>
      </c>
    </row>
    <row r="49" spans="2:28" x14ac:dyDescent="0.4">
      <c r="B49" s="11">
        <v>32</v>
      </c>
      <c r="C49" s="16">
        <f t="shared" si="1"/>
        <v>2.236223712652893</v>
      </c>
      <c r="D49" s="17">
        <f t="shared" si="3"/>
        <v>2.4846930140587697</v>
      </c>
      <c r="E49" s="17">
        <f t="shared" si="2"/>
        <v>2.7331623154646465</v>
      </c>
      <c r="F49" s="2">
        <v>2.5097999999999998</v>
      </c>
      <c r="G49" s="2" t="str">
        <f t="shared" si="0"/>
        <v>Pass</v>
      </c>
      <c r="Y49" s="2">
        <v>34</v>
      </c>
      <c r="Z49" s="2">
        <v>0.30609999999999998</v>
      </c>
      <c r="AA49" s="2">
        <v>0.34510000000000002</v>
      </c>
      <c r="AB49" s="2">
        <v>2.8610000000000002</v>
      </c>
    </row>
    <row r="50" spans="2:28" x14ac:dyDescent="0.4">
      <c r="B50" s="11">
        <v>33</v>
      </c>
      <c r="C50" s="16">
        <f t="shared" si="1"/>
        <v>2.3915475873283718</v>
      </c>
      <c r="D50" s="17">
        <f t="shared" si="3"/>
        <v>2.6572750970315244</v>
      </c>
      <c r="E50" s="17">
        <f t="shared" si="2"/>
        <v>2.923002606734677</v>
      </c>
      <c r="F50" s="2">
        <v>2.6507999999999998</v>
      </c>
      <c r="G50" s="2" t="str">
        <f t="shared" si="0"/>
        <v>Pass</v>
      </c>
      <c r="Y50" s="2">
        <v>35</v>
      </c>
      <c r="Z50" s="2">
        <v>0.30590000000000001</v>
      </c>
      <c r="AA50" s="2">
        <v>0.3468</v>
      </c>
      <c r="AB50" s="2">
        <v>3.0030000000000001</v>
      </c>
    </row>
    <row r="51" spans="2:28" x14ac:dyDescent="0.4">
      <c r="B51" s="11">
        <v>34</v>
      </c>
      <c r="C51" s="16">
        <f t="shared" si="1"/>
        <v>2.552577422698818</v>
      </c>
      <c r="D51" s="17">
        <f t="shared" si="3"/>
        <v>2.8361971363320202</v>
      </c>
      <c r="E51" s="17">
        <f t="shared" si="2"/>
        <v>3.1198168499652223</v>
      </c>
      <c r="F51" s="2">
        <v>2.8610000000000002</v>
      </c>
      <c r="G51" s="2" t="str">
        <f t="shared" si="0"/>
        <v>Pass</v>
      </c>
      <c r="Y51" s="2">
        <v>36</v>
      </c>
      <c r="Z51" s="2">
        <v>0.30709999999999998</v>
      </c>
      <c r="AA51" s="2">
        <v>0.3448</v>
      </c>
      <c r="AB51" s="2">
        <v>3.2021000000000002</v>
      </c>
    </row>
    <row r="52" spans="2:28" x14ac:dyDescent="0.4">
      <c r="B52" s="11">
        <v>35</v>
      </c>
      <c r="C52" s="16">
        <f t="shared" si="1"/>
        <v>2.7193471246113403</v>
      </c>
      <c r="D52" s="17">
        <f t="shared" si="3"/>
        <v>3.0214968051237117</v>
      </c>
      <c r="E52" s="17">
        <f t="shared" si="2"/>
        <v>3.323646485636083</v>
      </c>
      <c r="F52" s="2">
        <v>3.0030000000000001</v>
      </c>
      <c r="G52" s="2" t="str">
        <f t="shared" si="0"/>
        <v>Pass</v>
      </c>
      <c r="Y52" s="2">
        <v>37</v>
      </c>
      <c r="Z52" s="2">
        <v>0.30909999999999999</v>
      </c>
      <c r="AA52" s="2">
        <v>0.3463</v>
      </c>
      <c r="AB52" s="2">
        <v>3.3773</v>
      </c>
    </row>
    <row r="53" spans="2:28" x14ac:dyDescent="0.4">
      <c r="B53" s="11">
        <v>36</v>
      </c>
      <c r="C53" s="16">
        <f t="shared" si="1"/>
        <v>2.8918898160936783</v>
      </c>
      <c r="D53" s="17">
        <f t="shared" si="3"/>
        <v>3.2132109067707537</v>
      </c>
      <c r="E53" s="17">
        <f t="shared" si="2"/>
        <v>3.5345319974478291</v>
      </c>
      <c r="F53" s="2">
        <v>3.2021000000000002</v>
      </c>
      <c r="G53" s="2" t="str">
        <f t="shared" si="0"/>
        <v>Pass</v>
      </c>
      <c r="Y53" s="2">
        <v>38</v>
      </c>
      <c r="Z53" s="2">
        <v>0.30649999999999999</v>
      </c>
      <c r="AA53" s="2">
        <v>0.34599999999999997</v>
      </c>
      <c r="AB53" s="2">
        <v>3.6015000000000001</v>
      </c>
    </row>
    <row r="54" spans="2:28" x14ac:dyDescent="0.4">
      <c r="B54" s="11">
        <v>37</v>
      </c>
      <c r="C54" s="16">
        <f t="shared" si="1"/>
        <v>3.0702378768877385</v>
      </c>
      <c r="D54" s="17">
        <f t="shared" si="3"/>
        <v>3.4113754187641541</v>
      </c>
      <c r="E54" s="17">
        <f t="shared" si="2"/>
        <v>3.7525129606405696</v>
      </c>
      <c r="F54" s="2">
        <v>3.3773</v>
      </c>
      <c r="G54" s="2" t="str">
        <f t="shared" si="0"/>
        <v>Pass</v>
      </c>
      <c r="Y54" s="2">
        <v>39</v>
      </c>
      <c r="Z54" s="2">
        <v>0.30159999999999998</v>
      </c>
      <c r="AA54" s="2">
        <v>0.3448</v>
      </c>
      <c r="AB54" s="2">
        <v>3.7490999999999999</v>
      </c>
    </row>
    <row r="55" spans="2:28" x14ac:dyDescent="0.4">
      <c r="B55" s="11">
        <v>38</v>
      </c>
      <c r="C55" s="16">
        <f t="shared" si="1"/>
        <v>3.2544229799616442</v>
      </c>
      <c r="D55" s="17">
        <f t="shared" si="3"/>
        <v>3.6160255332907161</v>
      </c>
      <c r="E55" s="17">
        <f t="shared" si="2"/>
        <v>3.977628086619788</v>
      </c>
      <c r="F55" s="2">
        <v>3.6015000000000001</v>
      </c>
      <c r="G55" s="2" t="str">
        <f t="shared" si="0"/>
        <v>Pass</v>
      </c>
      <c r="Y55" s="2">
        <v>40</v>
      </c>
      <c r="Z55" s="2">
        <v>0.30199999999999999</v>
      </c>
      <c r="AA55" s="2">
        <v>0.34389999999999998</v>
      </c>
      <c r="AB55" s="2">
        <v>3.9765000000000001</v>
      </c>
    </row>
    <row r="56" spans="2:28" x14ac:dyDescent="0.4">
      <c r="B56" s="11">
        <v>39</v>
      </c>
      <c r="C56" s="16">
        <f t="shared" si="1"/>
        <v>3.4444761253054006</v>
      </c>
      <c r="D56" s="17">
        <f t="shared" si="3"/>
        <v>3.8271956947837786</v>
      </c>
      <c r="E56" s="17">
        <f t="shared" si="2"/>
        <v>4.2099152642621567</v>
      </c>
      <c r="F56" s="2">
        <v>3.7490999999999999</v>
      </c>
      <c r="G56" s="2" t="str">
        <f t="shared" si="0"/>
        <v>Pass</v>
      </c>
      <c r="Y56" s="2">
        <v>41</v>
      </c>
      <c r="Z56" s="2">
        <v>0.30409999999999998</v>
      </c>
      <c r="AA56" s="2">
        <v>0.3427</v>
      </c>
      <c r="AB56" s="2">
        <v>4.1482999999999999</v>
      </c>
    </row>
    <row r="57" spans="2:28" x14ac:dyDescent="0.4">
      <c r="B57" s="11">
        <v>40</v>
      </c>
      <c r="C57" s="16">
        <f t="shared" si="1"/>
        <v>3.6404276712773935</v>
      </c>
      <c r="D57" s="17">
        <f t="shared" si="3"/>
        <v>4.0449196347526595</v>
      </c>
      <c r="E57" s="17">
        <f t="shared" si="2"/>
        <v>4.4494115982279254</v>
      </c>
      <c r="F57" s="2">
        <v>3.9765000000000001</v>
      </c>
      <c r="G57" s="2" t="str">
        <f t="shared" si="0"/>
        <v>Pass</v>
      </c>
      <c r="Y57" s="2">
        <v>42</v>
      </c>
      <c r="Z57" s="2">
        <v>0.307</v>
      </c>
      <c r="AA57" s="2">
        <v>0.34699999999999998</v>
      </c>
      <c r="AB57" s="2">
        <v>4.4343000000000004</v>
      </c>
    </row>
    <row r="58" spans="2:28" x14ac:dyDescent="0.4">
      <c r="B58" s="11">
        <v>41</v>
      </c>
      <c r="C58" s="16">
        <f t="shared" si="1"/>
        <v>3.8423073637365532</v>
      </c>
      <c r="D58" s="17">
        <f t="shared" si="3"/>
        <v>4.2692304041517257</v>
      </c>
      <c r="E58" s="17">
        <f t="shared" si="2"/>
        <v>4.6961534445668986</v>
      </c>
      <c r="F58" s="2">
        <v>4.1482999999999999</v>
      </c>
      <c r="G58" s="2" t="str">
        <f t="shared" si="0"/>
        <v>Pass</v>
      </c>
      <c r="Y58" s="2">
        <v>43</v>
      </c>
      <c r="Z58" s="2">
        <v>0.3085</v>
      </c>
      <c r="AA58" s="2">
        <v>0.3458</v>
      </c>
      <c r="AB58" s="2">
        <v>4.7846000000000002</v>
      </c>
    </row>
    <row r="59" spans="2:28" x14ac:dyDescent="0.4">
      <c r="B59" s="11">
        <v>42</v>
      </c>
      <c r="C59" s="16">
        <f t="shared" si="1"/>
        <v>4.0501443631673117</v>
      </c>
      <c r="D59" s="17">
        <f t="shared" si="3"/>
        <v>4.5001604035192351</v>
      </c>
      <c r="E59" s="17">
        <f t="shared" si="2"/>
        <v>4.9501764438711584</v>
      </c>
      <c r="F59" s="2">
        <v>4.4343000000000004</v>
      </c>
      <c r="G59" s="2" t="str">
        <f t="shared" si="0"/>
        <v>Pass</v>
      </c>
      <c r="Y59" s="2">
        <v>44</v>
      </c>
      <c r="Z59" s="2">
        <v>0.31</v>
      </c>
      <c r="AA59" s="2">
        <v>0.34699999999999998</v>
      </c>
      <c r="AB59" s="2">
        <v>5.1016000000000004</v>
      </c>
    </row>
    <row r="60" spans="2:28" x14ac:dyDescent="0.4">
      <c r="B60" s="11">
        <v>43</v>
      </c>
      <c r="C60" s="16">
        <f t="shared" si="1"/>
        <v>4.2639672699805224</v>
      </c>
      <c r="D60" s="17">
        <f t="shared" si="3"/>
        <v>4.7377414110894689</v>
      </c>
      <c r="E60" s="17">
        <f t="shared" si="2"/>
        <v>5.2115155521984153</v>
      </c>
      <c r="F60" s="2">
        <v>4.7846000000000002</v>
      </c>
      <c r="G60" s="2" t="str">
        <f t="shared" si="0"/>
        <v>Pass</v>
      </c>
      <c r="Y60" s="2">
        <v>45</v>
      </c>
      <c r="Z60" s="2">
        <v>0.3095</v>
      </c>
      <c r="AA60" s="2">
        <v>0.3463</v>
      </c>
      <c r="AB60" s="2">
        <v>5.2701000000000002</v>
      </c>
    </row>
    <row r="61" spans="2:28" x14ac:dyDescent="0.4">
      <c r="B61" s="11">
        <v>44</v>
      </c>
      <c r="C61" s="16">
        <f t="shared" si="1"/>
        <v>4.4838041481529594</v>
      </c>
      <c r="D61" s="17">
        <f t="shared" si="3"/>
        <v>4.9820046090588432</v>
      </c>
      <c r="E61" s="17">
        <f t="shared" si="2"/>
        <v>5.4802050699647271</v>
      </c>
      <c r="F61" s="2">
        <v>5.1016000000000004</v>
      </c>
      <c r="G61" s="2" t="str">
        <f t="shared" si="0"/>
        <v>Pass</v>
      </c>
      <c r="Y61" s="2">
        <v>46</v>
      </c>
      <c r="Z61" s="2">
        <v>0.3125</v>
      </c>
      <c r="AA61" s="2">
        <v>0.34589999999999999</v>
      </c>
      <c r="AB61" s="2">
        <v>5.6391999999999998</v>
      </c>
    </row>
    <row r="62" spans="2:28" x14ac:dyDescent="0.4">
      <c r="B62" s="11">
        <v>45</v>
      </c>
      <c r="C62" s="16">
        <f t="shared" si="1"/>
        <v>4.7096825473500648</v>
      </c>
      <c r="D62" s="17">
        <f t="shared" si="3"/>
        <v>5.2329806081667387</v>
      </c>
      <c r="E62" s="17">
        <f t="shared" si="2"/>
        <v>5.7562786689834127</v>
      </c>
      <c r="F62" s="2">
        <v>5.2701000000000002</v>
      </c>
      <c r="G62" s="2" t="str">
        <f t="shared" si="0"/>
        <v>Pass</v>
      </c>
      <c r="Y62" s="2">
        <v>47</v>
      </c>
      <c r="Z62" s="2">
        <v>0.31219999999999998</v>
      </c>
      <c r="AA62" s="2">
        <v>0.34570000000000001</v>
      </c>
      <c r="AB62" s="2">
        <v>5.9409999999999998</v>
      </c>
    </row>
    <row r="63" spans="2:28" x14ac:dyDescent="0.4">
      <c r="B63" s="11">
        <v>46</v>
      </c>
      <c r="C63" s="16">
        <f t="shared" si="1"/>
        <v>4.9416295236610956</v>
      </c>
      <c r="D63" s="17">
        <f t="shared" si="3"/>
        <v>5.4906994707345511</v>
      </c>
      <c r="E63" s="17">
        <f t="shared" si="2"/>
        <v>6.0397694178080066</v>
      </c>
      <c r="F63" s="2">
        <v>5.6391999999999998</v>
      </c>
      <c r="G63" s="2" t="str">
        <f t="shared" si="0"/>
        <v>Pass</v>
      </c>
      <c r="Y63" s="2">
        <v>48</v>
      </c>
      <c r="Z63" s="2">
        <v>0.31259999999999999</v>
      </c>
      <c r="AA63" s="2">
        <v>0.34520000000000001</v>
      </c>
      <c r="AB63" s="2">
        <v>6.1448999999999998</v>
      </c>
    </row>
    <row r="64" spans="2:28" x14ac:dyDescent="0.4">
      <c r="B64" s="11">
        <v>47</v>
      </c>
      <c r="C64" s="16">
        <f t="shared" si="1"/>
        <v>5.1796716590622047</v>
      </c>
      <c r="D64" s="17">
        <f t="shared" si="3"/>
        <v>5.7551907322913385</v>
      </c>
      <c r="E64" s="17">
        <f t="shared" si="2"/>
        <v>6.3307098055204722</v>
      </c>
      <c r="F64" s="2">
        <v>5.9409999999999998</v>
      </c>
      <c r="G64" s="2" t="str">
        <f t="shared" si="0"/>
        <v>Pass</v>
      </c>
      <c r="Y64" s="2">
        <v>49</v>
      </c>
      <c r="Z64" s="2">
        <v>0.31259999999999999</v>
      </c>
      <c r="AA64" s="2">
        <v>0.34520000000000001</v>
      </c>
      <c r="AB64" s="2">
        <v>6.5072000000000001</v>
      </c>
    </row>
    <row r="65" spans="2:28" x14ac:dyDescent="0.4">
      <c r="B65" s="11">
        <v>48</v>
      </c>
      <c r="C65" s="16">
        <f t="shared" si="1"/>
        <v>5.4238350797110986</v>
      </c>
      <c r="D65" s="17">
        <f t="shared" si="3"/>
        <v>6.0264834219012204</v>
      </c>
      <c r="E65" s="17">
        <f t="shared" si="2"/>
        <v>6.6291317640913423</v>
      </c>
      <c r="F65" s="2">
        <v>6.1448999999999998</v>
      </c>
      <c r="G65" s="2" t="str">
        <f t="shared" si="0"/>
        <v>Pass</v>
      </c>
      <c r="Y65" s="2">
        <v>50</v>
      </c>
      <c r="Z65" s="2">
        <v>0.30719999999999997</v>
      </c>
      <c r="AA65" s="2">
        <v>0.33850000000000002</v>
      </c>
      <c r="AB65" s="2">
        <v>6.7462999999999997</v>
      </c>
    </row>
    <row r="66" spans="2:28" x14ac:dyDescent="0.4">
      <c r="B66" s="11">
        <v>49</v>
      </c>
      <c r="C66" s="16">
        <f t="shared" si="1"/>
        <v>5.6741454731664982</v>
      </c>
      <c r="D66" s="17">
        <f t="shared" si="3"/>
        <v>6.3046060812961091</v>
      </c>
      <c r="E66" s="17">
        <f t="shared" si="2"/>
        <v>6.93506668942572</v>
      </c>
      <c r="F66" s="2">
        <v>6.5072000000000001</v>
      </c>
      <c r="G66" s="2" t="str">
        <f t="shared" si="0"/>
        <v>Pass</v>
      </c>
      <c r="Y66" s="2">
        <v>51</v>
      </c>
      <c r="Z66" s="2">
        <v>0.30669999999999997</v>
      </c>
      <c r="AA66" s="2">
        <v>0.3397</v>
      </c>
      <c r="AB66" s="2">
        <v>7.0896999999999997</v>
      </c>
    </row>
    <row r="67" spans="2:28" x14ac:dyDescent="0.4">
      <c r="B67" s="11">
        <v>50</v>
      </c>
      <c r="C67" s="16">
        <f t="shared" si="1"/>
        <v>5.9306281046164084</v>
      </c>
      <c r="D67" s="17">
        <f t="shared" si="3"/>
        <v>6.5895867829071202</v>
      </c>
      <c r="E67" s="17">
        <f t="shared" si="2"/>
        <v>7.2485454611978319</v>
      </c>
      <c r="F67" s="2">
        <v>6.7462999999999997</v>
      </c>
      <c r="G67" s="2" t="str">
        <f t="shared" si="0"/>
        <v>Pass</v>
      </c>
      <c r="Y67" s="2">
        <v>52</v>
      </c>
      <c r="Z67" s="2">
        <v>0.31030000000000002</v>
      </c>
      <c r="AA67" s="2">
        <v>0.34100000000000003</v>
      </c>
      <c r="AB67" s="2">
        <v>7.4255000000000004</v>
      </c>
    </row>
    <row r="68" spans="2:28" x14ac:dyDescent="0.4">
      <c r="B68" s="11">
        <v>51</v>
      </c>
      <c r="C68" s="16">
        <f t="shared" si="1"/>
        <v>6.1933078321910333</v>
      </c>
      <c r="D68" s="17">
        <f t="shared" si="3"/>
        <v>6.8814531468789264</v>
      </c>
      <c r="E68" s="17">
        <f t="shared" si="2"/>
        <v>7.5695984615668195</v>
      </c>
      <c r="F68" s="2">
        <v>7.0896999999999997</v>
      </c>
      <c r="G68" s="2" t="str">
        <f t="shared" si="0"/>
        <v>Pass</v>
      </c>
      <c r="Y68" s="2">
        <v>53</v>
      </c>
      <c r="Z68" s="2">
        <v>0.30919999999999997</v>
      </c>
      <c r="AA68" s="2">
        <v>0.3392</v>
      </c>
      <c r="AB68" s="2">
        <v>7.6657999999999999</v>
      </c>
    </row>
    <row r="69" spans="2:28" x14ac:dyDescent="0.4">
      <c r="B69" s="11">
        <v>52</v>
      </c>
      <c r="C69" s="16">
        <f t="shared" si="1"/>
        <v>6.4622091214291295</v>
      </c>
      <c r="D69" s="17">
        <f t="shared" si="3"/>
        <v>7.1802323571434767</v>
      </c>
      <c r="E69" s="17">
        <f t="shared" si="2"/>
        <v>7.898255592857824</v>
      </c>
      <c r="F69" s="2">
        <v>7.4255000000000004</v>
      </c>
      <c r="G69" s="2" t="str">
        <f t="shared" si="0"/>
        <v>Pass</v>
      </c>
      <c r="Y69" s="2">
        <v>54</v>
      </c>
      <c r="Z69" s="2">
        <v>0.31019999999999998</v>
      </c>
      <c r="AA69" s="2">
        <v>0.33950000000000002</v>
      </c>
      <c r="AB69" s="2">
        <v>8.0440000000000005</v>
      </c>
    </row>
    <row r="70" spans="2:28" x14ac:dyDescent="0.4">
      <c r="B70" s="11">
        <v>53</v>
      </c>
      <c r="C70" s="16">
        <f t="shared" si="1"/>
        <v>6.7373560589599357</v>
      </c>
      <c r="D70" s="17">
        <f t="shared" si="3"/>
        <v>7.4859511766221507</v>
      </c>
      <c r="E70" s="17">
        <f t="shared" si="2"/>
        <v>8.2345462942843657</v>
      </c>
      <c r="F70" s="2">
        <v>7.6657999999999999</v>
      </c>
      <c r="G70" s="2" t="str">
        <f t="shared" si="0"/>
        <v>Pass</v>
      </c>
      <c r="Y70" s="2">
        <v>55</v>
      </c>
      <c r="Z70" s="2">
        <v>0.30990000000000001</v>
      </c>
      <c r="AA70" s="2">
        <v>0.33960000000000001</v>
      </c>
      <c r="AB70" s="2">
        <v>8.2745999999999995</v>
      </c>
    </row>
    <row r="71" spans="2:28" x14ac:dyDescent="0.4">
      <c r="B71" s="11">
        <v>54</v>
      </c>
      <c r="C71" s="16">
        <f t="shared" si="1"/>
        <v>7.0187723654575054</v>
      </c>
      <c r="D71" s="17">
        <f t="shared" si="3"/>
        <v>7.7986359616194507</v>
      </c>
      <c r="E71" s="17">
        <f t="shared" si="2"/>
        <v>8.5784995577813952</v>
      </c>
      <c r="F71" s="2">
        <v>8.0440000000000005</v>
      </c>
      <c r="G71" s="2" t="str">
        <f t="shared" si="0"/>
        <v>Pass</v>
      </c>
      <c r="Y71" s="2">
        <v>56</v>
      </c>
      <c r="Z71" s="2">
        <v>0.31119999999999998</v>
      </c>
      <c r="AA71" s="2">
        <v>0.33910000000000001</v>
      </c>
      <c r="AB71" s="2">
        <v>8.6584000000000003</v>
      </c>
    </row>
    <row r="72" spans="2:28" x14ac:dyDescent="0.4">
      <c r="B72" s="11">
        <v>55</v>
      </c>
      <c r="C72" s="16">
        <f t="shared" si="1"/>
        <v>7.3064814079187741</v>
      </c>
      <c r="D72" s="17">
        <f t="shared" si="3"/>
        <v>8.1183126754653046</v>
      </c>
      <c r="E72" s="17">
        <f t="shared" si="2"/>
        <v>8.930143943011835</v>
      </c>
      <c r="F72" s="2">
        <v>8.2745999999999995</v>
      </c>
      <c r="G72" s="2" t="str">
        <f t="shared" si="0"/>
        <v>Pass</v>
      </c>
      <c r="Y72" s="2">
        <v>57</v>
      </c>
      <c r="Z72" s="2">
        <v>0.31009999999999999</v>
      </c>
      <c r="AA72" s="2">
        <v>0.33960000000000001</v>
      </c>
      <c r="AB72" s="2">
        <v>8.9300999999999995</v>
      </c>
    </row>
    <row r="73" spans="2:28" x14ac:dyDescent="0.4">
      <c r="B73" s="11">
        <v>56</v>
      </c>
      <c r="C73" s="16">
        <f t="shared" si="1"/>
        <v>7.6005062113126129</v>
      </c>
      <c r="D73" s="17">
        <f t="shared" si="3"/>
        <v>8.4450069014584592</v>
      </c>
      <c r="E73" s="17">
        <f t="shared" si="2"/>
        <v>9.2895075916043055</v>
      </c>
      <c r="F73" s="2">
        <v>8.6584000000000003</v>
      </c>
      <c r="G73" s="2" t="str">
        <f t="shared" si="0"/>
        <v>Pass</v>
      </c>
      <c r="Y73" s="2">
        <v>58</v>
      </c>
      <c r="Z73" s="2">
        <v>0.31190000000000001</v>
      </c>
      <c r="AA73" s="2">
        <v>0.33889999999999998</v>
      </c>
      <c r="AB73" s="2">
        <v>9.4289000000000005</v>
      </c>
    </row>
    <row r="74" spans="2:28" x14ac:dyDescent="0.4">
      <c r="B74" s="11">
        <v>57</v>
      </c>
      <c r="C74" s="16">
        <f t="shared" si="1"/>
        <v>7.9008694696426058</v>
      </c>
      <c r="D74" s="17">
        <f t="shared" si="3"/>
        <v>8.7787438551584511</v>
      </c>
      <c r="E74" s="17">
        <f t="shared" si="2"/>
        <v>9.6566182406742964</v>
      </c>
      <c r="F74" s="2">
        <v>8.9300999999999995</v>
      </c>
      <c r="G74" s="2" t="str">
        <f t="shared" si="0"/>
        <v>Pass</v>
      </c>
      <c r="Y74" s="2">
        <v>59</v>
      </c>
      <c r="Z74" s="2">
        <v>0.31190000000000001</v>
      </c>
      <c r="AA74" s="2">
        <v>0.3392</v>
      </c>
      <c r="AB74" s="2">
        <v>9.7993000000000006</v>
      </c>
    </row>
    <row r="75" spans="2:28" x14ac:dyDescent="0.4">
      <c r="B75" s="11">
        <v>58</v>
      </c>
      <c r="C75" s="16">
        <f t="shared" si="1"/>
        <v>8.2075935564630793</v>
      </c>
      <c r="D75" s="17">
        <f t="shared" si="3"/>
        <v>9.1195483960700887</v>
      </c>
      <c r="E75" s="17">
        <f t="shared" si="2"/>
        <v>10.031503235677098</v>
      </c>
      <c r="F75" s="2">
        <v>9.4289000000000005</v>
      </c>
      <c r="G75" s="2" t="str">
        <f t="shared" si="0"/>
        <v>Pass</v>
      </c>
      <c r="Y75" s="2">
        <v>60</v>
      </c>
      <c r="Z75" s="2">
        <v>0.30990000000000001</v>
      </c>
      <c r="AA75" s="2">
        <v>0.34050000000000002</v>
      </c>
      <c r="AB75" s="2">
        <v>10.5298</v>
      </c>
    </row>
    <row r="76" spans="2:28" x14ac:dyDescent="0.4">
      <c r="B76" s="11">
        <v>59</v>
      </c>
      <c r="C76" s="16">
        <f t="shared" si="1"/>
        <v>8.5207005348842948</v>
      </c>
      <c r="D76" s="17">
        <f t="shared" si="3"/>
        <v>9.4674450387603279</v>
      </c>
      <c r="E76" s="17">
        <f t="shared" si="2"/>
        <v>10.414189542636361</v>
      </c>
      <c r="F76" s="2">
        <v>9.7993000000000006</v>
      </c>
      <c r="G76" s="2" t="str">
        <f t="shared" si="0"/>
        <v>Pass</v>
      </c>
      <c r="Y76" s="2">
        <v>61</v>
      </c>
      <c r="Z76" s="2">
        <v>0.31</v>
      </c>
      <c r="AA76" s="2">
        <v>0.33929999999999999</v>
      </c>
      <c r="AB76" s="2">
        <v>10.8253</v>
      </c>
    </row>
    <row r="77" spans="2:28" x14ac:dyDescent="0.4">
      <c r="B77" s="11">
        <v>60</v>
      </c>
      <c r="C77" s="16">
        <f t="shared" si="1"/>
        <v>8.8402121670999758</v>
      </c>
      <c r="D77" s="17">
        <f t="shared" si="3"/>
        <v>9.8224579634444176</v>
      </c>
      <c r="E77" s="17">
        <f t="shared" si="2"/>
        <v>10.804703759788859</v>
      </c>
      <c r="F77" s="2">
        <v>10.5298</v>
      </c>
      <c r="G77" s="2" t="str">
        <f t="shared" si="0"/>
        <v>Pass</v>
      </c>
      <c r="Y77" s="2">
        <v>62</v>
      </c>
      <c r="Z77" s="2">
        <v>0.30890000000000001</v>
      </c>
      <c r="AA77" s="2">
        <v>0.3397</v>
      </c>
      <c r="AB77" s="2">
        <v>11.2285</v>
      </c>
    </row>
    <row r="78" spans="2:28" x14ac:dyDescent="0.4">
      <c r="B78" s="11">
        <v>61</v>
      </c>
      <c r="C78" s="16">
        <f t="shared" si="1"/>
        <v>9.1661499234675823</v>
      </c>
      <c r="D78" s="17">
        <f t="shared" si="3"/>
        <v>10.184611026075091</v>
      </c>
      <c r="E78" s="17">
        <f t="shared" si="2"/>
        <v>11.203072128682599</v>
      </c>
      <c r="F78" s="2">
        <v>10.8253</v>
      </c>
      <c r="G78" s="2" t="str">
        <f t="shared" si="0"/>
        <v>Pass</v>
      </c>
      <c r="Y78" s="2">
        <v>63</v>
      </c>
      <c r="Z78" s="2">
        <v>0.30959999999999999</v>
      </c>
      <c r="AA78" s="2">
        <v>0.33979999999999999</v>
      </c>
      <c r="AB78" s="2">
        <v>11.638</v>
      </c>
    </row>
    <row r="79" spans="2:28" x14ac:dyDescent="0.4">
      <c r="B79" s="11">
        <v>62</v>
      </c>
      <c r="C79" s="16">
        <f t="shared" si="1"/>
        <v>9.4985349911693469</v>
      </c>
      <c r="D79" s="17">
        <f t="shared" si="3"/>
        <v>10.553927767965941</v>
      </c>
      <c r="E79" s="17">
        <f t="shared" si="2"/>
        <v>11.609320544762536</v>
      </c>
      <c r="F79" s="2">
        <v>11.2285</v>
      </c>
      <c r="G79" s="2" t="str">
        <f t="shared" si="0"/>
        <v>Pass</v>
      </c>
      <c r="Y79" s="2">
        <v>64</v>
      </c>
      <c r="Z79" s="2">
        <v>0.31119999999999998</v>
      </c>
      <c r="AA79" s="2">
        <v>0.33889999999999998</v>
      </c>
      <c r="AB79" s="2">
        <v>12.0075</v>
      </c>
    </row>
    <row r="80" spans="2:28" x14ac:dyDescent="0.4">
      <c r="B80" s="11">
        <v>63</v>
      </c>
      <c r="C80" s="16">
        <f t="shared" si="1"/>
        <v>9.8373882824799281</v>
      </c>
      <c r="D80" s="17">
        <f t="shared" si="3"/>
        <v>10.930431424977698</v>
      </c>
      <c r="E80" s="17">
        <f t="shared" si="2"/>
        <v>12.023474567475468</v>
      </c>
      <c r="F80" s="2">
        <v>11.638</v>
      </c>
      <c r="G80" s="2" t="str">
        <f t="shared" si="0"/>
        <v>Pass</v>
      </c>
      <c r="Y80" s="2">
        <v>65</v>
      </c>
      <c r="Z80" s="2">
        <v>0.31259999999999999</v>
      </c>
      <c r="AA80" s="2">
        <v>0.33839999999999998</v>
      </c>
      <c r="AB80" s="2">
        <v>12.5825</v>
      </c>
    </row>
    <row r="81" spans="2:28" x14ac:dyDescent="0.4">
      <c r="B81" s="11">
        <v>64</v>
      </c>
      <c r="C81" s="16">
        <f t="shared" si="1"/>
        <v>10.182730442664568</v>
      </c>
      <c r="D81" s="17">
        <f t="shared" si="3"/>
        <v>11.314144936293964</v>
      </c>
      <c r="E81" s="17">
        <f t="shared" si="2"/>
        <v>12.44555942992336</v>
      </c>
      <c r="F81" s="2">
        <v>12.0075</v>
      </c>
      <c r="G81" s="2" t="str">
        <f t="shared" ref="G81:G144" si="4">IF(F81&lt;=C81,"Fail",IF(AND(C81&lt;F81,F81&lt;E81),"Pass",IF(E81&lt;=F81,"Fail")))</f>
        <v>Pass</v>
      </c>
      <c r="Y81" s="2">
        <v>66</v>
      </c>
      <c r="Z81" s="2">
        <v>0.31169999999999998</v>
      </c>
      <c r="AA81" s="2">
        <v>0.3367</v>
      </c>
      <c r="AB81" s="2">
        <v>12.9076</v>
      </c>
    </row>
    <row r="82" spans="2:28" x14ac:dyDescent="0.4">
      <c r="B82" s="11">
        <v>65</v>
      </c>
      <c r="C82" s="16">
        <f t="shared" ref="C82:C145" si="5">D82-D82*(C$14/100)</f>
        <v>10.534581857529769</v>
      </c>
      <c r="D82" s="17">
        <f t="shared" si="3"/>
        <v>11.705090952810854</v>
      </c>
      <c r="E82" s="17">
        <f t="shared" ref="E82:E145" si="6">D82+D82*(C$14/100)</f>
        <v>12.87560004809194</v>
      </c>
      <c r="F82" s="2">
        <v>12.5825</v>
      </c>
      <c r="G82" s="2" t="str">
        <f t="shared" si="4"/>
        <v>Pass</v>
      </c>
      <c r="Y82" s="2">
        <v>67</v>
      </c>
      <c r="Z82" s="2">
        <v>0.3115</v>
      </c>
      <c r="AA82" s="2">
        <v>0.33679999999999999</v>
      </c>
      <c r="AB82" s="2">
        <v>13.427199999999999</v>
      </c>
    </row>
    <row r="83" spans="2:28" x14ac:dyDescent="0.4">
      <c r="B83" s="11">
        <v>66</v>
      </c>
      <c r="C83" s="16">
        <f t="shared" si="5"/>
        <v>10.892962660646955</v>
      </c>
      <c r="D83" s="17">
        <f t="shared" ref="D83:D146" si="7">D$272*((B83+F$17)/B$272)^C$13</f>
        <v>12.103291845163284</v>
      </c>
      <c r="E83" s="17">
        <f t="shared" si="6"/>
        <v>13.313621029679613</v>
      </c>
      <c r="F83" s="2">
        <v>12.9076</v>
      </c>
      <c r="G83" s="2" t="str">
        <f t="shared" si="4"/>
        <v>Pass</v>
      </c>
      <c r="Y83" s="2">
        <v>68</v>
      </c>
      <c r="Z83" s="2">
        <v>0.31230000000000002</v>
      </c>
      <c r="AA83" s="2">
        <v>0.33610000000000001</v>
      </c>
      <c r="AB83" s="2">
        <v>13.725199999999999</v>
      </c>
    </row>
    <row r="84" spans="2:28" x14ac:dyDescent="0.4">
      <c r="B84" s="11">
        <v>67</v>
      </c>
      <c r="C84" s="16">
        <f t="shared" si="5"/>
        <v>11.257892740267994</v>
      </c>
      <c r="D84" s="17">
        <f t="shared" si="7"/>
        <v>12.508769711408883</v>
      </c>
      <c r="E84" s="17">
        <f t="shared" si="6"/>
        <v>13.759646682549771</v>
      </c>
      <c r="F84" s="2">
        <v>13.427199999999999</v>
      </c>
      <c r="G84" s="2" t="str">
        <f t="shared" si="4"/>
        <v>Pass</v>
      </c>
      <c r="Y84" s="2">
        <v>69</v>
      </c>
      <c r="Z84" s="2">
        <v>0.3115</v>
      </c>
      <c r="AA84" s="2">
        <v>0.33629999999999999</v>
      </c>
      <c r="AB84" s="2">
        <v>14.3172</v>
      </c>
    </row>
    <row r="85" spans="2:28" x14ac:dyDescent="0.4">
      <c r="B85" s="11">
        <v>68</v>
      </c>
      <c r="C85" s="16">
        <f t="shared" si="5"/>
        <v>11.629391745950279</v>
      </c>
      <c r="D85" s="17">
        <f t="shared" si="7"/>
        <v>12.921546384389199</v>
      </c>
      <c r="E85" s="17">
        <f t="shared" si="6"/>
        <v>14.213701022828118</v>
      </c>
      <c r="F85" s="2">
        <v>13.725199999999999</v>
      </c>
      <c r="G85" s="2" t="str">
        <f t="shared" si="4"/>
        <v>Pass</v>
      </c>
      <c r="Y85" s="2">
        <v>70</v>
      </c>
      <c r="Z85" s="2">
        <v>0.31030000000000002</v>
      </c>
      <c r="AA85" s="2">
        <v>0.33629999999999999</v>
      </c>
      <c r="AB85" s="2">
        <v>14.6266</v>
      </c>
    </row>
    <row r="86" spans="2:28" x14ac:dyDescent="0.4">
      <c r="B86" s="11">
        <v>69</v>
      </c>
      <c r="C86" s="16">
        <f t="shared" si="5"/>
        <v>12.007479094907479</v>
      </c>
      <c r="D86" s="17">
        <f t="shared" si="7"/>
        <v>13.341643438786088</v>
      </c>
      <c r="E86" s="17">
        <f t="shared" si="6"/>
        <v>14.675807782664696</v>
      </c>
      <c r="F86" s="2">
        <v>14.3172</v>
      </c>
      <c r="G86" s="2" t="str">
        <f t="shared" si="4"/>
        <v>Pass</v>
      </c>
      <c r="Y86" s="2">
        <v>71</v>
      </c>
      <c r="Z86" s="2">
        <v>0.311</v>
      </c>
      <c r="AA86" s="2">
        <v>0.3362</v>
      </c>
      <c r="AB86" s="2">
        <v>15.119899999999999</v>
      </c>
    </row>
    <row r="87" spans="2:28" x14ac:dyDescent="0.4">
      <c r="B87" s="11">
        <v>70</v>
      </c>
      <c r="C87" s="16">
        <f t="shared" si="5"/>
        <v>12.392173978101342</v>
      </c>
      <c r="D87" s="17">
        <f t="shared" si="7"/>
        <v>13.769082197890381</v>
      </c>
      <c r="E87" s="17">
        <f t="shared" si="6"/>
        <v>15.145990417679419</v>
      </c>
      <c r="F87" s="2">
        <v>14.6266</v>
      </c>
      <c r="G87" s="2" t="str">
        <f t="shared" si="4"/>
        <v>Pass</v>
      </c>
      <c r="Y87" s="2">
        <v>72</v>
      </c>
      <c r="Z87" s="2">
        <v>0.31130000000000002</v>
      </c>
      <c r="AA87" s="2">
        <v>0.33639999999999998</v>
      </c>
      <c r="AB87" s="2">
        <v>15.6861</v>
      </c>
    </row>
    <row r="88" spans="2:28" x14ac:dyDescent="0.4">
      <c r="B88" s="11">
        <v>71</v>
      </c>
      <c r="C88" s="16">
        <f t="shared" si="5"/>
        <v>12.783495366088573</v>
      </c>
      <c r="D88" s="17">
        <f t="shared" si="7"/>
        <v>14.203883740098414</v>
      </c>
      <c r="E88" s="17">
        <f t="shared" si="6"/>
        <v>15.624272114108255</v>
      </c>
      <c r="F88" s="2">
        <v>15.119899999999999</v>
      </c>
      <c r="G88" s="2" t="str">
        <f t="shared" si="4"/>
        <v>Pass</v>
      </c>
      <c r="Y88" s="2">
        <v>73</v>
      </c>
      <c r="Z88" s="2">
        <v>0.311</v>
      </c>
      <c r="AA88" s="2">
        <v>0.33639999999999998</v>
      </c>
      <c r="AB88" s="2">
        <v>15.9855</v>
      </c>
    </row>
    <row r="89" spans="2:28" x14ac:dyDescent="0.4">
      <c r="B89" s="11">
        <v>72</v>
      </c>
      <c r="C89" s="16">
        <f t="shared" si="5"/>
        <v>13.181462014635983</v>
      </c>
      <c r="D89" s="17">
        <f t="shared" si="7"/>
        <v>14.646068905151093</v>
      </c>
      <c r="E89" s="17">
        <f t="shared" si="6"/>
        <v>16.110675795666204</v>
      </c>
      <c r="F89" s="2">
        <v>15.6861</v>
      </c>
      <c r="G89" s="2" t="str">
        <f t="shared" si="4"/>
        <v>Pass</v>
      </c>
      <c r="Y89" s="2">
        <v>74</v>
      </c>
      <c r="Z89" s="2">
        <v>0.311</v>
      </c>
      <c r="AA89" s="2">
        <v>0.33610000000000001</v>
      </c>
      <c r="AB89" s="2">
        <v>16.686800000000002</v>
      </c>
    </row>
    <row r="90" spans="2:28" x14ac:dyDescent="0.4">
      <c r="B90" s="11">
        <v>73</v>
      </c>
      <c r="C90" s="16">
        <f t="shared" si="5"/>
        <v>13.58609247011622</v>
      </c>
      <c r="D90" s="17">
        <f t="shared" si="7"/>
        <v>15.095658300129134</v>
      </c>
      <c r="E90" s="17">
        <f t="shared" si="6"/>
        <v>16.605224130142048</v>
      </c>
      <c r="F90" s="2">
        <v>15.9855</v>
      </c>
      <c r="G90" s="2" t="str">
        <f t="shared" si="4"/>
        <v>Pass</v>
      </c>
      <c r="Y90" s="2">
        <v>75</v>
      </c>
      <c r="Z90" s="2">
        <v>0.31</v>
      </c>
      <c r="AA90" s="2">
        <v>0.33479999999999999</v>
      </c>
      <c r="AB90" s="2">
        <v>17.181899999999999</v>
      </c>
    </row>
    <row r="91" spans="2:28" x14ac:dyDescent="0.4">
      <c r="B91" s="11">
        <v>74</v>
      </c>
      <c r="C91" s="16">
        <f t="shared" si="5"/>
        <v>13.9974050746955</v>
      </c>
      <c r="D91" s="17">
        <f t="shared" si="7"/>
        <v>15.552672305217223</v>
      </c>
      <c r="E91" s="17">
        <f t="shared" si="6"/>
        <v>17.107939535738947</v>
      </c>
      <c r="F91" s="2">
        <v>16.686800000000002</v>
      </c>
      <c r="G91" s="2" t="str">
        <f t="shared" si="4"/>
        <v>Pass</v>
      </c>
      <c r="Y91" s="2">
        <v>76</v>
      </c>
      <c r="Z91" s="2">
        <v>0.311</v>
      </c>
      <c r="AA91" s="2">
        <v>0.33439999999999998</v>
      </c>
      <c r="AB91" s="2">
        <v>17.701799999999999</v>
      </c>
    </row>
    <row r="92" spans="2:28" x14ac:dyDescent="0.4">
      <c r="B92" s="11">
        <v>75</v>
      </c>
      <c r="C92" s="16">
        <f t="shared" si="5"/>
        <v>14.415417971324187</v>
      </c>
      <c r="D92" s="17">
        <f t="shared" si="7"/>
        <v>16.017131079249097</v>
      </c>
      <c r="E92" s="17">
        <f t="shared" si="6"/>
        <v>17.618844187174005</v>
      </c>
      <c r="F92" s="2">
        <v>17.181899999999999</v>
      </c>
      <c r="G92" s="2" t="str">
        <f t="shared" si="4"/>
        <v>Pass</v>
      </c>
      <c r="Y92" s="2">
        <v>77</v>
      </c>
      <c r="Z92" s="2">
        <v>0.31219999999999998</v>
      </c>
      <c r="AA92" s="2">
        <v>0.33829999999999999</v>
      </c>
      <c r="AB92" s="2">
        <v>18.1128</v>
      </c>
    </row>
    <row r="93" spans="2:28" x14ac:dyDescent="0.4">
      <c r="B93" s="11">
        <v>76</v>
      </c>
      <c r="C93" s="16">
        <f t="shared" si="5"/>
        <v>14.840149108540093</v>
      </c>
      <c r="D93" s="17">
        <f t="shared" si="7"/>
        <v>16.489054565044547</v>
      </c>
      <c r="E93" s="17">
        <f t="shared" si="6"/>
        <v>18.137960021549002</v>
      </c>
      <c r="F93" s="2">
        <v>17.701799999999999</v>
      </c>
      <c r="G93" s="2" t="str">
        <f t="shared" si="4"/>
        <v>Pass</v>
      </c>
      <c r="Y93" s="2">
        <v>78</v>
      </c>
      <c r="Z93" s="2">
        <v>0.31230000000000002</v>
      </c>
      <c r="AA93" s="2">
        <v>0.33839999999999998</v>
      </c>
      <c r="AB93" s="2">
        <v>18.638500000000001</v>
      </c>
    </row>
    <row r="94" spans="2:28" x14ac:dyDescent="0.4">
      <c r="B94" s="11">
        <v>77</v>
      </c>
      <c r="C94" s="16">
        <f t="shared" si="5"/>
        <v>15.271616245094085</v>
      </c>
      <c r="D94" s="17">
        <f t="shared" si="7"/>
        <v>16.968462494548984</v>
      </c>
      <c r="E94" s="17">
        <f t="shared" si="6"/>
        <v>18.66530874400388</v>
      </c>
      <c r="F94" s="2">
        <v>18.1128</v>
      </c>
      <c r="G94" s="2" t="str">
        <f t="shared" si="4"/>
        <v>Pass</v>
      </c>
      <c r="Y94" s="2">
        <v>79</v>
      </c>
      <c r="Z94" s="2">
        <v>0.31259999999999999</v>
      </c>
      <c r="AA94" s="2">
        <v>0.3382</v>
      </c>
      <c r="AB94" s="2">
        <v>19.293600000000001</v>
      </c>
    </row>
    <row r="95" spans="2:28" x14ac:dyDescent="0.4">
      <c r="B95" s="11">
        <v>78</v>
      </c>
      <c r="C95" s="16">
        <f t="shared" si="5"/>
        <v>15.709836954406656</v>
      </c>
      <c r="D95" s="17">
        <f t="shared" si="7"/>
        <v>17.455374393785174</v>
      </c>
      <c r="E95" s="17">
        <f t="shared" si="6"/>
        <v>19.200911833163691</v>
      </c>
      <c r="F95" s="2">
        <v>18.638500000000001</v>
      </c>
      <c r="G95" s="2" t="str">
        <f t="shared" si="4"/>
        <v>Pass</v>
      </c>
      <c r="Y95" s="2">
        <v>80</v>
      </c>
      <c r="Z95" s="2">
        <v>0.31259999999999999</v>
      </c>
      <c r="AA95" s="2">
        <v>0.33810000000000001</v>
      </c>
      <c r="AB95" s="2">
        <v>19.7044</v>
      </c>
    </row>
    <row r="96" spans="2:28" x14ac:dyDescent="0.4">
      <c r="B96" s="11">
        <v>79</v>
      </c>
      <c r="C96" s="16">
        <f t="shared" si="5"/>
        <v>16.154828628863825</v>
      </c>
      <c r="D96" s="17">
        <f t="shared" si="7"/>
        <v>17.949809587626472</v>
      </c>
      <c r="E96" s="17">
        <f t="shared" si="6"/>
        <v>19.744790546389119</v>
      </c>
      <c r="F96" s="2">
        <v>19.293600000000001</v>
      </c>
      <c r="G96" s="2" t="str">
        <f t="shared" si="4"/>
        <v>Pass</v>
      </c>
      <c r="Y96" s="2">
        <v>81</v>
      </c>
      <c r="Z96" s="2">
        <v>0.31280000000000002</v>
      </c>
      <c r="AA96" s="2">
        <v>0.33779999999999999</v>
      </c>
      <c r="AB96" s="2">
        <v>20.049399999999999</v>
      </c>
    </row>
    <row r="97" spans="2:28" x14ac:dyDescent="0.4">
      <c r="B97" s="11">
        <v>80</v>
      </c>
      <c r="C97" s="16">
        <f t="shared" si="5"/>
        <v>16.606608483960095</v>
      </c>
      <c r="D97" s="17">
        <f t="shared" si="7"/>
        <v>18.451787204400105</v>
      </c>
      <c r="E97" s="17">
        <f t="shared" si="6"/>
        <v>20.296965924840116</v>
      </c>
      <c r="F97" s="2">
        <v>19.7044</v>
      </c>
      <c r="G97" s="2" t="str">
        <f t="shared" si="4"/>
        <v>Pass</v>
      </c>
      <c r="Y97" s="2">
        <v>82</v>
      </c>
      <c r="Z97" s="2">
        <v>0.3125</v>
      </c>
      <c r="AA97" s="2">
        <v>0.33789999999999998</v>
      </c>
      <c r="AB97" s="2">
        <v>20.7349</v>
      </c>
    </row>
    <row r="98" spans="2:28" x14ac:dyDescent="0.4">
      <c r="B98" s="11">
        <v>81</v>
      </c>
      <c r="C98" s="16">
        <f t="shared" si="5"/>
        <v>17.065193562295796</v>
      </c>
      <c r="D98" s="17">
        <f t="shared" si="7"/>
        <v>18.961326180328662</v>
      </c>
      <c r="E98" s="17">
        <f t="shared" si="6"/>
        <v>20.857458798361527</v>
      </c>
      <c r="F98" s="2">
        <v>20.049399999999999</v>
      </c>
      <c r="G98" s="2" t="str">
        <f t="shared" si="4"/>
        <v>Pass</v>
      </c>
      <c r="Y98" s="2">
        <v>83</v>
      </c>
      <c r="Z98" s="2">
        <v>0.3125</v>
      </c>
      <c r="AA98" s="2">
        <v>0.33779999999999999</v>
      </c>
      <c r="AB98" s="2">
        <v>21.285</v>
      </c>
    </row>
    <row r="99" spans="2:28" x14ac:dyDescent="0.4">
      <c r="B99" s="11">
        <v>82</v>
      </c>
      <c r="C99" s="16">
        <f t="shared" si="5"/>
        <v>17.530600737435584</v>
      </c>
      <c r="D99" s="17">
        <f t="shared" si="7"/>
        <v>19.478445263817317</v>
      </c>
      <c r="E99" s="17">
        <f t="shared" si="6"/>
        <v>21.42628979019905</v>
      </c>
      <c r="F99" s="2">
        <v>20.7349</v>
      </c>
      <c r="G99" s="2" t="str">
        <f t="shared" si="4"/>
        <v>Pass</v>
      </c>
      <c r="Y99" s="2">
        <v>84</v>
      </c>
      <c r="Z99" s="2">
        <v>0.3125</v>
      </c>
      <c r="AA99" s="2">
        <v>0.33779999999999999</v>
      </c>
      <c r="AB99" s="2">
        <v>21.906099999999999</v>
      </c>
    </row>
    <row r="100" spans="2:28" x14ac:dyDescent="0.4">
      <c r="B100" s="11">
        <v>83</v>
      </c>
      <c r="C100" s="16">
        <f t="shared" si="5"/>
        <v>18.002846717634725</v>
      </c>
      <c r="D100" s="17">
        <f t="shared" si="7"/>
        <v>20.00316301959414</v>
      </c>
      <c r="E100" s="17">
        <f t="shared" si="6"/>
        <v>22.003479321553556</v>
      </c>
      <c r="F100" s="2">
        <v>21.285</v>
      </c>
      <c r="G100" s="2" t="str">
        <f t="shared" si="4"/>
        <v>Pass</v>
      </c>
      <c r="Y100" s="2">
        <v>85</v>
      </c>
      <c r="Z100" s="2">
        <v>0.315</v>
      </c>
      <c r="AA100" s="2">
        <v>0.34110000000000001</v>
      </c>
      <c r="AB100" s="2">
        <v>22.459299999999999</v>
      </c>
    </row>
    <row r="101" spans="2:28" x14ac:dyDescent="0.4">
      <c r="B101" s="11">
        <v>84</v>
      </c>
      <c r="C101" s="16">
        <f t="shared" si="5"/>
        <v>18.481948049439069</v>
      </c>
      <c r="D101" s="17">
        <f t="shared" si="7"/>
        <v>20.535497832710078</v>
      </c>
      <c r="E101" s="17">
        <f t="shared" si="6"/>
        <v>22.589047615981087</v>
      </c>
      <c r="F101" s="2">
        <v>21.906099999999999</v>
      </c>
      <c r="G101" s="2" t="str">
        <f t="shared" si="4"/>
        <v>Pass</v>
      </c>
      <c r="Y101" s="2">
        <v>86</v>
      </c>
      <c r="Z101" s="2">
        <v>0.315</v>
      </c>
      <c r="AA101" s="2">
        <v>0.34089999999999998</v>
      </c>
      <c r="AB101" s="2">
        <v>22.950500000000002</v>
      </c>
    </row>
    <row r="102" spans="2:28" x14ac:dyDescent="0.4">
      <c r="B102" s="11">
        <v>85</v>
      </c>
      <c r="C102" s="16">
        <f t="shared" si="5"/>
        <v>18.967921121164501</v>
      </c>
      <c r="D102" s="17">
        <f t="shared" si="7"/>
        <v>21.075467912404999</v>
      </c>
      <c r="E102" s="17">
        <f t="shared" si="6"/>
        <v>23.183014703645497</v>
      </c>
      <c r="F102" s="2">
        <v>22.459299999999999</v>
      </c>
      <c r="G102" s="2" t="str">
        <f t="shared" si="4"/>
        <v>Pass</v>
      </c>
      <c r="Y102" s="2">
        <v>87</v>
      </c>
      <c r="Z102" s="2">
        <v>0.31340000000000001</v>
      </c>
      <c r="AA102" s="2">
        <v>0.33700000000000002</v>
      </c>
      <c r="AB102" s="2">
        <v>23.037700000000001</v>
      </c>
    </row>
    <row r="103" spans="2:28" x14ac:dyDescent="0.4">
      <c r="B103" s="11">
        <v>86</v>
      </c>
      <c r="C103" s="16">
        <f t="shared" si="5"/>
        <v>19.460782166261399</v>
      </c>
      <c r="D103" s="17">
        <f t="shared" si="7"/>
        <v>21.623091295845999</v>
      </c>
      <c r="E103" s="17">
        <f t="shared" si="6"/>
        <v>23.785400425430598</v>
      </c>
      <c r="F103" s="2">
        <v>22.950500000000002</v>
      </c>
      <c r="G103" s="2" t="str">
        <f t="shared" si="4"/>
        <v>Pass</v>
      </c>
      <c r="Y103" s="2">
        <v>88</v>
      </c>
      <c r="Z103" s="2">
        <v>0.3135</v>
      </c>
      <c r="AA103" s="2">
        <v>0.33660000000000001</v>
      </c>
      <c r="AB103" s="2">
        <v>23.715</v>
      </c>
    </row>
    <row r="104" spans="2:28" x14ac:dyDescent="0.4">
      <c r="B104" s="11">
        <v>87</v>
      </c>
      <c r="C104" s="16">
        <f t="shared" si="5"/>
        <v>19.960547266569026</v>
      </c>
      <c r="D104" s="17">
        <f t="shared" si="7"/>
        <v>22.178385851743364</v>
      </c>
      <c r="E104" s="17">
        <f t="shared" si="6"/>
        <v>24.396224436917702</v>
      </c>
      <c r="F104" s="2">
        <v>23.037700000000001</v>
      </c>
      <c r="G104" s="2" t="str">
        <f t="shared" si="4"/>
        <v>Pass</v>
      </c>
      <c r="Y104" s="2">
        <v>89</v>
      </c>
      <c r="Z104" s="2">
        <v>0.31390000000000001</v>
      </c>
      <c r="AA104" s="2">
        <v>0.33660000000000001</v>
      </c>
      <c r="AB104" s="2">
        <v>24.145</v>
      </c>
    </row>
    <row r="105" spans="2:28" x14ac:dyDescent="0.4">
      <c r="B105" s="11">
        <v>88</v>
      </c>
      <c r="C105" s="16">
        <f t="shared" si="5"/>
        <v>20.467232355464795</v>
      </c>
      <c r="D105" s="17">
        <f t="shared" si="7"/>
        <v>22.741369283849771</v>
      </c>
      <c r="E105" s="17">
        <f t="shared" si="6"/>
        <v>25.015506212234747</v>
      </c>
      <c r="F105" s="2">
        <v>23.715</v>
      </c>
      <c r="G105" s="2" t="str">
        <f t="shared" si="4"/>
        <v>Pass</v>
      </c>
      <c r="Y105" s="2">
        <v>90</v>
      </c>
      <c r="Z105" s="2">
        <v>0.31340000000000001</v>
      </c>
      <c r="AA105" s="2">
        <v>0.33639999999999998</v>
      </c>
      <c r="AB105" s="2">
        <v>24.771599999999999</v>
      </c>
    </row>
    <row r="106" spans="2:28" x14ac:dyDescent="0.4">
      <c r="B106" s="11">
        <v>89</v>
      </c>
      <c r="C106" s="16">
        <f t="shared" si="5"/>
        <v>20.980853220912969</v>
      </c>
      <c r="D106" s="17">
        <f t="shared" si="7"/>
        <v>23.312059134347745</v>
      </c>
      <c r="E106" s="17">
        <f t="shared" si="6"/>
        <v>25.643265047782521</v>
      </c>
      <c r="F106" s="2">
        <v>24.145</v>
      </c>
      <c r="G106" s="2" t="str">
        <f t="shared" si="4"/>
        <v>Pass</v>
      </c>
      <c r="Y106" s="2">
        <v>91</v>
      </c>
      <c r="Z106" s="2">
        <v>0.31190000000000001</v>
      </c>
      <c r="AA106" s="2">
        <v>0.3372</v>
      </c>
      <c r="AB106" s="2">
        <v>25.2117</v>
      </c>
    </row>
    <row r="107" spans="2:28" x14ac:dyDescent="0.4">
      <c r="B107" s="11">
        <v>90</v>
      </c>
      <c r="C107" s="16">
        <f t="shared" si="5"/>
        <v>21.501425508416919</v>
      </c>
      <c r="D107" s="17">
        <f t="shared" si="7"/>
        <v>23.890472787129909</v>
      </c>
      <c r="E107" s="17">
        <f t="shared" si="6"/>
        <v>26.279520065842899</v>
      </c>
      <c r="F107" s="2">
        <v>24.771599999999999</v>
      </c>
      <c r="G107" s="2" t="str">
        <f t="shared" si="4"/>
        <v>Pass</v>
      </c>
      <c r="Y107" s="2">
        <v>92</v>
      </c>
      <c r="Z107" s="2">
        <v>0.31219999999999998</v>
      </c>
      <c r="AA107" s="2">
        <v>0.33700000000000002</v>
      </c>
      <c r="AB107" s="2">
        <v>25.956600000000002</v>
      </c>
    </row>
    <row r="108" spans="2:28" x14ac:dyDescent="0.4">
      <c r="B108" s="11">
        <v>91</v>
      </c>
      <c r="C108" s="16">
        <f t="shared" si="5"/>
        <v>22.028964723879401</v>
      </c>
      <c r="D108" s="17">
        <f t="shared" si="7"/>
        <v>24.476627470977114</v>
      </c>
      <c r="E108" s="17">
        <f t="shared" si="6"/>
        <v>26.924290218074827</v>
      </c>
      <c r="F108" s="2">
        <v>25.2117</v>
      </c>
      <c r="G108" s="2" t="str">
        <f t="shared" si="4"/>
        <v>Pass</v>
      </c>
      <c r="Y108" s="2">
        <v>93</v>
      </c>
      <c r="Z108" s="2">
        <v>0.31519999999999998</v>
      </c>
      <c r="AA108" s="2">
        <v>0.34</v>
      </c>
      <c r="AB108" s="2">
        <v>26.616299999999999</v>
      </c>
    </row>
    <row r="109" spans="2:28" x14ac:dyDescent="0.4">
      <c r="B109" s="11">
        <v>92</v>
      </c>
      <c r="C109" s="16">
        <f t="shared" si="5"/>
        <v>22.563486236374349</v>
      </c>
      <c r="D109" s="17">
        <f t="shared" si="7"/>
        <v>25.070540262638165</v>
      </c>
      <c r="E109" s="17">
        <f t="shared" si="6"/>
        <v>27.577594288901981</v>
      </c>
      <c r="F109" s="2">
        <v>25.956600000000002</v>
      </c>
      <c r="G109" s="2" t="str">
        <f t="shared" si="4"/>
        <v>Pass</v>
      </c>
      <c r="Y109" s="2">
        <v>94</v>
      </c>
      <c r="Z109" s="2">
        <v>0.315</v>
      </c>
      <c r="AA109" s="2">
        <v>0.3402</v>
      </c>
      <c r="AB109" s="2">
        <v>27.209499999999998</v>
      </c>
    </row>
    <row r="110" spans="2:28" x14ac:dyDescent="0.4">
      <c r="B110" s="11">
        <v>93</v>
      </c>
      <c r="C110" s="16">
        <f t="shared" si="5"/>
        <v>23.105005280833961</v>
      </c>
      <c r="D110" s="17">
        <f t="shared" si="7"/>
        <v>25.672228089815512</v>
      </c>
      <c r="E110" s="17">
        <f t="shared" si="6"/>
        <v>28.239450898797063</v>
      </c>
      <c r="F110" s="2">
        <v>26.616299999999999</v>
      </c>
      <c r="G110" s="2" t="str">
        <f t="shared" si="4"/>
        <v>Pass</v>
      </c>
      <c r="Y110" s="2">
        <v>95</v>
      </c>
      <c r="Z110" s="2">
        <v>0.31609999999999999</v>
      </c>
      <c r="AA110" s="2">
        <v>0.34239999999999998</v>
      </c>
      <c r="AB110" s="2">
        <v>27.968</v>
      </c>
    </row>
    <row r="111" spans="2:28" x14ac:dyDescent="0.4">
      <c r="B111" s="11">
        <v>94</v>
      </c>
      <c r="C111" s="16">
        <f t="shared" si="5"/>
        <v>23.653536960654677</v>
      </c>
      <c r="D111" s="17">
        <f t="shared" si="7"/>
        <v>26.281707734060753</v>
      </c>
      <c r="E111" s="17">
        <f t="shared" si="6"/>
        <v>28.909878507466829</v>
      </c>
      <c r="F111" s="2">
        <v>27.209499999999998</v>
      </c>
      <c r="G111" s="2" t="str">
        <f t="shared" si="4"/>
        <v>Pass</v>
      </c>
      <c r="Y111" s="2">
        <v>96</v>
      </c>
      <c r="Z111" s="2">
        <v>0.315</v>
      </c>
      <c r="AA111" s="2">
        <v>0.33960000000000001</v>
      </c>
      <c r="AB111" s="2">
        <v>28.429400000000001</v>
      </c>
    </row>
    <row r="112" spans="2:28" x14ac:dyDescent="0.4">
      <c r="B112" s="11">
        <v>95</v>
      </c>
      <c r="C112" s="16">
        <f t="shared" si="5"/>
        <v>24.209096250225208</v>
      </c>
      <c r="D112" s="17">
        <f t="shared" si="7"/>
        <v>26.898995833583566</v>
      </c>
      <c r="E112" s="17">
        <f t="shared" si="6"/>
        <v>29.588895416941924</v>
      </c>
      <c r="F112" s="2">
        <v>27.968</v>
      </c>
      <c r="G112" s="2" t="str">
        <f t="shared" si="4"/>
        <v>Pass</v>
      </c>
      <c r="Y112" s="2">
        <v>97</v>
      </c>
      <c r="Z112" s="2">
        <v>0.31490000000000001</v>
      </c>
      <c r="AA112" s="2">
        <v>0.3392</v>
      </c>
      <c r="AB112" s="2">
        <v>29.114999999999998</v>
      </c>
    </row>
    <row r="113" spans="2:28" x14ac:dyDescent="0.4">
      <c r="B113" s="11">
        <v>96</v>
      </c>
      <c r="C113" s="16">
        <f t="shared" si="5"/>
        <v>24.771697997379746</v>
      </c>
      <c r="D113" s="17">
        <f t="shared" si="7"/>
        <v>27.524108885977498</v>
      </c>
      <c r="E113" s="17">
        <f t="shared" si="6"/>
        <v>30.276519774575249</v>
      </c>
      <c r="F113" s="2">
        <v>28.429400000000001</v>
      </c>
      <c r="G113" s="2" t="str">
        <f t="shared" si="4"/>
        <v>Pass</v>
      </c>
      <c r="Y113" s="2">
        <v>98</v>
      </c>
      <c r="Z113" s="2">
        <v>0.31430000000000002</v>
      </c>
      <c r="AA113" s="2">
        <v>0.3392</v>
      </c>
      <c r="AB113" s="2">
        <v>29.662700000000001</v>
      </c>
    </row>
    <row r="114" spans="2:28" x14ac:dyDescent="0.4">
      <c r="B114" s="11">
        <v>97</v>
      </c>
      <c r="C114" s="16">
        <f t="shared" si="5"/>
        <v>25.341356925779451</v>
      </c>
      <c r="D114" s="17">
        <f t="shared" si="7"/>
        <v>28.157063250866056</v>
      </c>
      <c r="E114" s="17">
        <f t="shared" si="6"/>
        <v>30.972769575952661</v>
      </c>
      <c r="F114" s="2">
        <v>29.114999999999998</v>
      </c>
      <c r="G114" s="2" t="str">
        <f t="shared" si="4"/>
        <v>Pass</v>
      </c>
      <c r="Y114" s="2">
        <v>99</v>
      </c>
      <c r="Z114" s="2">
        <v>0.31430000000000002</v>
      </c>
      <c r="AA114" s="2">
        <v>0.33939999999999998</v>
      </c>
      <c r="AB114" s="2">
        <v>30.499500000000001</v>
      </c>
    </row>
    <row r="115" spans="2:28" x14ac:dyDescent="0.4">
      <c r="B115" s="11">
        <v>98</v>
      </c>
      <c r="C115" s="16">
        <f t="shared" si="5"/>
        <v>25.918087637224765</v>
      </c>
      <c r="D115" s="17">
        <f t="shared" si="7"/>
        <v>28.797875152471963</v>
      </c>
      <c r="E115" s="17">
        <f t="shared" si="6"/>
        <v>31.677662667719162</v>
      </c>
      <c r="F115" s="2">
        <v>29.662700000000001</v>
      </c>
      <c r="G115" s="2" t="str">
        <f t="shared" si="4"/>
        <v>Pass</v>
      </c>
      <c r="Y115" s="2">
        <v>100</v>
      </c>
      <c r="Z115" s="2">
        <v>0.31390000000000001</v>
      </c>
      <c r="AA115" s="2">
        <v>0.33929999999999999</v>
      </c>
      <c r="AB115" s="2">
        <v>31.069099999999999</v>
      </c>
    </row>
    <row r="116" spans="2:28" x14ac:dyDescent="0.4">
      <c r="B116" s="11">
        <v>99</v>
      </c>
      <c r="C116" s="16">
        <f t="shared" si="5"/>
        <v>26.501904613901715</v>
      </c>
      <c r="D116" s="17">
        <f t="shared" si="7"/>
        <v>29.446560682113017</v>
      </c>
      <c r="E116" s="17">
        <f t="shared" si="6"/>
        <v>32.391216750324318</v>
      </c>
      <c r="F116" s="2">
        <v>30.499500000000001</v>
      </c>
      <c r="G116" s="2" t="str">
        <f t="shared" si="4"/>
        <v>Pass</v>
      </c>
      <c r="Y116" s="2">
        <v>101</v>
      </c>
      <c r="Z116" s="2">
        <v>0.31319999999999998</v>
      </c>
      <c r="AA116" s="2">
        <v>0.33789999999999998</v>
      </c>
      <c r="AB116" s="2">
        <v>31.665199999999999</v>
      </c>
    </row>
    <row r="117" spans="2:28" x14ac:dyDescent="0.4">
      <c r="B117" s="11">
        <v>100</v>
      </c>
      <c r="C117" s="16">
        <f t="shared" si="5"/>
        <v>27.092822220564141</v>
      </c>
      <c r="D117" s="17">
        <f t="shared" si="7"/>
        <v>30.103135800626823</v>
      </c>
      <c r="E117" s="17">
        <f t="shared" si="6"/>
        <v>33.113449380689502</v>
      </c>
      <c r="F117" s="2">
        <v>31.069099999999999</v>
      </c>
      <c r="G117" s="2" t="str">
        <f t="shared" si="4"/>
        <v>Pass</v>
      </c>
      <c r="Y117" s="2">
        <v>102</v>
      </c>
      <c r="Z117" s="2">
        <v>0.313</v>
      </c>
      <c r="AA117" s="2">
        <v>0.3377</v>
      </c>
      <c r="AB117" s="2">
        <v>32.4816</v>
      </c>
    </row>
    <row r="118" spans="2:28" x14ac:dyDescent="0.4">
      <c r="B118" s="11">
        <v>101</v>
      </c>
      <c r="C118" s="16">
        <f t="shared" si="5"/>
        <v>27.690854706654882</v>
      </c>
      <c r="D118" s="17">
        <f t="shared" si="7"/>
        <v>30.767616340727646</v>
      </c>
      <c r="E118" s="17">
        <f t="shared" si="6"/>
        <v>33.844377974800409</v>
      </c>
      <c r="F118" s="2">
        <v>31.665199999999999</v>
      </c>
      <c r="G118" s="2" t="str">
        <f t="shared" si="4"/>
        <v>Pass</v>
      </c>
      <c r="Y118" s="2">
        <v>103</v>
      </c>
      <c r="Z118" s="2">
        <v>0.31390000000000001</v>
      </c>
      <c r="AA118" s="2">
        <v>0.33889999999999998</v>
      </c>
      <c r="AB118" s="2">
        <v>33.112099999999998</v>
      </c>
    </row>
    <row r="119" spans="2:28" x14ac:dyDescent="0.4">
      <c r="B119" s="11">
        <v>102</v>
      </c>
      <c r="C119" s="16">
        <f t="shared" si="5"/>
        <v>28.296016208367746</v>
      </c>
      <c r="D119" s="17">
        <f t="shared" si="7"/>
        <v>31.440018009297496</v>
      </c>
      <c r="E119" s="17">
        <f t="shared" si="6"/>
        <v>34.584019810227247</v>
      </c>
      <c r="F119" s="2">
        <v>32.4816</v>
      </c>
      <c r="G119" s="2" t="str">
        <f t="shared" si="4"/>
        <v>Pass</v>
      </c>
      <c r="Y119" s="2">
        <v>104</v>
      </c>
      <c r="Z119" s="2">
        <v>0.31380000000000002</v>
      </c>
      <c r="AA119" s="2">
        <v>0.33879999999999999</v>
      </c>
      <c r="AB119" s="2">
        <v>33.9009</v>
      </c>
    </row>
    <row r="120" spans="2:28" x14ac:dyDescent="0.4">
      <c r="B120" s="11">
        <v>103</v>
      </c>
      <c r="C120" s="16">
        <f t="shared" si="5"/>
        <v>28.908320750652852</v>
      </c>
      <c r="D120" s="17">
        <f t="shared" si="7"/>
        <v>32.12035638961428</v>
      </c>
      <c r="E120" s="17">
        <f t="shared" si="6"/>
        <v>35.332392028575711</v>
      </c>
      <c r="F120" s="2">
        <v>33.112099999999998</v>
      </c>
      <c r="G120" s="2" t="str">
        <f t="shared" si="4"/>
        <v>Pass</v>
      </c>
      <c r="Y120" s="2">
        <v>105</v>
      </c>
      <c r="Z120" s="2">
        <v>0.31380000000000002</v>
      </c>
      <c r="AA120" s="2">
        <v>0.33879999999999999</v>
      </c>
      <c r="AB120" s="2">
        <v>34.5246</v>
      </c>
    </row>
    <row r="121" spans="2:28" x14ac:dyDescent="0.4">
      <c r="B121" s="11">
        <v>104</v>
      </c>
      <c r="C121" s="16">
        <f t="shared" si="5"/>
        <v>29.527782249167114</v>
      </c>
      <c r="D121" s="17">
        <f t="shared" si="7"/>
        <v>32.808646943519015</v>
      </c>
      <c r="E121" s="17">
        <f t="shared" si="6"/>
        <v>36.089511637870913</v>
      </c>
      <c r="F121" s="2">
        <v>33.9009</v>
      </c>
      <c r="G121" s="2" t="str">
        <f t="shared" si="4"/>
        <v>Pass</v>
      </c>
      <c r="Y121" s="2">
        <v>106</v>
      </c>
      <c r="Z121" s="2">
        <v>0.31309999999999999</v>
      </c>
      <c r="AA121" s="2">
        <v>0.33889999999999998</v>
      </c>
      <c r="AB121" s="2">
        <v>35.177900000000001</v>
      </c>
    </row>
    <row r="122" spans="2:28" x14ac:dyDescent="0.4">
      <c r="B122" s="11">
        <v>105</v>
      </c>
      <c r="C122" s="16">
        <f t="shared" si="5"/>
        <v>30.15441451217221</v>
      </c>
      <c r="D122" s="17">
        <f t="shared" si="7"/>
        <v>33.504905013524677</v>
      </c>
      <c r="E122" s="17">
        <f t="shared" si="6"/>
        <v>36.855395514877145</v>
      </c>
      <c r="F122" s="2">
        <v>34.5246</v>
      </c>
      <c r="G122" s="2" t="str">
        <f t="shared" si="4"/>
        <v>Pass</v>
      </c>
      <c r="Y122" s="2">
        <v>107</v>
      </c>
      <c r="Z122" s="2">
        <v>0.313</v>
      </c>
      <c r="AA122" s="2">
        <v>0.33700000000000002</v>
      </c>
      <c r="AB122" s="2">
        <v>35.360999999999997</v>
      </c>
    </row>
    <row r="123" spans="2:28" x14ac:dyDescent="0.4">
      <c r="B123" s="11">
        <v>106</v>
      </c>
      <c r="C123" s="16">
        <f t="shared" si="5"/>
        <v>30.788231242381574</v>
      </c>
      <c r="D123" s="17">
        <f t="shared" si="7"/>
        <v>34.209145824868415</v>
      </c>
      <c r="E123" s="17">
        <f t="shared" si="6"/>
        <v>37.630060407355259</v>
      </c>
      <c r="F123" s="2">
        <v>35.177900000000001</v>
      </c>
      <c r="G123" s="2" t="str">
        <f t="shared" si="4"/>
        <v>Pass</v>
      </c>
      <c r="Y123" s="2">
        <v>108</v>
      </c>
      <c r="Z123" s="2">
        <v>0.31309999999999999</v>
      </c>
      <c r="AA123" s="2">
        <v>0.33700000000000002</v>
      </c>
      <c r="AB123" s="2">
        <v>36.010100000000001</v>
      </c>
    </row>
    <row r="124" spans="2:28" x14ac:dyDescent="0.4">
      <c r="B124" s="11">
        <v>107</v>
      </c>
      <c r="C124" s="16">
        <f t="shared" si="5"/>
        <v>31.429246038758656</v>
      </c>
      <c r="D124" s="17">
        <f t="shared" si="7"/>
        <v>34.92138448750962</v>
      </c>
      <c r="E124" s="17">
        <f t="shared" si="6"/>
        <v>38.413522936260584</v>
      </c>
      <c r="F124" s="2">
        <v>35.360999999999997</v>
      </c>
      <c r="G124" s="2" t="str">
        <f t="shared" si="4"/>
        <v>Pass</v>
      </c>
      <c r="Y124" s="2">
        <v>109</v>
      </c>
      <c r="Z124" s="2">
        <v>0.313</v>
      </c>
      <c r="AA124" s="2">
        <v>0.33689999999999998</v>
      </c>
      <c r="AB124" s="2">
        <v>36.927199999999999</v>
      </c>
    </row>
    <row r="125" spans="2:28" x14ac:dyDescent="0.4">
      <c r="B125" s="11">
        <v>108</v>
      </c>
      <c r="C125" s="16">
        <f t="shared" si="5"/>
        <v>32.077472398267801</v>
      </c>
      <c r="D125" s="17">
        <f t="shared" si="7"/>
        <v>35.641635998075337</v>
      </c>
      <c r="E125" s="17">
        <f t="shared" si="6"/>
        <v>39.205799597882873</v>
      </c>
      <c r="F125" s="2">
        <v>36.010100000000001</v>
      </c>
      <c r="G125" s="2" t="str">
        <f t="shared" si="4"/>
        <v>Pass</v>
      </c>
      <c r="Y125" s="2">
        <v>110</v>
      </c>
      <c r="Z125" s="2">
        <v>0.31290000000000001</v>
      </c>
      <c r="AA125" s="2">
        <v>0.33689999999999998</v>
      </c>
      <c r="AB125" s="2">
        <v>37.585900000000002</v>
      </c>
    </row>
    <row r="126" spans="2:28" x14ac:dyDescent="0.4">
      <c r="B126" s="11">
        <v>109</v>
      </c>
      <c r="C126" s="16">
        <f t="shared" si="5"/>
        <v>32.732923717579624</v>
      </c>
      <c r="D126" s="17">
        <f t="shared" si="7"/>
        <v>36.369915241755137</v>
      </c>
      <c r="E126" s="17">
        <f t="shared" si="6"/>
        <v>40.006906765930651</v>
      </c>
      <c r="F126" s="2">
        <v>36.927199999999999</v>
      </c>
      <c r="G126" s="2" t="str">
        <f t="shared" si="4"/>
        <v>Pass</v>
      </c>
      <c r="Y126" s="2">
        <v>111</v>
      </c>
      <c r="Z126" s="2">
        <v>0.31290000000000001</v>
      </c>
      <c r="AA126" s="2">
        <v>0.33679999999999999</v>
      </c>
      <c r="AB126" s="2">
        <v>38.267800000000001</v>
      </c>
    </row>
    <row r="127" spans="2:28" x14ac:dyDescent="0.4">
      <c r="B127" s="11">
        <v>110</v>
      </c>
      <c r="C127" s="16">
        <f t="shared" si="5"/>
        <v>33.395613294732527</v>
      </c>
      <c r="D127" s="17">
        <f t="shared" si="7"/>
        <v>37.106236994147253</v>
      </c>
      <c r="E127" s="17">
        <f t="shared" si="6"/>
        <v>40.816860693561978</v>
      </c>
      <c r="F127" s="2">
        <v>37.585900000000002</v>
      </c>
      <c r="G127" s="2" t="str">
        <f t="shared" si="4"/>
        <v>Pass</v>
      </c>
      <c r="Y127" s="2">
        <v>112</v>
      </c>
      <c r="Z127" s="2">
        <v>0.31290000000000001</v>
      </c>
      <c r="AA127" s="2">
        <v>0.33660000000000001</v>
      </c>
      <c r="AB127" s="2">
        <v>39.197800000000001</v>
      </c>
    </row>
    <row r="128" spans="2:28" x14ac:dyDescent="0.4">
      <c r="B128" s="11">
        <v>111</v>
      </c>
      <c r="C128" s="16">
        <f t="shared" si="5"/>
        <v>34.065554330751709</v>
      </c>
      <c r="D128" s="17">
        <f t="shared" si="7"/>
        <v>37.850615923057454</v>
      </c>
      <c r="E128" s="17">
        <f t="shared" si="6"/>
        <v>41.635677515363199</v>
      </c>
      <c r="F128" s="2">
        <v>38.267800000000001</v>
      </c>
      <c r="G128" s="2" t="str">
        <f t="shared" si="4"/>
        <v>Pass</v>
      </c>
      <c r="Y128" s="2">
        <v>113</v>
      </c>
      <c r="Z128" s="2">
        <v>0.313</v>
      </c>
      <c r="AA128" s="2">
        <v>0.33629999999999999</v>
      </c>
      <c r="AB128" s="2">
        <v>39.872500000000002</v>
      </c>
    </row>
    <row r="129" spans="2:28" x14ac:dyDescent="0.4">
      <c r="B129" s="11">
        <v>112</v>
      </c>
      <c r="C129" s="16">
        <f t="shared" si="5"/>
        <v>34.742759931227198</v>
      </c>
      <c r="D129" s="17">
        <f t="shared" si="7"/>
        <v>38.603066590252439</v>
      </c>
      <c r="E129" s="17">
        <f t="shared" si="6"/>
        <v>42.46337324927768</v>
      </c>
      <c r="F129" s="2">
        <v>39.197800000000001</v>
      </c>
      <c r="G129" s="2" t="str">
        <f t="shared" si="4"/>
        <v>Pass</v>
      </c>
      <c r="Y129" s="2">
        <v>114</v>
      </c>
      <c r="Z129" s="2">
        <v>0.313</v>
      </c>
      <c r="AA129" s="2">
        <v>0.3362</v>
      </c>
      <c r="AB129" s="2">
        <v>40.755699999999997</v>
      </c>
    </row>
    <row r="130" spans="2:28" x14ac:dyDescent="0.4">
      <c r="B130" s="11">
        <v>113</v>
      </c>
      <c r="C130" s="16">
        <f t="shared" si="5"/>
        <v>35.42724310785237</v>
      </c>
      <c r="D130" s="17">
        <f t="shared" si="7"/>
        <v>39.363603453169297</v>
      </c>
      <c r="E130" s="17">
        <f t="shared" si="6"/>
        <v>43.299963798486225</v>
      </c>
      <c r="F130" s="2">
        <v>39.872500000000002</v>
      </c>
      <c r="G130" s="2" t="str">
        <f t="shared" si="4"/>
        <v>Pass</v>
      </c>
      <c r="Y130" s="2">
        <v>115</v>
      </c>
      <c r="Z130" s="2">
        <v>0.31309999999999999</v>
      </c>
      <c r="AA130" s="2">
        <v>0.33600000000000002</v>
      </c>
      <c r="AB130" s="2">
        <v>41.442799999999998</v>
      </c>
    </row>
    <row r="131" spans="2:28" x14ac:dyDescent="0.4">
      <c r="B131" s="11">
        <v>114</v>
      </c>
      <c r="C131" s="16">
        <f t="shared" si="5"/>
        <v>36.119016779924173</v>
      </c>
      <c r="D131" s="17">
        <f t="shared" si="7"/>
        <v>40.132240866582414</v>
      </c>
      <c r="E131" s="17">
        <f t="shared" si="6"/>
        <v>44.145464953240655</v>
      </c>
      <c r="F131" s="2">
        <v>40.755699999999997</v>
      </c>
      <c r="G131" s="2" t="str">
        <f t="shared" si="4"/>
        <v>Pass</v>
      </c>
      <c r="Y131" s="2">
        <v>116</v>
      </c>
      <c r="Z131" s="2">
        <v>0.31390000000000001</v>
      </c>
      <c r="AA131" s="2">
        <v>0.3357</v>
      </c>
      <c r="AB131" s="2">
        <v>42.363599999999998</v>
      </c>
    </row>
    <row r="132" spans="2:28" x14ac:dyDescent="0.4">
      <c r="B132" s="11">
        <v>115</v>
      </c>
      <c r="C132" s="16">
        <f t="shared" si="5"/>
        <v>36.818093775806432</v>
      </c>
      <c r="D132" s="17">
        <f t="shared" si="7"/>
        <v>40.908993084229365</v>
      </c>
      <c r="E132" s="17">
        <f t="shared" si="6"/>
        <v>44.999892392652299</v>
      </c>
      <c r="F132" s="2">
        <v>41.442799999999998</v>
      </c>
      <c r="G132" s="2" t="str">
        <f t="shared" si="4"/>
        <v>Pass</v>
      </c>
      <c r="Y132" s="2">
        <v>117</v>
      </c>
      <c r="Z132" s="2">
        <v>0.31359999999999999</v>
      </c>
      <c r="AA132" s="2">
        <v>0.33710000000000001</v>
      </c>
      <c r="AB132" s="2">
        <v>43.779000000000003</v>
      </c>
    </row>
    <row r="133" spans="2:28" x14ac:dyDescent="0.4">
      <c r="B133" s="11">
        <v>116</v>
      </c>
      <c r="C133" s="16">
        <f t="shared" si="5"/>
        <v>37.524486834357397</v>
      </c>
      <c r="D133" s="17">
        <f t="shared" si="7"/>
        <v>41.693874260397109</v>
      </c>
      <c r="E133" s="17">
        <f t="shared" si="6"/>
        <v>45.863261686436822</v>
      </c>
      <c r="F133" s="2">
        <v>42.363599999999998</v>
      </c>
      <c r="G133" s="2" t="str">
        <f t="shared" si="4"/>
        <v>Pass</v>
      </c>
      <c r="Y133" s="2">
        <v>118</v>
      </c>
      <c r="Z133" s="2">
        <v>0.31359999999999999</v>
      </c>
      <c r="AA133" s="2">
        <v>0.33689999999999998</v>
      </c>
      <c r="AB133" s="2">
        <v>44.721299999999999</v>
      </c>
    </row>
    <row r="134" spans="2:28" x14ac:dyDescent="0.4">
      <c r="B134" s="11">
        <v>117</v>
      </c>
      <c r="C134" s="16">
        <f t="shared" si="5"/>
        <v>38.238208606322765</v>
      </c>
      <c r="D134" s="17">
        <f t="shared" si="7"/>
        <v>42.486898451469742</v>
      </c>
      <c r="E134" s="17">
        <f t="shared" si="6"/>
        <v>46.735588296616719</v>
      </c>
      <c r="F134" s="2">
        <v>43.779000000000003</v>
      </c>
      <c r="G134" s="2" t="str">
        <f t="shared" si="4"/>
        <v>Pass</v>
      </c>
      <c r="Y134" s="2">
        <v>119</v>
      </c>
      <c r="Z134" s="2">
        <v>0.3135</v>
      </c>
      <c r="AA134" s="2">
        <v>0.33679999999999999</v>
      </c>
      <c r="AB134" s="2">
        <v>45.438800000000001</v>
      </c>
    </row>
    <row r="135" spans="2:28" x14ac:dyDescent="0.4">
      <c r="B135" s="11">
        <v>118</v>
      </c>
      <c r="C135" s="16">
        <f t="shared" si="5"/>
        <v>38.959271655695161</v>
      </c>
      <c r="D135" s="17">
        <f t="shared" si="7"/>
        <v>43.288079617439067</v>
      </c>
      <c r="E135" s="17">
        <f t="shared" si="6"/>
        <v>47.616887579182972</v>
      </c>
      <c r="F135" s="2">
        <v>44.721299999999999</v>
      </c>
      <c r="G135" s="2" t="str">
        <f t="shared" si="4"/>
        <v>Pass</v>
      </c>
      <c r="Y135" s="2">
        <v>120</v>
      </c>
      <c r="Z135" s="2">
        <v>0.3135</v>
      </c>
      <c r="AA135" s="2">
        <v>0.3367</v>
      </c>
      <c r="AB135" s="2">
        <v>46.120100000000001</v>
      </c>
    </row>
    <row r="136" spans="2:28" x14ac:dyDescent="0.4">
      <c r="B136" s="11">
        <v>119</v>
      </c>
      <c r="C136" s="16">
        <f t="shared" si="5"/>
        <v>39.687688461041425</v>
      </c>
      <c r="D136" s="17">
        <f t="shared" si="7"/>
        <v>44.097431623379364</v>
      </c>
      <c r="E136" s="17">
        <f t="shared" si="6"/>
        <v>48.507174785717304</v>
      </c>
      <c r="F136" s="2">
        <v>45.438800000000001</v>
      </c>
      <c r="G136" s="2" t="str">
        <f t="shared" si="4"/>
        <v>Pass</v>
      </c>
      <c r="Y136" s="2">
        <v>121</v>
      </c>
      <c r="Z136" s="2">
        <v>0.31359999999999999</v>
      </c>
      <c r="AA136" s="2">
        <v>0.33660000000000001</v>
      </c>
      <c r="AB136" s="2">
        <v>47.036700000000003</v>
      </c>
    </row>
    <row r="137" spans="2:28" x14ac:dyDescent="0.4">
      <c r="B137" s="11">
        <v>120</v>
      </c>
      <c r="C137" s="16">
        <f t="shared" si="5"/>
        <v>40.423471416798449</v>
      </c>
      <c r="D137" s="17">
        <f t="shared" si="7"/>
        <v>44.91496824088717</v>
      </c>
      <c r="E137" s="17">
        <f t="shared" si="6"/>
        <v>49.40646506497589</v>
      </c>
      <c r="F137" s="2">
        <v>46.120100000000001</v>
      </c>
      <c r="G137" s="2" t="str">
        <f t="shared" si="4"/>
        <v>Pass</v>
      </c>
      <c r="Y137" s="2">
        <v>122</v>
      </c>
      <c r="Z137" s="2">
        <v>0.3135</v>
      </c>
      <c r="AA137" s="2">
        <v>0.33639999999999998</v>
      </c>
      <c r="AB137" s="2">
        <v>47.7532</v>
      </c>
    </row>
    <row r="138" spans="2:28" x14ac:dyDescent="0.4">
      <c r="B138" s="11">
        <v>121</v>
      </c>
      <c r="C138" s="16">
        <f t="shared" si="5"/>
        <v>41.166632834538746</v>
      </c>
      <c r="D138" s="17">
        <f t="shared" si="7"/>
        <v>45.740703149487494</v>
      </c>
      <c r="E138" s="17">
        <f t="shared" si="6"/>
        <v>50.314773464436243</v>
      </c>
      <c r="F138" s="2">
        <v>47.036700000000003</v>
      </c>
      <c r="G138" s="2" t="str">
        <f t="shared" si="4"/>
        <v>Pass</v>
      </c>
      <c r="Y138" s="2">
        <v>123</v>
      </c>
      <c r="Z138" s="2">
        <v>0.3135</v>
      </c>
      <c r="AA138" s="2">
        <v>0.33629999999999999</v>
      </c>
      <c r="AB138" s="2">
        <v>48.793999999999997</v>
      </c>
    </row>
    <row r="139" spans="2:28" x14ac:dyDescent="0.4">
      <c r="B139" s="11">
        <v>122</v>
      </c>
      <c r="C139" s="16">
        <f t="shared" si="5"/>
        <v>41.917184944206625</v>
      </c>
      <c r="D139" s="17">
        <f t="shared" si="7"/>
        <v>46.574649938007362</v>
      </c>
      <c r="E139" s="17">
        <f t="shared" si="6"/>
        <v>51.232114931808098</v>
      </c>
      <c r="F139" s="2">
        <v>47.7532</v>
      </c>
      <c r="G139" s="2" t="str">
        <f t="shared" si="4"/>
        <v>Pass</v>
      </c>
      <c r="Y139" s="2">
        <v>124</v>
      </c>
      <c r="Z139" s="2">
        <v>0.31319999999999998</v>
      </c>
      <c r="AA139" s="2">
        <v>0.33579999999999999</v>
      </c>
      <c r="AB139" s="2">
        <v>49.531300000000002</v>
      </c>
    </row>
    <row r="140" spans="2:28" x14ac:dyDescent="0.4">
      <c r="B140" s="11">
        <v>123</v>
      </c>
      <c r="C140" s="16">
        <f t="shared" si="5"/>
        <v>42.675139895325962</v>
      </c>
      <c r="D140" s="17">
        <f t="shared" si="7"/>
        <v>47.416822105917738</v>
      </c>
      <c r="E140" s="17">
        <f t="shared" si="6"/>
        <v>52.158504316509514</v>
      </c>
      <c r="F140" s="2">
        <v>48.793999999999997</v>
      </c>
      <c r="G140" s="2" t="str">
        <f t="shared" si="4"/>
        <v>Pass</v>
      </c>
      <c r="Y140" s="2">
        <v>125</v>
      </c>
      <c r="Z140" s="2">
        <v>0.31280000000000002</v>
      </c>
      <c r="AA140" s="2">
        <v>0.33500000000000002</v>
      </c>
      <c r="AB140" s="2">
        <v>50.541600000000003</v>
      </c>
    </row>
    <row r="141" spans="2:28" x14ac:dyDescent="0.4">
      <c r="B141" s="11">
        <v>124</v>
      </c>
      <c r="C141" s="16">
        <f t="shared" si="5"/>
        <v>43.440509758180369</v>
      </c>
      <c r="D141" s="17">
        <f t="shared" si="7"/>
        <v>48.267233064644856</v>
      </c>
      <c r="E141" s="17">
        <f t="shared" si="6"/>
        <v>53.093956371109343</v>
      </c>
      <c r="F141" s="2">
        <v>49.531300000000002</v>
      </c>
      <c r="G141" s="2" t="str">
        <f t="shared" si="4"/>
        <v>Pass</v>
      </c>
      <c r="Y141" s="2">
        <v>126</v>
      </c>
      <c r="Z141" s="2">
        <v>0.31280000000000002</v>
      </c>
      <c r="AA141" s="2">
        <v>0.33489999999999998</v>
      </c>
      <c r="AB141" s="2">
        <v>51.253399999999999</v>
      </c>
    </row>
    <row r="142" spans="2:28" x14ac:dyDescent="0.4">
      <c r="B142" s="11">
        <v>125</v>
      </c>
      <c r="C142" s="16">
        <f t="shared" si="5"/>
        <v>44.213306524966576</v>
      </c>
      <c r="D142" s="17">
        <f t="shared" si="7"/>
        <v>49.125896138851751</v>
      </c>
      <c r="E142" s="17">
        <f t="shared" si="6"/>
        <v>54.038485752736925</v>
      </c>
      <c r="F142" s="2">
        <v>50.541600000000003</v>
      </c>
      <c r="G142" s="2" t="str">
        <f t="shared" si="4"/>
        <v>Pass</v>
      </c>
      <c r="Y142" s="2">
        <v>127</v>
      </c>
      <c r="Z142" s="2">
        <v>0.31440000000000001</v>
      </c>
      <c r="AA142" s="2">
        <v>0.33539999999999998</v>
      </c>
      <c r="AB142" s="2">
        <v>52.164000000000001</v>
      </c>
    </row>
    <row r="143" spans="2:28" x14ac:dyDescent="0.4">
      <c r="B143" s="11">
        <v>126</v>
      </c>
      <c r="C143" s="16">
        <f t="shared" si="5"/>
        <v>44.993542110922</v>
      </c>
      <c r="D143" s="17">
        <f t="shared" si="7"/>
        <v>49.992824567691109</v>
      </c>
      <c r="E143" s="17">
        <f t="shared" si="6"/>
        <v>54.992107024460218</v>
      </c>
      <c r="F143" s="2">
        <v>51.253399999999999</v>
      </c>
      <c r="G143" s="2" t="str">
        <f t="shared" si="4"/>
        <v>Pass</v>
      </c>
      <c r="Y143" s="2">
        <v>128</v>
      </c>
      <c r="Z143" s="2">
        <v>0.31430000000000002</v>
      </c>
      <c r="AA143" s="2">
        <v>0.3352</v>
      </c>
      <c r="AB143" s="2">
        <v>53.213999999999999</v>
      </c>
    </row>
    <row r="144" spans="2:28" x14ac:dyDescent="0.4">
      <c r="B144" s="11">
        <v>127</v>
      </c>
      <c r="C144" s="16">
        <f t="shared" si="5"/>
        <v>45.781228355427231</v>
      </c>
      <c r="D144" s="17">
        <f t="shared" si="7"/>
        <v>50.868031506030256</v>
      </c>
      <c r="E144" s="17">
        <f t="shared" si="6"/>
        <v>55.954834656633281</v>
      </c>
      <c r="F144" s="2">
        <v>52.164000000000001</v>
      </c>
      <c r="G144" s="2" t="str">
        <f t="shared" si="4"/>
        <v>Pass</v>
      </c>
      <c r="Y144" s="2">
        <v>129</v>
      </c>
      <c r="Z144" s="2">
        <v>0.31430000000000002</v>
      </c>
      <c r="AA144" s="2">
        <v>0.3352</v>
      </c>
      <c r="AB144" s="2">
        <v>54.028100000000002</v>
      </c>
    </row>
    <row r="145" spans="2:28" x14ac:dyDescent="0.4">
      <c r="B145" s="11">
        <v>128</v>
      </c>
      <c r="C145" s="16">
        <f t="shared" si="5"/>
        <v>46.576377023083971</v>
      </c>
      <c r="D145" s="17">
        <f t="shared" si="7"/>
        <v>51.751530025648854</v>
      </c>
      <c r="E145" s="17">
        <f t="shared" si="6"/>
        <v>56.926683028213738</v>
      </c>
      <c r="F145" s="2">
        <v>53.213999999999999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0.31440000000000001</v>
      </c>
      <c r="AA145" s="2">
        <v>0.33500000000000002</v>
      </c>
      <c r="AB145" s="2">
        <v>55.023499999999999</v>
      </c>
    </row>
    <row r="146" spans="2:28" x14ac:dyDescent="0.4">
      <c r="B146" s="11">
        <v>129</v>
      </c>
      <c r="C146" s="16">
        <f t="shared" ref="C146:C209" si="9">D146-D146*(C$14/100)</f>
        <v>47.378999804769393</v>
      </c>
      <c r="D146" s="17">
        <f t="shared" si="7"/>
        <v>52.643333116410439</v>
      </c>
      <c r="E146" s="17">
        <f t="shared" ref="E146:E209" si="10">D146+D146*(C$14/100)</f>
        <v>57.907666428051485</v>
      </c>
      <c r="F146" s="2">
        <v>54.028100000000002</v>
      </c>
      <c r="G146" s="2" t="str">
        <f t="shared" si="8"/>
        <v>Pass</v>
      </c>
      <c r="Y146" s="2">
        <v>131</v>
      </c>
      <c r="Z146" s="2">
        <v>0.31430000000000002</v>
      </c>
      <c r="AA146" s="2">
        <v>0.33510000000000001</v>
      </c>
      <c r="AB146" s="2">
        <v>55.829000000000001</v>
      </c>
    </row>
    <row r="147" spans="2:28" x14ac:dyDescent="0.4">
      <c r="B147" s="11">
        <v>130</v>
      </c>
      <c r="C147" s="16">
        <f t="shared" si="9"/>
        <v>48.189108318667792</v>
      </c>
      <c r="D147" s="17">
        <f t="shared" ref="D147:D210" si="11">D$272*((B147+F$17)/B$272)^C$13</f>
        <v>53.543453687408658</v>
      </c>
      <c r="E147" s="17">
        <f t="shared" si="10"/>
        <v>58.897799056149523</v>
      </c>
      <c r="F147" s="2">
        <v>55.023499999999999</v>
      </c>
      <c r="G147" s="2" t="str">
        <f t="shared" si="8"/>
        <v>Pass</v>
      </c>
      <c r="Y147" s="2">
        <v>132</v>
      </c>
      <c r="Z147" s="2">
        <v>0.31430000000000002</v>
      </c>
      <c r="AA147" s="2">
        <v>0.33500000000000002</v>
      </c>
      <c r="AB147" s="2">
        <v>56.601799999999997</v>
      </c>
    </row>
    <row r="148" spans="2:28" x14ac:dyDescent="0.4">
      <c r="B148" s="11">
        <v>131</v>
      </c>
      <c r="C148" s="16">
        <f t="shared" si="9"/>
        <v>49.006714111279507</v>
      </c>
      <c r="D148" s="17">
        <f t="shared" si="11"/>
        <v>54.451904568088338</v>
      </c>
      <c r="E148" s="17">
        <f t="shared" si="10"/>
        <v>59.897095024897169</v>
      </c>
      <c r="F148" s="2">
        <v>55.829000000000001</v>
      </c>
      <c r="G148" s="2" t="str">
        <f t="shared" si="8"/>
        <v>Pass</v>
      </c>
      <c r="Y148" s="2">
        <v>133</v>
      </c>
      <c r="Z148" s="2">
        <v>0.31480000000000002</v>
      </c>
      <c r="AA148" s="2">
        <v>0.3357</v>
      </c>
      <c r="AB148" s="2">
        <v>57.685699999999997</v>
      </c>
    </row>
    <row r="149" spans="2:28" x14ac:dyDescent="0.4">
      <c r="B149" s="11">
        <v>132</v>
      </c>
      <c r="C149" s="16">
        <f t="shared" si="9"/>
        <v>49.831828658408639</v>
      </c>
      <c r="D149" s="17">
        <f t="shared" si="11"/>
        <v>55.368698509342934</v>
      </c>
      <c r="E149" s="17">
        <f t="shared" si="10"/>
        <v>60.905568360277229</v>
      </c>
      <c r="F149" s="2">
        <v>56.601799999999997</v>
      </c>
      <c r="G149" s="2" t="str">
        <f t="shared" si="8"/>
        <v>Pass</v>
      </c>
      <c r="Y149" s="2">
        <v>134</v>
      </c>
      <c r="Z149" s="2">
        <v>0.31469999999999998</v>
      </c>
      <c r="AA149" s="2">
        <v>0.3357</v>
      </c>
      <c r="AB149" s="2">
        <v>58.543300000000002</v>
      </c>
    </row>
    <row r="150" spans="2:28" x14ac:dyDescent="0.4">
      <c r="B150" s="11">
        <v>133</v>
      </c>
      <c r="C150" s="16">
        <f t="shared" si="9"/>
        <v>50.664463366129517</v>
      </c>
      <c r="D150" s="17">
        <f t="shared" si="11"/>
        <v>56.293848184588356</v>
      </c>
      <c r="E150" s="17">
        <f t="shared" si="10"/>
        <v>61.923233003047194</v>
      </c>
      <c r="F150" s="2">
        <v>57.685699999999997</v>
      </c>
      <c r="G150" s="2" t="str">
        <f t="shared" si="8"/>
        <v>Pass</v>
      </c>
      <c r="Y150" s="2">
        <v>135</v>
      </c>
      <c r="Z150" s="2">
        <v>0.31469999999999998</v>
      </c>
      <c r="AA150" s="2">
        <v>0.33550000000000002</v>
      </c>
      <c r="AB150" s="2">
        <v>59.622100000000003</v>
      </c>
    </row>
    <row r="151" spans="2:28" x14ac:dyDescent="0.4">
      <c r="B151" s="11">
        <v>134</v>
      </c>
      <c r="C151" s="16">
        <f t="shared" si="9"/>
        <v>51.50462957173287</v>
      </c>
      <c r="D151" s="17">
        <f t="shared" si="11"/>
        <v>57.227366190814301</v>
      </c>
      <c r="E151" s="17">
        <f t="shared" si="10"/>
        <v>62.950102809895732</v>
      </c>
      <c r="F151" s="2">
        <v>58.543300000000002</v>
      </c>
      <c r="G151" s="2" t="str">
        <f t="shared" si="8"/>
        <v>Pass</v>
      </c>
      <c r="Y151" s="2">
        <v>136</v>
      </c>
      <c r="Z151" s="2">
        <v>0.31469999999999998</v>
      </c>
      <c r="AA151" s="2">
        <v>0.33529999999999999</v>
      </c>
      <c r="AB151" s="2">
        <v>60.489800000000002</v>
      </c>
    </row>
    <row r="152" spans="2:28" x14ac:dyDescent="0.4">
      <c r="B152" s="11">
        <v>135</v>
      </c>
      <c r="C152" s="16">
        <f t="shared" si="9"/>
        <v>52.352338544652149</v>
      </c>
      <c r="D152" s="17">
        <f t="shared" si="11"/>
        <v>58.1692650496135</v>
      </c>
      <c r="E152" s="17">
        <f t="shared" si="10"/>
        <v>63.986191554574852</v>
      </c>
      <c r="F152" s="2">
        <v>59.622100000000003</v>
      </c>
      <c r="G152" s="2" t="str">
        <f t="shared" si="8"/>
        <v>Pass</v>
      </c>
      <c r="Y152" s="2">
        <v>137</v>
      </c>
      <c r="Z152" s="2">
        <v>0.31480000000000002</v>
      </c>
      <c r="AA152" s="2">
        <v>0.33529999999999999</v>
      </c>
      <c r="AB152" s="2">
        <v>61.695399999999999</v>
      </c>
    </row>
    <row r="153" spans="2:28" x14ac:dyDescent="0.4">
      <c r="B153" s="11">
        <v>136</v>
      </c>
      <c r="C153" s="16">
        <f t="shared" si="9"/>
        <v>53.207601487370489</v>
      </c>
      <c r="D153" s="17">
        <f t="shared" si="11"/>
        <v>59.119557208189434</v>
      </c>
      <c r="E153" s="17">
        <f t="shared" si="10"/>
        <v>65.031512929008372</v>
      </c>
      <c r="F153" s="2">
        <v>60.489800000000002</v>
      </c>
      <c r="G153" s="2" t="str">
        <f t="shared" si="8"/>
        <v>Pass</v>
      </c>
      <c r="Y153" s="2">
        <v>138</v>
      </c>
      <c r="Z153" s="2">
        <v>0.31480000000000002</v>
      </c>
      <c r="AA153" s="2">
        <v>0.33529999999999999</v>
      </c>
      <c r="AB153" s="2">
        <v>62.652900000000002</v>
      </c>
    </row>
    <row r="154" spans="2:28" x14ac:dyDescent="0.4">
      <c r="B154" s="11">
        <v>137</v>
      </c>
      <c r="C154" s="16">
        <f t="shared" si="9"/>
        <v>54.070429536309248</v>
      </c>
      <c r="D154" s="17">
        <f t="shared" si="11"/>
        <v>60.078255040343606</v>
      </c>
      <c r="E154" s="17">
        <f t="shared" si="10"/>
        <v>66.086080544377964</v>
      </c>
      <c r="F154" s="2">
        <v>61.695399999999999</v>
      </c>
      <c r="G154" s="2" t="str">
        <f t="shared" si="8"/>
        <v>Pass</v>
      </c>
      <c r="Y154" s="2">
        <v>139</v>
      </c>
      <c r="Z154" s="2">
        <v>0.31459999999999999</v>
      </c>
      <c r="AA154" s="2">
        <v>0.33510000000000001</v>
      </c>
      <c r="AB154" s="2">
        <v>63.585700000000003</v>
      </c>
    </row>
    <row r="155" spans="2:28" x14ac:dyDescent="0.4">
      <c r="B155" s="11">
        <v>138</v>
      </c>
      <c r="C155" s="16">
        <f t="shared" si="9"/>
        <v>54.94083376269792</v>
      </c>
      <c r="D155" s="17">
        <f t="shared" si="11"/>
        <v>61.045370847442136</v>
      </c>
      <c r="E155" s="17">
        <f t="shared" si="10"/>
        <v>67.149907932186352</v>
      </c>
      <c r="F155" s="2">
        <v>62.652900000000002</v>
      </c>
      <c r="G155" s="2" t="str">
        <f t="shared" si="8"/>
        <v>Pass</v>
      </c>
      <c r="Y155" s="2">
        <v>140</v>
      </c>
      <c r="Z155" s="2">
        <v>0.314</v>
      </c>
      <c r="AA155" s="2">
        <v>0.33400000000000002</v>
      </c>
      <c r="AB155" s="2">
        <v>64.822000000000003</v>
      </c>
    </row>
    <row r="156" spans="2:28" x14ac:dyDescent="0.4">
      <c r="B156" s="11">
        <v>139</v>
      </c>
      <c r="C156" s="16">
        <f t="shared" si="9"/>
        <v>55.81882517342676</v>
      </c>
      <c r="D156" s="17">
        <f t="shared" si="11"/>
        <v>62.020916859363062</v>
      </c>
      <c r="E156" s="17">
        <f t="shared" si="10"/>
        <v>68.223008545299365</v>
      </c>
      <c r="F156" s="2">
        <v>63.585700000000003</v>
      </c>
      <c r="G156" s="2" t="str">
        <f t="shared" si="8"/>
        <v>Pass</v>
      </c>
      <c r="Y156" s="2">
        <v>141</v>
      </c>
      <c r="Z156" s="2">
        <v>0.314</v>
      </c>
      <c r="AA156" s="2">
        <v>0.33389999999999997</v>
      </c>
      <c r="AB156" s="2">
        <v>65.686099999999996</v>
      </c>
    </row>
    <row r="157" spans="2:28" x14ac:dyDescent="0.4">
      <c r="B157" s="11">
        <v>140</v>
      </c>
      <c r="C157" s="16">
        <f t="shared" si="9"/>
        <v>56.704414711881867</v>
      </c>
      <c r="D157" s="17">
        <f t="shared" si="11"/>
        <v>63.004905235424296</v>
      </c>
      <c r="E157" s="17">
        <f t="shared" si="10"/>
        <v>69.305395758966725</v>
      </c>
      <c r="F157" s="2">
        <v>64.822000000000003</v>
      </c>
      <c r="G157" s="2" t="str">
        <f t="shared" si="8"/>
        <v>Pass</v>
      </c>
      <c r="Y157" s="2">
        <v>142</v>
      </c>
      <c r="Z157" s="2">
        <v>0.31390000000000001</v>
      </c>
      <c r="AA157" s="2">
        <v>0.33379999999999999</v>
      </c>
      <c r="AB157" s="2">
        <v>66.899600000000007</v>
      </c>
    </row>
    <row r="158" spans="2:28" x14ac:dyDescent="0.4">
      <c r="B158" s="11">
        <v>141</v>
      </c>
      <c r="C158" s="16">
        <f t="shared" si="9"/>
        <v>57.597613258763758</v>
      </c>
      <c r="D158" s="17">
        <f t="shared" si="11"/>
        <v>63.99734806529306</v>
      </c>
      <c r="E158" s="17">
        <f t="shared" si="10"/>
        <v>70.397082871822363</v>
      </c>
      <c r="F158" s="2">
        <v>65.686099999999996</v>
      </c>
      <c r="G158" s="2" t="str">
        <f t="shared" si="8"/>
        <v>Pass</v>
      </c>
      <c r="Y158" s="2">
        <v>143</v>
      </c>
      <c r="Z158" s="2">
        <v>0.31380000000000002</v>
      </c>
      <c r="AA158" s="2">
        <v>0.33379999999999999</v>
      </c>
      <c r="AB158" s="2">
        <v>67.758200000000002</v>
      </c>
    </row>
    <row r="159" spans="2:28" x14ac:dyDescent="0.4">
      <c r="B159" s="11">
        <v>142</v>
      </c>
      <c r="C159" s="16">
        <f t="shared" si="9"/>
        <v>58.498431632889449</v>
      </c>
      <c r="D159" s="17">
        <f t="shared" si="11"/>
        <v>64.998257369877166</v>
      </c>
      <c r="E159" s="17">
        <f t="shared" si="10"/>
        <v>71.498083106864883</v>
      </c>
      <c r="F159" s="2">
        <v>66.899600000000007</v>
      </c>
      <c r="G159" s="2" t="str">
        <f t="shared" si="8"/>
        <v>Pass</v>
      </c>
      <c r="Y159" s="2">
        <v>144</v>
      </c>
      <c r="Z159" s="2">
        <v>0.31490000000000001</v>
      </c>
      <c r="AA159" s="2">
        <v>0.33579999999999999</v>
      </c>
      <c r="AB159" s="2">
        <v>68.653599999999997</v>
      </c>
    </row>
    <row r="160" spans="2:28" x14ac:dyDescent="0.4">
      <c r="B160" s="11">
        <v>143</v>
      </c>
      <c r="C160" s="16">
        <f t="shared" si="9"/>
        <v>59.406880591978954</v>
      </c>
      <c r="D160" s="17">
        <f t="shared" si="11"/>
        <v>66.007645102198836</v>
      </c>
      <c r="E160" s="17">
        <f t="shared" si="10"/>
        <v>72.608409612418725</v>
      </c>
      <c r="F160" s="2">
        <v>67.758200000000002</v>
      </c>
      <c r="G160" s="2" t="str">
        <f t="shared" si="8"/>
        <v>Pass</v>
      </c>
      <c r="Y160" s="2">
        <v>145</v>
      </c>
      <c r="Z160" s="2">
        <v>0.31380000000000002</v>
      </c>
      <c r="AA160" s="2">
        <v>0.3337</v>
      </c>
      <c r="AB160" s="2">
        <v>68.8904</v>
      </c>
    </row>
    <row r="161" spans="2:28" x14ac:dyDescent="0.4">
      <c r="B161" s="11">
        <v>144</v>
      </c>
      <c r="C161" s="16">
        <f t="shared" si="9"/>
        <v>60.322970833425885</v>
      </c>
      <c r="D161" s="17">
        <f t="shared" si="11"/>
        <v>67.025523148250983</v>
      </c>
      <c r="E161" s="17">
        <f t="shared" si="10"/>
        <v>73.728075463076081</v>
      </c>
      <c r="F161" s="2">
        <v>68.653599999999997</v>
      </c>
      <c r="G161" s="2" t="str">
        <f t="shared" si="8"/>
        <v>Pass</v>
      </c>
      <c r="Y161" s="2">
        <v>146</v>
      </c>
      <c r="Z161" s="2">
        <v>0.31380000000000002</v>
      </c>
      <c r="AA161" s="2">
        <v>0.33350000000000002</v>
      </c>
      <c r="AB161" s="2">
        <v>69.819299999999998</v>
      </c>
    </row>
    <row r="162" spans="2:28" x14ac:dyDescent="0.4">
      <c r="B162" s="11">
        <v>145</v>
      </c>
      <c r="C162" s="16">
        <f t="shared" si="9"/>
        <v>61.246712995053691</v>
      </c>
      <c r="D162" s="17">
        <f t="shared" si="11"/>
        <v>68.051903327837437</v>
      </c>
      <c r="E162" s="17">
        <f t="shared" si="10"/>
        <v>74.857093660621175</v>
      </c>
      <c r="F162" s="2">
        <v>68.8904</v>
      </c>
      <c r="G162" s="2" t="str">
        <f t="shared" si="8"/>
        <v>Pass</v>
      </c>
      <c r="Y162" s="2">
        <v>147</v>
      </c>
      <c r="Z162" s="2">
        <v>0.31380000000000002</v>
      </c>
      <c r="AA162" s="2">
        <v>0.33339999999999997</v>
      </c>
      <c r="AB162" s="2">
        <v>70.701499999999996</v>
      </c>
    </row>
    <row r="163" spans="2:28" x14ac:dyDescent="0.4">
      <c r="B163" s="11">
        <v>146</v>
      </c>
      <c r="C163" s="16">
        <f t="shared" si="9"/>
        <v>62.178117655856632</v>
      </c>
      <c r="D163" s="17">
        <f t="shared" si="11"/>
        <v>69.08679739539626</v>
      </c>
      <c r="E163" s="17">
        <f t="shared" si="10"/>
        <v>75.995477134935882</v>
      </c>
      <c r="F163" s="2">
        <v>69.819299999999998</v>
      </c>
      <c r="G163" s="2" t="str">
        <f t="shared" si="8"/>
        <v>Pass</v>
      </c>
      <c r="Y163" s="2">
        <v>148</v>
      </c>
      <c r="Z163" s="2">
        <v>0.31390000000000001</v>
      </c>
      <c r="AA163" s="2">
        <v>0.3332</v>
      </c>
      <c r="AB163" s="2">
        <v>72.038899999999998</v>
      </c>
    </row>
    <row r="164" spans="2:28" x14ac:dyDescent="0.4">
      <c r="B164" s="11">
        <v>147</v>
      </c>
      <c r="C164" s="16">
        <f t="shared" si="9"/>
        <v>63.117195336726837</v>
      </c>
      <c r="D164" s="17">
        <f t="shared" si="11"/>
        <v>70.130217040807594</v>
      </c>
      <c r="E164" s="17">
        <f t="shared" si="10"/>
        <v>77.14323874488835</v>
      </c>
      <c r="F164" s="2">
        <v>70.701499999999996</v>
      </c>
      <c r="G164" s="2" t="str">
        <f t="shared" si="8"/>
        <v>Pass</v>
      </c>
      <c r="Y164" s="2">
        <v>149</v>
      </c>
      <c r="Z164" s="2">
        <v>0.31380000000000002</v>
      </c>
      <c r="AA164" s="2">
        <v>0.33310000000000001</v>
      </c>
      <c r="AB164" s="2">
        <v>73.019099999999995</v>
      </c>
    </row>
    <row r="165" spans="2:28" x14ac:dyDescent="0.4">
      <c r="B165" s="11">
        <v>148</v>
      </c>
      <c r="C165" s="16">
        <f t="shared" si="9"/>
        <v>64.063956501167439</v>
      </c>
      <c r="D165" s="17">
        <f t="shared" si="11"/>
        <v>71.18217389018605</v>
      </c>
      <c r="E165" s="17">
        <f t="shared" si="10"/>
        <v>78.300391279204661</v>
      </c>
      <c r="F165" s="2">
        <v>72.038899999999998</v>
      </c>
      <c r="G165" s="2" t="str">
        <f t="shared" si="8"/>
        <v>Pass</v>
      </c>
      <c r="Y165" s="2">
        <v>150</v>
      </c>
      <c r="Z165" s="2">
        <v>0.31369999999999998</v>
      </c>
      <c r="AA165" s="2">
        <v>0.33300000000000002</v>
      </c>
      <c r="AB165" s="2">
        <v>74.364500000000007</v>
      </c>
    </row>
    <row r="166" spans="2:28" x14ac:dyDescent="0.4">
      <c r="B166" s="11">
        <v>149</v>
      </c>
      <c r="C166" s="16">
        <f t="shared" si="9"/>
        <v>65.018411555992145</v>
      </c>
      <c r="D166" s="17">
        <f t="shared" si="11"/>
        <v>72.242679506657936</v>
      </c>
      <c r="E166" s="17">
        <f t="shared" si="10"/>
        <v>79.466947457323727</v>
      </c>
      <c r="F166" s="2">
        <v>73.019099999999995</v>
      </c>
      <c r="G166" s="2" t="str">
        <f t="shared" si="8"/>
        <v>Pass</v>
      </c>
      <c r="Y166" s="2">
        <v>151</v>
      </c>
      <c r="Z166" s="2">
        <v>0.31369999999999998</v>
      </c>
      <c r="AA166" s="2">
        <v>0.33300000000000002</v>
      </c>
      <c r="AB166" s="2">
        <v>75.340699999999998</v>
      </c>
    </row>
    <row r="167" spans="2:28" x14ac:dyDescent="0.4">
      <c r="B167" s="11">
        <v>150</v>
      </c>
      <c r="C167" s="16">
        <f t="shared" si="9"/>
        <v>65.980570852011653</v>
      </c>
      <c r="D167" s="17">
        <f t="shared" si="11"/>
        <v>73.311745391124063</v>
      </c>
      <c r="E167" s="17">
        <f t="shared" si="10"/>
        <v>80.642919930236474</v>
      </c>
      <c r="F167" s="2">
        <v>74.364500000000007</v>
      </c>
      <c r="G167" s="2" t="str">
        <f t="shared" si="8"/>
        <v>Pass</v>
      </c>
      <c r="Y167" s="2">
        <v>152</v>
      </c>
      <c r="Z167" s="2">
        <v>0.31469999999999998</v>
      </c>
      <c r="AA167" s="2">
        <v>0.33489999999999998</v>
      </c>
      <c r="AB167" s="2">
        <v>76.351600000000005</v>
      </c>
    </row>
    <row r="168" spans="2:28" x14ac:dyDescent="0.4">
      <c r="B168" s="11">
        <v>151</v>
      </c>
      <c r="C168" s="16">
        <f t="shared" si="9"/>
        <v>66.950444684707236</v>
      </c>
      <c r="D168" s="17">
        <f t="shared" si="11"/>
        <v>74.389382983008048</v>
      </c>
      <c r="E168" s="17">
        <f t="shared" si="10"/>
        <v>81.82832128130886</v>
      </c>
      <c r="F168" s="2">
        <v>75.340699999999998</v>
      </c>
      <c r="G168" s="2" t="str">
        <f t="shared" si="8"/>
        <v>Pass</v>
      </c>
      <c r="Y168" s="2">
        <v>153</v>
      </c>
      <c r="Z168" s="2">
        <v>0.31459999999999999</v>
      </c>
      <c r="AA168" s="2">
        <v>0.33489999999999998</v>
      </c>
      <c r="AB168" s="2">
        <v>77.716099999999997</v>
      </c>
    </row>
    <row r="169" spans="2:28" x14ac:dyDescent="0.4">
      <c r="B169" s="11">
        <v>152</v>
      </c>
      <c r="C169" s="16">
        <f t="shared" si="9"/>
        <v>67.92804329489168</v>
      </c>
      <c r="D169" s="17">
        <f t="shared" si="11"/>
        <v>75.475603660990757</v>
      </c>
      <c r="E169" s="17">
        <f t="shared" si="10"/>
        <v>83.023164027089834</v>
      </c>
      <c r="F169" s="2">
        <v>76.351600000000005</v>
      </c>
      <c r="G169" s="2" t="str">
        <f t="shared" si="8"/>
        <v>Pass</v>
      </c>
      <c r="Y169" s="2">
        <v>154</v>
      </c>
      <c r="Z169" s="2">
        <v>0.31469999999999998</v>
      </c>
      <c r="AA169" s="2">
        <v>0.33489999999999998</v>
      </c>
      <c r="AB169" s="2">
        <v>78.730800000000002</v>
      </c>
    </row>
    <row r="170" spans="2:28" x14ac:dyDescent="0.4">
      <c r="B170" s="11">
        <v>153</v>
      </c>
      <c r="C170" s="16">
        <f t="shared" si="9"/>
        <v>68.91337686935826</v>
      </c>
      <c r="D170" s="17">
        <f t="shared" si="11"/>
        <v>76.570418743731395</v>
      </c>
      <c r="E170" s="17">
        <f t="shared" si="10"/>
        <v>84.22746061810453</v>
      </c>
      <c r="F170" s="2">
        <v>77.716099999999997</v>
      </c>
      <c r="G170" s="2" t="str">
        <f t="shared" si="8"/>
        <v>Pass</v>
      </c>
      <c r="Y170" s="2">
        <v>155</v>
      </c>
      <c r="Z170" s="2">
        <v>0.31480000000000002</v>
      </c>
      <c r="AA170" s="2">
        <v>0.3347</v>
      </c>
      <c r="AB170" s="2">
        <v>80.114000000000004</v>
      </c>
    </row>
    <row r="171" spans="2:28" x14ac:dyDescent="0.4">
      <c r="B171" s="11">
        <v>154</v>
      </c>
      <c r="C171" s="16">
        <f t="shared" si="9"/>
        <v>69.906455541517715</v>
      </c>
      <c r="D171" s="17">
        <f t="shared" si="11"/>
        <v>77.673839490575247</v>
      </c>
      <c r="E171" s="17">
        <f t="shared" si="10"/>
        <v>85.441223439632779</v>
      </c>
      <c r="F171" s="2">
        <v>78.730800000000002</v>
      </c>
      <c r="G171" s="2" t="str">
        <f t="shared" si="8"/>
        <v>Pass</v>
      </c>
      <c r="Y171" s="2">
        <v>156</v>
      </c>
      <c r="Z171" s="2">
        <v>0.315</v>
      </c>
      <c r="AA171" s="2">
        <v>0.3347</v>
      </c>
      <c r="AB171" s="2">
        <v>81.227000000000004</v>
      </c>
    </row>
    <row r="172" spans="2:28" x14ac:dyDescent="0.4">
      <c r="B172" s="11">
        <v>155</v>
      </c>
      <c r="C172" s="16">
        <f t="shared" si="9"/>
        <v>70.907289392023443</v>
      </c>
      <c r="D172" s="17">
        <f t="shared" si="11"/>
        <v>78.785877102248264</v>
      </c>
      <c r="E172" s="17">
        <f t="shared" si="10"/>
        <v>86.664464812473085</v>
      </c>
      <c r="F172" s="2">
        <v>80.114000000000004</v>
      </c>
      <c r="G172" s="2" t="str">
        <f t="shared" si="8"/>
        <v>Pass</v>
      </c>
      <c r="Y172" s="2">
        <v>157</v>
      </c>
      <c r="Z172" s="2">
        <v>0.315</v>
      </c>
      <c r="AA172" s="2">
        <v>0.33450000000000002</v>
      </c>
      <c r="AB172" s="2">
        <v>82.557299999999998</v>
      </c>
    </row>
    <row r="173" spans="2:28" x14ac:dyDescent="0.4">
      <c r="B173" s="11">
        <v>156</v>
      </c>
      <c r="C173" s="16">
        <f t="shared" si="9"/>
        <v>71.915888449385577</v>
      </c>
      <c r="D173" s="17">
        <f t="shared" si="11"/>
        <v>79.906542721539523</v>
      </c>
      <c r="E173" s="17">
        <f t="shared" si="10"/>
        <v>87.89719699369347</v>
      </c>
      <c r="F173" s="2">
        <v>81.227000000000004</v>
      </c>
      <c r="G173" s="2" t="str">
        <f t="shared" si="8"/>
        <v>Pass</v>
      </c>
      <c r="Y173" s="2">
        <v>158</v>
      </c>
      <c r="Z173" s="2">
        <v>0.31490000000000001</v>
      </c>
      <c r="AA173" s="2">
        <v>0.33429999999999999</v>
      </c>
      <c r="AB173" s="2">
        <v>83.590299999999999</v>
      </c>
    </row>
    <row r="174" spans="2:28" x14ac:dyDescent="0.4">
      <c r="B174" s="11">
        <v>157</v>
      </c>
      <c r="C174" s="16">
        <f t="shared" si="9"/>
        <v>72.932262690573921</v>
      </c>
      <c r="D174" s="17">
        <f t="shared" si="11"/>
        <v>81.035847433971028</v>
      </c>
      <c r="E174" s="17">
        <f t="shared" si="10"/>
        <v>89.139432177368136</v>
      </c>
      <c r="F174" s="2">
        <v>82.557299999999998</v>
      </c>
      <c r="G174" s="2" t="str">
        <f t="shared" si="8"/>
        <v>Pass</v>
      </c>
      <c r="Y174" s="2">
        <v>159</v>
      </c>
      <c r="Z174" s="2">
        <v>0.31459999999999999</v>
      </c>
      <c r="AA174" s="2">
        <v>0.33200000000000002</v>
      </c>
      <c r="AB174" s="2">
        <v>83.911199999999994</v>
      </c>
    </row>
    <row r="175" spans="2:28" x14ac:dyDescent="0.4">
      <c r="B175" s="11">
        <v>158</v>
      </c>
      <c r="C175" s="16">
        <f t="shared" si="9"/>
        <v>73.956422041610367</v>
      </c>
      <c r="D175" s="17">
        <f t="shared" si="11"/>
        <v>82.173802268455958</v>
      </c>
      <c r="E175" s="17">
        <f t="shared" si="10"/>
        <v>90.39118249530155</v>
      </c>
      <c r="F175" s="2">
        <v>83.590299999999999</v>
      </c>
      <c r="G175" s="2" t="str">
        <f t="shared" si="8"/>
        <v>Pass</v>
      </c>
      <c r="Y175" s="2">
        <v>160</v>
      </c>
      <c r="Z175" s="2">
        <v>0.3145</v>
      </c>
      <c r="AA175" s="2">
        <v>0.33189999999999997</v>
      </c>
      <c r="AB175" s="2">
        <v>84.877200000000002</v>
      </c>
    </row>
    <row r="176" spans="2:28" x14ac:dyDescent="0.4">
      <c r="B176" s="11">
        <v>159</v>
      </c>
      <c r="C176" s="16">
        <f t="shared" si="9"/>
        <v>74.98837637815015</v>
      </c>
      <c r="D176" s="17">
        <f t="shared" si="11"/>
        <v>83.320418197944605</v>
      </c>
      <c r="E176" s="17">
        <f t="shared" si="10"/>
        <v>91.65246001773906</v>
      </c>
      <c r="F176" s="2">
        <v>83.911199999999994</v>
      </c>
      <c r="G176" s="2" t="str">
        <f t="shared" si="8"/>
        <v>Pass</v>
      </c>
      <c r="Y176" s="2">
        <v>161</v>
      </c>
      <c r="Z176" s="2">
        <v>0.31409999999999999</v>
      </c>
      <c r="AA176" s="2">
        <v>0.33179999999999998</v>
      </c>
      <c r="AB176" s="2">
        <v>86.0792</v>
      </c>
    </row>
    <row r="177" spans="2:28" x14ac:dyDescent="0.4">
      <c r="B177" s="11">
        <v>160</v>
      </c>
      <c r="C177" s="16">
        <f t="shared" si="9"/>
        <v>76.028135526053632</v>
      </c>
      <c r="D177" s="17">
        <f t="shared" si="11"/>
        <v>84.475706140059586</v>
      </c>
      <c r="E177" s="17">
        <f t="shared" si="10"/>
        <v>92.92327675406554</v>
      </c>
      <c r="F177" s="2">
        <v>84.877200000000002</v>
      </c>
      <c r="G177" s="2" t="str">
        <f t="shared" si="8"/>
        <v>Pass</v>
      </c>
      <c r="Y177" s="2">
        <v>162</v>
      </c>
      <c r="Z177" s="2">
        <v>0.31430000000000002</v>
      </c>
      <c r="AA177" s="2">
        <v>0.33410000000000001</v>
      </c>
      <c r="AB177" s="2">
        <v>86.746899999999997</v>
      </c>
    </row>
    <row r="178" spans="2:28" x14ac:dyDescent="0.4">
      <c r="B178" s="11">
        <v>161</v>
      </c>
      <c r="C178" s="16">
        <f t="shared" si="9"/>
        <v>77.07570926194748</v>
      </c>
      <c r="D178" s="17">
        <f t="shared" si="11"/>
        <v>85.639676957719431</v>
      </c>
      <c r="E178" s="17">
        <f t="shared" si="10"/>
        <v>94.203644653491381</v>
      </c>
      <c r="F178" s="2">
        <v>86.0792</v>
      </c>
      <c r="G178" s="2" t="str">
        <f t="shared" si="8"/>
        <v>Pass</v>
      </c>
      <c r="Y178" s="2">
        <v>163</v>
      </c>
      <c r="Z178" s="2">
        <v>0.31430000000000002</v>
      </c>
      <c r="AA178" s="2">
        <v>0.33389999999999997</v>
      </c>
      <c r="AB178" s="2">
        <v>88.166600000000003</v>
      </c>
    </row>
    <row r="179" spans="2:28" x14ac:dyDescent="0.4">
      <c r="B179" s="11">
        <v>162</v>
      </c>
      <c r="C179" s="16">
        <f t="shared" si="9"/>
        <v>78.131107313776482</v>
      </c>
      <c r="D179" s="17">
        <f t="shared" si="11"/>
        <v>86.81234145975165</v>
      </c>
      <c r="E179" s="17">
        <f t="shared" si="10"/>
        <v>95.493575605726818</v>
      </c>
      <c r="F179" s="2">
        <v>86.746899999999997</v>
      </c>
      <c r="G179" s="2" t="str">
        <f t="shared" si="8"/>
        <v>Pass</v>
      </c>
      <c r="Y179" s="2">
        <v>164</v>
      </c>
      <c r="Z179" s="2">
        <v>0.31419999999999998</v>
      </c>
      <c r="AA179" s="2">
        <v>0.3337</v>
      </c>
      <c r="AB179" s="2">
        <v>89.2898</v>
      </c>
    </row>
    <row r="180" spans="2:28" x14ac:dyDescent="0.4">
      <c r="B180" s="11">
        <v>163</v>
      </c>
      <c r="C180" s="16">
        <f t="shared" si="9"/>
        <v>79.194339361345342</v>
      </c>
      <c r="D180" s="17">
        <f t="shared" si="11"/>
        <v>87.993710401494823</v>
      </c>
      <c r="E180" s="17">
        <f t="shared" si="10"/>
        <v>96.793081441644304</v>
      </c>
      <c r="F180" s="2">
        <v>88.166600000000003</v>
      </c>
      <c r="G180" s="2" t="str">
        <f t="shared" si="8"/>
        <v>Pass</v>
      </c>
      <c r="Y180" s="2">
        <v>165</v>
      </c>
      <c r="Z180" s="2">
        <v>0.31419999999999998</v>
      </c>
      <c r="AA180" s="2">
        <v>0.3337</v>
      </c>
      <c r="AB180" s="2">
        <v>90.794600000000003</v>
      </c>
    </row>
    <row r="181" spans="2:28" x14ac:dyDescent="0.4">
      <c r="B181" s="11">
        <v>164</v>
      </c>
      <c r="C181" s="16">
        <f t="shared" si="9"/>
        <v>80.265415036851522</v>
      </c>
      <c r="D181" s="17">
        <f t="shared" si="11"/>
        <v>89.183794485390578</v>
      </c>
      <c r="E181" s="17">
        <f t="shared" si="10"/>
        <v>98.102173933929635</v>
      </c>
      <c r="F181" s="2">
        <v>89.2898</v>
      </c>
      <c r="G181" s="2" t="str">
        <f t="shared" si="8"/>
        <v>Pass</v>
      </c>
      <c r="Y181" s="2">
        <v>166</v>
      </c>
      <c r="Z181" s="2">
        <v>0.31430000000000002</v>
      </c>
      <c r="AA181" s="2">
        <v>0.3337</v>
      </c>
      <c r="AB181" s="2">
        <v>91.921000000000006</v>
      </c>
    </row>
    <row r="182" spans="2:28" x14ac:dyDescent="0.4">
      <c r="B182" s="11">
        <v>165</v>
      </c>
      <c r="C182" s="16">
        <f t="shared" si="9"/>
        <v>81.344343925408907</v>
      </c>
      <c r="D182" s="17">
        <f t="shared" si="11"/>
        <v>90.382604361565456</v>
      </c>
      <c r="E182" s="17">
        <f t="shared" si="10"/>
        <v>99.420864797722004</v>
      </c>
      <c r="F182" s="2">
        <v>90.794600000000003</v>
      </c>
      <c r="G182" s="2" t="str">
        <f t="shared" si="8"/>
        <v>Pass</v>
      </c>
      <c r="Y182" s="2">
        <v>167</v>
      </c>
      <c r="Z182" s="2">
        <v>0.31459999999999999</v>
      </c>
      <c r="AA182" s="2">
        <v>0.33350000000000002</v>
      </c>
      <c r="AB182" s="2">
        <v>93.066699999999997</v>
      </c>
    </row>
    <row r="183" spans="2:28" x14ac:dyDescent="0.4">
      <c r="B183" s="11">
        <v>166</v>
      </c>
      <c r="C183" s="16">
        <f t="shared" si="9"/>
        <v>82.431135565562428</v>
      </c>
      <c r="D183" s="17">
        <f t="shared" si="11"/>
        <v>91.590150628402696</v>
      </c>
      <c r="E183" s="17">
        <f t="shared" si="10"/>
        <v>100.74916569124296</v>
      </c>
      <c r="F183" s="2">
        <v>91.921000000000006</v>
      </c>
      <c r="G183" s="2" t="str">
        <f t="shared" si="8"/>
        <v>Pass</v>
      </c>
      <c r="Y183" s="2">
        <v>168</v>
      </c>
      <c r="Z183" s="2">
        <v>0.31409999999999999</v>
      </c>
      <c r="AA183" s="2">
        <v>0.33260000000000001</v>
      </c>
      <c r="AB183" s="2">
        <v>94.581100000000006</v>
      </c>
    </row>
    <row r="184" spans="2:28" x14ac:dyDescent="0.4">
      <c r="B184" s="11">
        <v>167</v>
      </c>
      <c r="C184" s="16">
        <f t="shared" si="9"/>
        <v>83.525799449794036</v>
      </c>
      <c r="D184" s="17">
        <f t="shared" si="11"/>
        <v>92.806443833104481</v>
      </c>
      <c r="E184" s="17">
        <f t="shared" si="10"/>
        <v>102.08708821641493</v>
      </c>
      <c r="F184" s="2">
        <v>93.066699999999997</v>
      </c>
      <c r="G184" s="2" t="str">
        <f t="shared" si="8"/>
        <v>Pass</v>
      </c>
      <c r="Y184" s="2">
        <v>169</v>
      </c>
      <c r="Z184" s="2">
        <v>0.314</v>
      </c>
      <c r="AA184" s="2">
        <v>0.33260000000000001</v>
      </c>
      <c r="AB184" s="2">
        <v>95.644599999999997</v>
      </c>
    </row>
    <row r="185" spans="2:28" x14ac:dyDescent="0.4">
      <c r="B185" s="11">
        <v>168</v>
      </c>
      <c r="C185" s="16">
        <f t="shared" si="9"/>
        <v>84.628345025020295</v>
      </c>
      <c r="D185" s="17">
        <f t="shared" si="11"/>
        <v>94.031494472244773</v>
      </c>
      <c r="E185" s="17">
        <f t="shared" si="10"/>
        <v>103.43464391946925</v>
      </c>
      <c r="F185" s="2">
        <v>94.581100000000006</v>
      </c>
      <c r="G185" s="2" t="str">
        <f t="shared" si="8"/>
        <v>Pass</v>
      </c>
      <c r="Y185" s="2">
        <v>170</v>
      </c>
      <c r="Z185" s="2">
        <v>0.314</v>
      </c>
      <c r="AA185" s="2">
        <v>0.33250000000000002</v>
      </c>
      <c r="AB185" s="2">
        <v>97.074100000000001</v>
      </c>
    </row>
    <row r="186" spans="2:28" x14ac:dyDescent="0.4">
      <c r="B186" s="11">
        <v>169</v>
      </c>
      <c r="C186" s="16">
        <f t="shared" si="9"/>
        <v>85.738781693081549</v>
      </c>
      <c r="D186" s="17">
        <f t="shared" si="11"/>
        <v>95.265312992312829</v>
      </c>
      <c r="E186" s="17">
        <f t="shared" si="10"/>
        <v>104.79184429154411</v>
      </c>
      <c r="F186" s="2">
        <v>95.644599999999997</v>
      </c>
      <c r="G186" s="2" t="str">
        <f t="shared" si="8"/>
        <v>Pass</v>
      </c>
      <c r="Y186" s="2">
        <v>171</v>
      </c>
      <c r="Z186" s="2">
        <v>0.31440000000000001</v>
      </c>
      <c r="AA186" s="2">
        <v>0.33339999999999997</v>
      </c>
      <c r="AB186" s="2">
        <v>98.220500000000001</v>
      </c>
    </row>
    <row r="187" spans="2:28" x14ac:dyDescent="0.4">
      <c r="B187" s="11">
        <v>170</v>
      </c>
      <c r="C187" s="16">
        <f t="shared" si="9"/>
        <v>86.857118811222904</v>
      </c>
      <c r="D187" s="17">
        <f t="shared" si="11"/>
        <v>96.50790979024768</v>
      </c>
      <c r="E187" s="17">
        <f t="shared" si="10"/>
        <v>106.15870076927246</v>
      </c>
      <c r="F187" s="2">
        <v>97.074100000000001</v>
      </c>
      <c r="G187" s="2" t="str">
        <f t="shared" si="8"/>
        <v>Pass</v>
      </c>
      <c r="Y187" s="2">
        <v>172</v>
      </c>
      <c r="Z187" s="2">
        <v>0.31440000000000001</v>
      </c>
      <c r="AA187" s="2">
        <v>0.33329999999999999</v>
      </c>
      <c r="AB187" s="2">
        <v>99.315399999999997</v>
      </c>
    </row>
    <row r="188" spans="2:28" x14ac:dyDescent="0.4">
      <c r="B188" s="11">
        <v>171</v>
      </c>
      <c r="C188" s="16">
        <f t="shared" si="9"/>
        <v>87.983365692567517</v>
      </c>
      <c r="D188" s="17">
        <f t="shared" si="11"/>
        <v>97.75929521396391</v>
      </c>
      <c r="E188" s="17">
        <f t="shared" si="10"/>
        <v>107.5352247353603</v>
      </c>
      <c r="F188" s="2">
        <v>98.220500000000001</v>
      </c>
      <c r="G188" s="2" t="str">
        <f t="shared" si="8"/>
        <v>Pass</v>
      </c>
      <c r="Y188" s="2">
        <v>173</v>
      </c>
      <c r="Z188" s="2">
        <v>0.31459999999999999</v>
      </c>
      <c r="AA188" s="2">
        <v>0.33210000000000001</v>
      </c>
      <c r="AB188" s="2">
        <v>99.596599999999995</v>
      </c>
    </row>
    <row r="189" spans="2:28" x14ac:dyDescent="0.4">
      <c r="B189" s="11">
        <v>172</v>
      </c>
      <c r="C189" s="16">
        <f t="shared" si="9"/>
        <v>89.117531606581792</v>
      </c>
      <c r="D189" s="17">
        <f t="shared" si="11"/>
        <v>99.019479562868653</v>
      </c>
      <c r="E189" s="17">
        <f t="shared" si="10"/>
        <v>108.92142751915551</v>
      </c>
      <c r="F189" s="2">
        <v>99.315399999999997</v>
      </c>
      <c r="G189" s="2" t="str">
        <f t="shared" si="8"/>
        <v>Pass</v>
      </c>
      <c r="Y189" s="2">
        <v>174</v>
      </c>
      <c r="Z189" s="2">
        <v>0.31459999999999999</v>
      </c>
      <c r="AA189" s="2">
        <v>0.33189999999999997</v>
      </c>
      <c r="AB189" s="2">
        <v>101.1245</v>
      </c>
    </row>
    <row r="190" spans="2:28" x14ac:dyDescent="0.4">
      <c r="B190" s="11">
        <v>173</v>
      </c>
      <c r="C190" s="16">
        <f t="shared" si="9"/>
        <v>90.259625779533295</v>
      </c>
      <c r="D190" s="17">
        <f t="shared" si="11"/>
        <v>100.28847308837032</v>
      </c>
      <c r="E190" s="17">
        <f t="shared" si="10"/>
        <v>110.31732039720735</v>
      </c>
      <c r="F190" s="2">
        <v>99.596599999999995</v>
      </c>
      <c r="G190" s="2" t="str">
        <f t="shared" si="8"/>
        <v>Pass</v>
      </c>
      <c r="Y190" s="2">
        <v>175</v>
      </c>
      <c r="Z190" s="2">
        <v>0.31390000000000001</v>
      </c>
      <c r="AA190" s="2">
        <v>0.3322</v>
      </c>
      <c r="AB190" s="2">
        <v>102.42</v>
      </c>
    </row>
    <row r="191" spans="2:28" x14ac:dyDescent="0.4">
      <c r="B191" s="11">
        <v>174</v>
      </c>
      <c r="C191" s="16">
        <f t="shared" si="9"/>
        <v>91.409657394941092</v>
      </c>
      <c r="D191" s="17">
        <f t="shared" si="11"/>
        <v>101.56628599437899</v>
      </c>
      <c r="E191" s="17">
        <f t="shared" si="10"/>
        <v>111.72291459381688</v>
      </c>
      <c r="F191" s="2">
        <v>101.1245</v>
      </c>
      <c r="G191" s="2" t="str">
        <f t="shared" si="8"/>
        <v>Pass</v>
      </c>
      <c r="Y191" s="2">
        <v>176</v>
      </c>
      <c r="Z191" s="2">
        <v>0.31380000000000002</v>
      </c>
      <c r="AA191" s="2">
        <v>0.33200000000000002</v>
      </c>
      <c r="AB191" s="2">
        <v>103.5831</v>
      </c>
    </row>
    <row r="192" spans="2:28" x14ac:dyDescent="0.4">
      <c r="B192" s="11">
        <v>175</v>
      </c>
      <c r="C192" s="16">
        <f t="shared" si="9"/>
        <v>92.567635594018654</v>
      </c>
      <c r="D192" s="17">
        <f t="shared" si="11"/>
        <v>102.85292843779851</v>
      </c>
      <c r="E192" s="17">
        <f t="shared" si="10"/>
        <v>113.13822128157837</v>
      </c>
      <c r="F192" s="2">
        <v>102.42</v>
      </c>
      <c r="G192" s="2" t="str">
        <f t="shared" si="8"/>
        <v>Pass</v>
      </c>
      <c r="Y192" s="2">
        <v>177</v>
      </c>
      <c r="Z192" s="2">
        <v>0.31419999999999998</v>
      </c>
      <c r="AA192" s="2">
        <v>0.33279999999999998</v>
      </c>
      <c r="AB192" s="2">
        <v>104.765</v>
      </c>
    </row>
    <row r="193" spans="2:28" x14ac:dyDescent="0.4">
      <c r="B193" s="11">
        <v>176</v>
      </c>
      <c r="C193" s="16">
        <f t="shared" si="9"/>
        <v>93.733569476110191</v>
      </c>
      <c r="D193" s="17">
        <f t="shared" si="11"/>
        <v>104.14841052901133</v>
      </c>
      <c r="E193" s="17">
        <f t="shared" si="10"/>
        <v>114.56325158191247</v>
      </c>
      <c r="F193" s="2">
        <v>103.5831</v>
      </c>
      <c r="G193" s="2" t="str">
        <f t="shared" si="8"/>
        <v>Pass</v>
      </c>
      <c r="Y193" s="2">
        <v>178</v>
      </c>
      <c r="Z193" s="2">
        <v>0.31419999999999998</v>
      </c>
      <c r="AA193" s="2">
        <v>0.33279999999999998</v>
      </c>
      <c r="AB193" s="2">
        <v>106.2848</v>
      </c>
    </row>
    <row r="194" spans="2:28" x14ac:dyDescent="0.4">
      <c r="B194" s="11">
        <v>177</v>
      </c>
      <c r="C194" s="16">
        <f t="shared" si="9"/>
        <v>94.90746809911937</v>
      </c>
      <c r="D194" s="17">
        <f t="shared" si="11"/>
        <v>105.45274233235486</v>
      </c>
      <c r="E194" s="17">
        <f t="shared" si="10"/>
        <v>115.99801656559035</v>
      </c>
      <c r="F194" s="2">
        <v>104.765</v>
      </c>
      <c r="G194" s="2" t="str">
        <f t="shared" si="8"/>
        <v>Pass</v>
      </c>
      <c r="Y194" s="2">
        <v>179</v>
      </c>
      <c r="Z194" s="2">
        <v>0.31419999999999998</v>
      </c>
      <c r="AA194" s="2">
        <v>0.3327</v>
      </c>
      <c r="AB194" s="2">
        <v>107.4714</v>
      </c>
    </row>
    <row r="195" spans="2:28" x14ac:dyDescent="0.4">
      <c r="B195" s="11">
        <v>178</v>
      </c>
      <c r="C195" s="16">
        <f t="shared" si="9"/>
        <v>96.089340479931721</v>
      </c>
      <c r="D195" s="17">
        <f t="shared" si="11"/>
        <v>106.7659338665908</v>
      </c>
      <c r="E195" s="17">
        <f t="shared" si="10"/>
        <v>117.44252725324988</v>
      </c>
      <c r="F195" s="2">
        <v>106.2848</v>
      </c>
      <c r="G195" s="2" t="str">
        <f t="shared" si="8"/>
        <v>Pass</v>
      </c>
      <c r="Y195" s="2">
        <v>180</v>
      </c>
      <c r="Z195" s="2">
        <v>0.31409999999999999</v>
      </c>
      <c r="AA195" s="2">
        <v>0.3327</v>
      </c>
      <c r="AB195" s="2">
        <v>108.63200000000001</v>
      </c>
    </row>
    <row r="196" spans="2:28" x14ac:dyDescent="0.4">
      <c r="B196" s="11">
        <v>179</v>
      </c>
      <c r="C196" s="16">
        <f t="shared" si="9"/>
        <v>97.279195594830213</v>
      </c>
      <c r="D196" s="17">
        <f t="shared" si="11"/>
        <v>108.0879951053669</v>
      </c>
      <c r="E196" s="17">
        <f t="shared" si="10"/>
        <v>118.89679461590359</v>
      </c>
      <c r="F196" s="2">
        <v>107.4714</v>
      </c>
      <c r="G196" s="2" t="str">
        <f t="shared" si="8"/>
        <v>Pass</v>
      </c>
      <c r="Y196" s="2">
        <v>181</v>
      </c>
      <c r="Z196" s="2">
        <v>0.31409999999999999</v>
      </c>
      <c r="AA196" s="2">
        <v>0.33250000000000002</v>
      </c>
      <c r="AB196" s="2">
        <v>110.1867</v>
      </c>
    </row>
    <row r="197" spans="2:28" x14ac:dyDescent="0.4">
      <c r="B197" s="11">
        <v>180</v>
      </c>
      <c r="C197" s="16">
        <f t="shared" si="9"/>
        <v>98.477042379904276</v>
      </c>
      <c r="D197" s="17">
        <f t="shared" si="11"/>
        <v>109.41893597767141</v>
      </c>
      <c r="E197" s="17">
        <f t="shared" si="10"/>
        <v>120.36082957543854</v>
      </c>
      <c r="F197" s="2">
        <v>108.63200000000001</v>
      </c>
      <c r="G197" s="2" t="str">
        <f t="shared" si="8"/>
        <v>Pass</v>
      </c>
      <c r="Y197" s="2">
        <v>182</v>
      </c>
      <c r="Z197" s="2">
        <v>0.31409999999999999</v>
      </c>
      <c r="AA197" s="2">
        <v>0.33250000000000002</v>
      </c>
      <c r="AB197" s="2">
        <v>111.3075</v>
      </c>
    </row>
    <row r="198" spans="2:28" x14ac:dyDescent="0.4">
      <c r="B198" s="11">
        <v>181</v>
      </c>
      <c r="C198" s="16">
        <f t="shared" si="9"/>
        <v>99.682889731452477</v>
      </c>
      <c r="D198" s="17">
        <f t="shared" si="11"/>
        <v>110.75876636828053</v>
      </c>
      <c r="E198" s="17">
        <f t="shared" si="10"/>
        <v>121.83464300510859</v>
      </c>
      <c r="F198" s="2">
        <v>110.1867</v>
      </c>
      <c r="G198" s="2" t="str">
        <f t="shared" si="8"/>
        <v>Pass</v>
      </c>
      <c r="Y198" s="2">
        <v>183</v>
      </c>
      <c r="Z198" s="2">
        <v>0.314</v>
      </c>
      <c r="AA198" s="2">
        <v>0.33239999999999997</v>
      </c>
      <c r="AB198" s="2">
        <v>112.9295</v>
      </c>
    </row>
    <row r="199" spans="2:28" x14ac:dyDescent="0.4">
      <c r="B199" s="11">
        <v>182</v>
      </c>
      <c r="C199" s="16">
        <f t="shared" si="9"/>
        <v>100.89674650637915</v>
      </c>
      <c r="D199" s="17">
        <f t="shared" si="11"/>
        <v>112.10749611819905</v>
      </c>
      <c r="E199" s="17">
        <f t="shared" si="10"/>
        <v>123.31824573001896</v>
      </c>
      <c r="F199" s="2">
        <v>111.3075</v>
      </c>
      <c r="G199" s="2" t="str">
        <f t="shared" si="8"/>
        <v>Pass</v>
      </c>
      <c r="Y199" s="2">
        <v>184</v>
      </c>
      <c r="Z199" s="2">
        <v>0.314</v>
      </c>
      <c r="AA199" s="2">
        <v>0.33239999999999997</v>
      </c>
      <c r="AB199" s="2">
        <v>114.1619</v>
      </c>
    </row>
    <row r="200" spans="2:28" x14ac:dyDescent="0.4">
      <c r="B200" s="11">
        <v>183</v>
      </c>
      <c r="C200" s="16">
        <f t="shared" si="9"/>
        <v>102.11862152258438</v>
      </c>
      <c r="D200" s="17">
        <f t="shared" si="11"/>
        <v>113.46513502509376</v>
      </c>
      <c r="E200" s="17">
        <f t="shared" si="10"/>
        <v>124.81164852760314</v>
      </c>
      <c r="F200" s="2">
        <v>112.9295</v>
      </c>
      <c r="G200" s="2" t="str">
        <f t="shared" si="8"/>
        <v>Pass</v>
      </c>
      <c r="Y200" s="2">
        <v>185</v>
      </c>
      <c r="Z200" s="2">
        <v>0.31509999999999999</v>
      </c>
      <c r="AA200" s="2">
        <v>0.3327</v>
      </c>
      <c r="AB200" s="2">
        <v>114.6005</v>
      </c>
    </row>
    <row r="201" spans="2:28" x14ac:dyDescent="0.4">
      <c r="B201" s="11">
        <v>184</v>
      </c>
      <c r="C201" s="16">
        <f t="shared" si="9"/>
        <v>103.34852355934881</v>
      </c>
      <c r="D201" s="17">
        <f t="shared" si="11"/>
        <v>114.8316928437209</v>
      </c>
      <c r="E201" s="17">
        <f t="shared" si="10"/>
        <v>126.314862128093</v>
      </c>
      <c r="F201" s="2">
        <v>114.1619</v>
      </c>
      <c r="G201" s="2" t="str">
        <f t="shared" si="8"/>
        <v>Pass</v>
      </c>
      <c r="Y201" s="2">
        <v>186</v>
      </c>
      <c r="Z201" s="2">
        <v>0.315</v>
      </c>
      <c r="AA201" s="2">
        <v>0.33260000000000001</v>
      </c>
      <c r="AB201" s="2">
        <v>115.8099</v>
      </c>
    </row>
    <row r="202" spans="2:28" x14ac:dyDescent="0.4">
      <c r="B202" s="11">
        <v>185</v>
      </c>
      <c r="C202" s="16">
        <f t="shared" si="9"/>
        <v>104.58646135771181</v>
      </c>
      <c r="D202" s="17">
        <f t="shared" si="11"/>
        <v>116.20717928634646</v>
      </c>
      <c r="E202" s="17">
        <f t="shared" si="10"/>
        <v>127.82789721498111</v>
      </c>
      <c r="F202" s="2">
        <v>114.6005</v>
      </c>
      <c r="G202" s="2" t="str">
        <f t="shared" si="8"/>
        <v>Pass</v>
      </c>
      <c r="Y202" s="2">
        <v>187</v>
      </c>
      <c r="Z202" s="2">
        <v>0.315</v>
      </c>
      <c r="AA202" s="2">
        <v>0.33260000000000001</v>
      </c>
      <c r="AB202" s="2">
        <v>117.4183</v>
      </c>
    </row>
    <row r="203" spans="2:28" x14ac:dyDescent="0.4">
      <c r="B203" s="11">
        <v>186</v>
      </c>
      <c r="C203" s="16">
        <f t="shared" si="9"/>
        <v>105.83244362084437</v>
      </c>
      <c r="D203" s="17">
        <f t="shared" si="11"/>
        <v>117.59160402316041</v>
      </c>
      <c r="E203" s="17">
        <f t="shared" si="10"/>
        <v>129.35076442547646</v>
      </c>
      <c r="F203" s="2">
        <v>115.8099</v>
      </c>
      <c r="G203" s="2" t="str">
        <f t="shared" si="8"/>
        <v>Pass</v>
      </c>
      <c r="Y203" s="2">
        <v>188</v>
      </c>
      <c r="Z203" s="2">
        <v>0.31490000000000001</v>
      </c>
      <c r="AA203" s="2">
        <v>0.33239999999999997</v>
      </c>
      <c r="AB203" s="2">
        <v>118.623</v>
      </c>
    </row>
    <row r="204" spans="2:28" x14ac:dyDescent="0.4">
      <c r="B204" s="11">
        <v>187</v>
      </c>
      <c r="C204" s="16">
        <f t="shared" si="9"/>
        <v>107.08647901441624</v>
      </c>
      <c r="D204" s="17">
        <f t="shared" si="11"/>
        <v>118.98497668268472</v>
      </c>
      <c r="E204" s="17">
        <f t="shared" si="10"/>
        <v>130.88347435095318</v>
      </c>
      <c r="F204" s="2">
        <v>117.4183</v>
      </c>
      <c r="G204" s="2" t="str">
        <f t="shared" si="8"/>
        <v>Pass</v>
      </c>
      <c r="Y204" s="2">
        <v>189</v>
      </c>
      <c r="Z204" s="2">
        <v>0.31490000000000001</v>
      </c>
      <c r="AA204" s="2">
        <v>0.33250000000000002</v>
      </c>
      <c r="AB204" s="2">
        <v>120.2214</v>
      </c>
    </row>
    <row r="205" spans="2:28" x14ac:dyDescent="0.4">
      <c r="B205" s="11">
        <v>188</v>
      </c>
      <c r="C205" s="16">
        <f t="shared" si="9"/>
        <v>108.34857616695753</v>
      </c>
      <c r="D205" s="17">
        <f t="shared" si="11"/>
        <v>120.38730685217503</v>
      </c>
      <c r="E205" s="17">
        <f t="shared" si="10"/>
        <v>132.42603753739255</v>
      </c>
      <c r="F205" s="2">
        <v>118.623</v>
      </c>
      <c r="G205" s="2" t="str">
        <f t="shared" si="8"/>
        <v>Pass</v>
      </c>
      <c r="Y205" s="2">
        <v>190</v>
      </c>
      <c r="Z205" s="2">
        <v>0.31480000000000002</v>
      </c>
      <c r="AA205" s="2">
        <v>0.3322</v>
      </c>
      <c r="AB205" s="2">
        <v>121.5493</v>
      </c>
    </row>
    <row r="206" spans="2:28" x14ac:dyDescent="0.4">
      <c r="B206" s="11">
        <v>189</v>
      </c>
      <c r="C206" s="16">
        <f t="shared" si="9"/>
        <v>109.61874367021497</v>
      </c>
      <c r="D206" s="17">
        <f t="shared" si="11"/>
        <v>121.79860407801662</v>
      </c>
      <c r="E206" s="17">
        <f t="shared" si="10"/>
        <v>133.97846448581828</v>
      </c>
      <c r="F206" s="2">
        <v>120.2214</v>
      </c>
      <c r="G206" s="2" t="str">
        <f t="shared" si="8"/>
        <v>Pass</v>
      </c>
      <c r="Y206" s="2">
        <v>191</v>
      </c>
      <c r="Z206" s="2">
        <v>0.31480000000000002</v>
      </c>
      <c r="AA206" s="2">
        <v>0.33210000000000001</v>
      </c>
      <c r="AB206" s="2">
        <v>122.77809999999999</v>
      </c>
    </row>
    <row r="207" spans="2:28" x14ac:dyDescent="0.4">
      <c r="B207" s="11">
        <v>190</v>
      </c>
      <c r="C207" s="16">
        <f t="shared" si="9"/>
        <v>110.89699007950281</v>
      </c>
      <c r="D207" s="17">
        <f t="shared" si="11"/>
        <v>123.21887786611424</v>
      </c>
      <c r="E207" s="17">
        <f t="shared" si="10"/>
        <v>135.54076565272567</v>
      </c>
      <c r="F207" s="2">
        <v>121.5493</v>
      </c>
      <c r="G207" s="2" t="str">
        <f t="shared" si="8"/>
        <v>Pass</v>
      </c>
      <c r="Y207" s="2">
        <v>192</v>
      </c>
      <c r="Z207" s="2">
        <v>0.31469999999999998</v>
      </c>
      <c r="AA207" s="2">
        <v>0.33200000000000002</v>
      </c>
      <c r="AB207" s="2">
        <v>124.3888</v>
      </c>
    </row>
    <row r="208" spans="2:28" x14ac:dyDescent="0.4">
      <c r="B208" s="11">
        <v>191</v>
      </c>
      <c r="C208" s="16">
        <f t="shared" si="9"/>
        <v>112.18332391404866</v>
      </c>
      <c r="D208" s="17">
        <f t="shared" si="11"/>
        <v>124.64813768227629</v>
      </c>
      <c r="E208" s="17">
        <f t="shared" si="10"/>
        <v>137.11295145050391</v>
      </c>
      <c r="F208" s="2">
        <v>122.77809999999999</v>
      </c>
      <c r="G208" s="2" t="str">
        <f t="shared" si="8"/>
        <v>Pass</v>
      </c>
      <c r="Y208" s="2">
        <v>193</v>
      </c>
      <c r="Z208" s="2">
        <v>0.31469999999999998</v>
      </c>
      <c r="AA208" s="2">
        <v>0.33189999999999997</v>
      </c>
      <c r="AB208" s="2">
        <v>125.5977</v>
      </c>
    </row>
    <row r="209" spans="2:28" x14ac:dyDescent="0.4">
      <c r="B209" s="11">
        <v>192</v>
      </c>
      <c r="C209" s="16">
        <f t="shared" si="9"/>
        <v>113.47775365733409</v>
      </c>
      <c r="D209" s="17">
        <f t="shared" si="11"/>
        <v>126.08639295259343</v>
      </c>
      <c r="E209" s="17">
        <f t="shared" si="10"/>
        <v>138.69503224785277</v>
      </c>
      <c r="F209" s="2">
        <v>124.3888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0.31469999999999998</v>
      </c>
      <c r="AA209" s="2">
        <v>0.3327</v>
      </c>
      <c r="AB209" s="2">
        <v>126.8309</v>
      </c>
    </row>
    <row r="210" spans="2:28" x14ac:dyDescent="0.4">
      <c r="B210" s="11">
        <v>193</v>
      </c>
      <c r="C210" s="16">
        <f t="shared" ref="C210:C272" si="13">D210-D210*(C$14/100)</f>
        <v>114.7802877574305</v>
      </c>
      <c r="D210" s="17">
        <f t="shared" si="11"/>
        <v>127.53365306381167</v>
      </c>
      <c r="E210" s="17">
        <f t="shared" ref="E210:E272" si="14">D210+D210*(C$14/100)</f>
        <v>140.28701837019284</v>
      </c>
      <c r="F210" s="2">
        <v>125.5977</v>
      </c>
      <c r="G210" s="2" t="str">
        <f t="shared" si="12"/>
        <v>Pass</v>
      </c>
      <c r="Y210" s="2">
        <v>195</v>
      </c>
      <c r="Z210" s="2">
        <v>0.31459999999999999</v>
      </c>
      <c r="AA210" s="2">
        <v>0.33260000000000001</v>
      </c>
      <c r="AB210" s="2">
        <v>128.03980000000001</v>
      </c>
    </row>
    <row r="211" spans="2:28" x14ac:dyDescent="0.4">
      <c r="B211" s="11">
        <v>194</v>
      </c>
      <c r="C211" s="16">
        <f t="shared" si="13"/>
        <v>116.09093462732979</v>
      </c>
      <c r="D211" s="17">
        <f t="shared" ref="D211:D271" si="15">D$272*((B211+F$17)/B$272)^C$13</f>
        <v>128.98992736369976</v>
      </c>
      <c r="E211" s="17">
        <f t="shared" si="14"/>
        <v>141.88892010006975</v>
      </c>
      <c r="F211" s="2">
        <v>126.8309</v>
      </c>
      <c r="G211" s="2" t="str">
        <f t="shared" si="12"/>
        <v>Pass</v>
      </c>
      <c r="Y211" s="2">
        <v>196</v>
      </c>
      <c r="Z211" s="2">
        <v>0.31459999999999999</v>
      </c>
      <c r="AA211" s="2">
        <v>0.33260000000000001</v>
      </c>
      <c r="AB211" s="2">
        <v>129.7406</v>
      </c>
    </row>
    <row r="212" spans="2:28" x14ac:dyDescent="0.4">
      <c r="B212" s="11">
        <v>195</v>
      </c>
      <c r="C212" s="16">
        <f t="shared" si="13"/>
        <v>117.40970264527046</v>
      </c>
      <c r="D212" s="17">
        <f t="shared" si="15"/>
        <v>130.45522516141162</v>
      </c>
      <c r="E212" s="17">
        <f t="shared" si="14"/>
        <v>143.50074767755279</v>
      </c>
      <c r="F212" s="2">
        <v>128.03980000000001</v>
      </c>
      <c r="G212" s="2" t="str">
        <f t="shared" si="12"/>
        <v>Pass</v>
      </c>
      <c r="Y212" s="2">
        <v>197</v>
      </c>
      <c r="Z212" s="2">
        <v>0.31459999999999999</v>
      </c>
      <c r="AA212" s="2">
        <v>0.33250000000000002</v>
      </c>
      <c r="AB212" s="2">
        <v>130.95400000000001</v>
      </c>
    </row>
    <row r="213" spans="2:28" x14ac:dyDescent="0.4">
      <c r="B213" s="11">
        <v>196</v>
      </c>
      <c r="C213" s="16">
        <f t="shared" si="13"/>
        <v>118.73660015505905</v>
      </c>
      <c r="D213" s="17">
        <f t="shared" si="15"/>
        <v>131.92955572784339</v>
      </c>
      <c r="E213" s="17">
        <f t="shared" si="14"/>
        <v>145.12251130062774</v>
      </c>
      <c r="F213" s="2">
        <v>129.7406</v>
      </c>
      <c r="G213" s="2" t="str">
        <f t="shared" si="12"/>
        <v>Pass</v>
      </c>
      <c r="Y213" s="2">
        <v>198</v>
      </c>
      <c r="Z213" s="2">
        <v>0.3145</v>
      </c>
      <c r="AA213" s="2">
        <v>0.33239999999999997</v>
      </c>
      <c r="AB213" s="2">
        <v>132.60640000000001</v>
      </c>
    </row>
    <row r="214" spans="2:28" x14ac:dyDescent="0.4">
      <c r="B214" s="11">
        <v>197</v>
      </c>
      <c r="C214" s="16">
        <f t="shared" si="13"/>
        <v>120.07163546638671</v>
      </c>
      <c r="D214" s="17">
        <f t="shared" si="15"/>
        <v>133.41292829598524</v>
      </c>
      <c r="E214" s="17">
        <f t="shared" si="14"/>
        <v>146.75422112558377</v>
      </c>
      <c r="F214" s="2">
        <v>130.95400000000001</v>
      </c>
      <c r="G214" s="2" t="str">
        <f t="shared" si="12"/>
        <v>Pass</v>
      </c>
      <c r="Y214" s="2">
        <v>199</v>
      </c>
      <c r="Z214" s="2">
        <v>0.3145</v>
      </c>
      <c r="AA214" s="2">
        <v>0.33239999999999997</v>
      </c>
      <c r="AB214" s="2">
        <v>133.90360000000001</v>
      </c>
    </row>
    <row r="215" spans="2:28" x14ac:dyDescent="0.4">
      <c r="B215" s="11">
        <v>198</v>
      </c>
      <c r="C215" s="16">
        <f t="shared" si="13"/>
        <v>121.41481685514181</v>
      </c>
      <c r="D215" s="17">
        <f t="shared" si="15"/>
        <v>134.90535206126867</v>
      </c>
      <c r="E215" s="17">
        <f t="shared" si="14"/>
        <v>148.39588726739555</v>
      </c>
      <c r="F215" s="2">
        <v>132.60640000000001</v>
      </c>
      <c r="G215" s="2" t="str">
        <f t="shared" si="12"/>
        <v>Pass</v>
      </c>
      <c r="Y215" s="2">
        <v>200</v>
      </c>
      <c r="Z215" s="2">
        <v>0.3145</v>
      </c>
      <c r="AA215" s="2">
        <v>0.33239999999999997</v>
      </c>
      <c r="AB215" s="2">
        <v>135.24760000000001</v>
      </c>
    </row>
    <row r="216" spans="2:28" x14ac:dyDescent="0.4">
      <c r="B216" s="11">
        <v>199</v>
      </c>
      <c r="C216" s="16">
        <f t="shared" si="13"/>
        <v>122.7661525637172</v>
      </c>
      <c r="D216" s="17">
        <f t="shared" si="15"/>
        <v>136.40683618190801</v>
      </c>
      <c r="E216" s="17">
        <f t="shared" si="14"/>
        <v>150.0475198000988</v>
      </c>
      <c r="F216" s="2">
        <v>133.90360000000001</v>
      </c>
      <c r="G216" s="2" t="str">
        <f t="shared" si="12"/>
        <v>Pass</v>
      </c>
      <c r="Y216" s="2">
        <v>201</v>
      </c>
      <c r="Z216" s="2">
        <v>0.3145</v>
      </c>
      <c r="AA216" s="2">
        <v>0.3322</v>
      </c>
      <c r="AB216" s="2">
        <v>136.9417</v>
      </c>
    </row>
    <row r="217" spans="2:28" x14ac:dyDescent="0.4">
      <c r="B217" s="11">
        <v>200</v>
      </c>
      <c r="C217" s="16">
        <f t="shared" si="13"/>
        <v>124.12565080131432</v>
      </c>
      <c r="D217" s="17">
        <f t="shared" si="15"/>
        <v>137.91738977923814</v>
      </c>
      <c r="E217" s="17">
        <f t="shared" si="14"/>
        <v>151.70912875716195</v>
      </c>
      <c r="F217" s="2">
        <v>135.24760000000001</v>
      </c>
      <c r="G217" s="2" t="str">
        <f t="shared" si="12"/>
        <v>Pass</v>
      </c>
      <c r="Y217" s="2">
        <v>202</v>
      </c>
      <c r="Z217" s="2">
        <v>0.31440000000000001</v>
      </c>
      <c r="AA217" s="2">
        <v>0.3322</v>
      </c>
      <c r="AB217" s="2">
        <v>138.268</v>
      </c>
    </row>
    <row r="218" spans="2:28" x14ac:dyDescent="0.4">
      <c r="B218" s="11">
        <v>201</v>
      </c>
      <c r="C218" s="16">
        <f t="shared" si="13"/>
        <v>125.49331974424206</v>
      </c>
      <c r="D218" s="17">
        <f t="shared" si="15"/>
        <v>139.43702193804674</v>
      </c>
      <c r="E218" s="17">
        <f t="shared" si="14"/>
        <v>153.38072413185142</v>
      </c>
      <c r="F218" s="2">
        <v>136.9417</v>
      </c>
      <c r="G218" s="2" t="str">
        <f t="shared" si="12"/>
        <v>Pass</v>
      </c>
      <c r="Y218" s="2">
        <v>203</v>
      </c>
      <c r="Z218" s="2">
        <v>0.31440000000000001</v>
      </c>
      <c r="AA218" s="2">
        <v>0.33210000000000001</v>
      </c>
      <c r="AB218" s="2">
        <v>140.07759999999999</v>
      </c>
    </row>
    <row r="219" spans="2:28" x14ac:dyDescent="0.4">
      <c r="B219" s="11">
        <v>202</v>
      </c>
      <c r="C219" s="16">
        <f t="shared" si="13"/>
        <v>126.86916753621186</v>
      </c>
      <c r="D219" s="17">
        <f t="shared" si="15"/>
        <v>140.96574170690207</v>
      </c>
      <c r="E219" s="17">
        <f t="shared" si="14"/>
        <v>155.06231587759228</v>
      </c>
      <c r="F219" s="2">
        <v>138.268</v>
      </c>
      <c r="G219" s="2" t="str">
        <f t="shared" si="12"/>
        <v>Pass</v>
      </c>
      <c r="Y219" s="2">
        <v>204</v>
      </c>
      <c r="Z219" s="2">
        <v>0.31509999999999999</v>
      </c>
      <c r="AA219" s="2">
        <v>0.33350000000000002</v>
      </c>
      <c r="AB219" s="2">
        <v>141.42509999999999</v>
      </c>
    </row>
    <row r="220" spans="2:28" x14ac:dyDescent="0.4">
      <c r="B220" s="11">
        <v>203</v>
      </c>
      <c r="C220" s="16">
        <f t="shared" si="13"/>
        <v>128.25320228862878</v>
      </c>
      <c r="D220" s="17">
        <f t="shared" si="15"/>
        <v>142.50355809847642</v>
      </c>
      <c r="E220" s="17">
        <f t="shared" si="14"/>
        <v>156.75391390832405</v>
      </c>
      <c r="F220" s="2">
        <v>140.07759999999999</v>
      </c>
      <c r="G220" s="2" t="str">
        <f t="shared" si="12"/>
        <v>Pass</v>
      </c>
      <c r="Y220" s="2">
        <v>205</v>
      </c>
      <c r="Z220" s="2">
        <v>0.31509999999999999</v>
      </c>
      <c r="AA220" s="2">
        <v>0.33339999999999997</v>
      </c>
      <c r="AB220" s="2">
        <v>142.74940000000001</v>
      </c>
    </row>
    <row r="221" spans="2:28" x14ac:dyDescent="0.4">
      <c r="B221" s="11">
        <v>204</v>
      </c>
      <c r="C221" s="16">
        <f t="shared" si="13"/>
        <v>129.64543208087832</v>
      </c>
      <c r="D221" s="17">
        <f t="shared" si="15"/>
        <v>144.05048008986481</v>
      </c>
      <c r="E221" s="17">
        <f t="shared" si="14"/>
        <v>158.45552809885129</v>
      </c>
      <c r="F221" s="2">
        <v>141.42509999999999</v>
      </c>
      <c r="G221" s="2" t="str">
        <f t="shared" si="12"/>
        <v>Pass</v>
      </c>
      <c r="Y221" s="2">
        <v>206</v>
      </c>
      <c r="Z221" s="2">
        <v>0.315</v>
      </c>
      <c r="AA221" s="2">
        <v>0.33339999999999997</v>
      </c>
      <c r="AB221" s="2">
        <v>144.51499999999999</v>
      </c>
    </row>
    <row r="222" spans="2:28" x14ac:dyDescent="0.4">
      <c r="B222" s="11">
        <v>205</v>
      </c>
      <c r="C222" s="16">
        <f t="shared" si="13"/>
        <v>131.04586496060952</v>
      </c>
      <c r="D222" s="17">
        <f t="shared" si="15"/>
        <v>145.60651662289948</v>
      </c>
      <c r="E222" s="17">
        <f t="shared" si="14"/>
        <v>160.16716828518943</v>
      </c>
      <c r="F222" s="2">
        <v>142.74940000000001</v>
      </c>
      <c r="G222" s="2" t="str">
        <f t="shared" si="12"/>
        <v>Pass</v>
      </c>
      <c r="Y222" s="2">
        <v>207</v>
      </c>
      <c r="Z222" s="2">
        <v>0.315</v>
      </c>
      <c r="AA222" s="2">
        <v>0.33329999999999999</v>
      </c>
      <c r="AB222" s="2">
        <v>145.88640000000001</v>
      </c>
    </row>
    <row r="223" spans="2:28" x14ac:dyDescent="0.4">
      <c r="B223" s="11">
        <v>206</v>
      </c>
      <c r="C223" s="16">
        <f t="shared" si="13"/>
        <v>132.45450894401412</v>
      </c>
      <c r="D223" s="17">
        <f t="shared" si="15"/>
        <v>147.17167660446015</v>
      </c>
      <c r="E223" s="17">
        <f t="shared" si="14"/>
        <v>161.88884426490617</v>
      </c>
      <c r="F223" s="2">
        <v>144.51499999999999</v>
      </c>
      <c r="G223" s="2" t="str">
        <f t="shared" si="12"/>
        <v>Pass</v>
      </c>
      <c r="Y223" s="2">
        <v>208</v>
      </c>
      <c r="Z223" s="2">
        <v>0.3155</v>
      </c>
      <c r="AA223" s="2">
        <v>0.33289999999999997</v>
      </c>
      <c r="AB223" s="2">
        <v>147.69900000000001</v>
      </c>
    </row>
    <row r="224" spans="2:28" x14ac:dyDescent="0.4">
      <c r="B224" s="11">
        <v>207</v>
      </c>
      <c r="C224" s="16">
        <f t="shared" si="13"/>
        <v>133.87137201610159</v>
      </c>
      <c r="D224" s="17">
        <f t="shared" si="15"/>
        <v>148.74596890677955</v>
      </c>
      <c r="E224" s="17">
        <f t="shared" si="14"/>
        <v>163.62056579745752</v>
      </c>
      <c r="F224" s="2">
        <v>145.88640000000001</v>
      </c>
      <c r="G224" s="2" t="str">
        <f t="shared" si="12"/>
        <v>Pass</v>
      </c>
      <c r="Y224" s="2">
        <v>209</v>
      </c>
      <c r="Z224" s="2">
        <v>0.3155</v>
      </c>
      <c r="AA224" s="2">
        <v>0.33279999999999998</v>
      </c>
      <c r="AB224" s="2">
        <v>149.57329999999999</v>
      </c>
    </row>
    <row r="225" spans="2:28" x14ac:dyDescent="0.4">
      <c r="B225" s="11">
        <v>208</v>
      </c>
      <c r="C225" s="16">
        <f t="shared" si="13"/>
        <v>135.29646213097109</v>
      </c>
      <c r="D225" s="17">
        <f t="shared" si="15"/>
        <v>150.32940236774567</v>
      </c>
      <c r="E225" s="17">
        <f t="shared" si="14"/>
        <v>165.36234260452025</v>
      </c>
      <c r="F225" s="2">
        <v>147.69900000000001</v>
      </c>
      <c r="G225" s="2" t="str">
        <f t="shared" si="12"/>
        <v>Pass</v>
      </c>
      <c r="Y225" s="2">
        <v>210</v>
      </c>
      <c r="Z225" s="2">
        <v>0.31540000000000001</v>
      </c>
      <c r="AA225" s="2">
        <v>0.33279999999999998</v>
      </c>
      <c r="AB225" s="2">
        <v>150.9579</v>
      </c>
    </row>
    <row r="226" spans="2:28" x14ac:dyDescent="0.4">
      <c r="B226" s="11">
        <v>209</v>
      </c>
      <c r="C226" s="16">
        <f t="shared" si="13"/>
        <v>136.72978721207929</v>
      </c>
      <c r="D226" s="17">
        <f t="shared" si="15"/>
        <v>151.92198579119921</v>
      </c>
      <c r="E226" s="17">
        <f t="shared" si="14"/>
        <v>167.11418437031912</v>
      </c>
      <c r="F226" s="2">
        <v>149.57329999999999</v>
      </c>
      <c r="G226" s="2" t="str">
        <f t="shared" si="12"/>
        <v>Pass</v>
      </c>
      <c r="Y226" s="2">
        <v>211</v>
      </c>
      <c r="Z226" s="2">
        <v>0.31540000000000001</v>
      </c>
      <c r="AA226" s="2">
        <v>0.3327</v>
      </c>
      <c r="AB226" s="2">
        <v>152.76679999999999</v>
      </c>
    </row>
    <row r="227" spans="2:28" x14ac:dyDescent="0.4">
      <c r="B227" s="11">
        <v>210</v>
      </c>
      <c r="C227" s="16">
        <f t="shared" si="13"/>
        <v>138.17135515250453</v>
      </c>
      <c r="D227" s="17">
        <f t="shared" si="15"/>
        <v>153.52372794722726</v>
      </c>
      <c r="E227" s="17">
        <f t="shared" si="14"/>
        <v>168.87610074194998</v>
      </c>
      <c r="F227" s="2">
        <v>150.9579</v>
      </c>
      <c r="G227" s="2" t="str">
        <f t="shared" si="12"/>
        <v>Pass</v>
      </c>
      <c r="Y227" s="2">
        <v>212</v>
      </c>
      <c r="Z227" s="2">
        <v>0.31540000000000001</v>
      </c>
      <c r="AA227" s="2">
        <v>0.33260000000000001</v>
      </c>
      <c r="AB227" s="2">
        <v>154.1636</v>
      </c>
    </row>
    <row r="228" spans="2:28" x14ac:dyDescent="0.4">
      <c r="B228" s="11">
        <v>211</v>
      </c>
      <c r="C228" s="16">
        <f t="shared" si="13"/>
        <v>139.6211738152079</v>
      </c>
      <c r="D228" s="17">
        <f t="shared" si="15"/>
        <v>155.13463757245322</v>
      </c>
      <c r="E228" s="17">
        <f t="shared" si="14"/>
        <v>170.64810132969853</v>
      </c>
      <c r="F228" s="2">
        <v>152.76679999999999</v>
      </c>
      <c r="G228" s="2" t="str">
        <f t="shared" si="12"/>
        <v>Pass</v>
      </c>
      <c r="Y228" s="2">
        <v>213</v>
      </c>
      <c r="Z228" s="2">
        <v>0.31530000000000002</v>
      </c>
      <c r="AA228" s="2">
        <v>0.33250000000000002</v>
      </c>
      <c r="AB228" s="2">
        <v>156.05709999999999</v>
      </c>
    </row>
    <row r="229" spans="2:28" x14ac:dyDescent="0.4">
      <c r="B229" s="11">
        <v>212</v>
      </c>
      <c r="C229" s="16">
        <f t="shared" si="13"/>
        <v>141.07925103329032</v>
      </c>
      <c r="D229" s="17">
        <f t="shared" si="15"/>
        <v>156.75472337032258</v>
      </c>
      <c r="E229" s="17">
        <f t="shared" si="14"/>
        <v>172.43019570735484</v>
      </c>
      <c r="F229" s="2">
        <v>154.1636</v>
      </c>
      <c r="G229" s="2" t="str">
        <f t="shared" si="12"/>
        <v>Pass</v>
      </c>
      <c r="Y229" s="2">
        <v>214</v>
      </c>
      <c r="Z229" s="2">
        <v>0.31519999999999998</v>
      </c>
      <c r="AA229" s="2">
        <v>0.33250000000000002</v>
      </c>
      <c r="AB229" s="2">
        <v>157.46680000000001</v>
      </c>
    </row>
    <row r="230" spans="2:28" x14ac:dyDescent="0.4">
      <c r="B230" s="11">
        <v>213</v>
      </c>
      <c r="C230" s="16">
        <f t="shared" si="13"/>
        <v>142.54559461024667</v>
      </c>
      <c r="D230" s="17">
        <f t="shared" si="15"/>
        <v>158.38399401138517</v>
      </c>
      <c r="E230" s="17">
        <f t="shared" si="14"/>
        <v>174.22239341252367</v>
      </c>
      <c r="F230" s="2">
        <v>156.05709999999999</v>
      </c>
      <c r="G230" s="2" t="str">
        <f t="shared" si="12"/>
        <v>Pass</v>
      </c>
      <c r="Y230" s="2">
        <v>215</v>
      </c>
      <c r="Z230" s="2">
        <v>0.31519999999999998</v>
      </c>
      <c r="AA230" s="2">
        <v>0.33239999999999997</v>
      </c>
      <c r="AB230" s="2">
        <v>158.85830000000001</v>
      </c>
    </row>
    <row r="231" spans="2:28" x14ac:dyDescent="0.4">
      <c r="B231" s="11">
        <v>214</v>
      </c>
      <c r="C231" s="16">
        <f t="shared" si="13"/>
        <v>144.02021232021633</v>
      </c>
      <c r="D231" s="17">
        <f t="shared" si="15"/>
        <v>160.02245813357371</v>
      </c>
      <c r="E231" s="17">
        <f t="shared" si="14"/>
        <v>176.02470394693108</v>
      </c>
      <c r="F231" s="2">
        <v>157.46680000000001</v>
      </c>
      <c r="G231" s="2" t="str">
        <f t="shared" si="12"/>
        <v>Pass</v>
      </c>
      <c r="Y231" s="2">
        <v>216</v>
      </c>
      <c r="Z231" s="2">
        <v>0.31509999999999999</v>
      </c>
      <c r="AA231" s="2">
        <v>0.3322</v>
      </c>
      <c r="AB231" s="2">
        <v>160.751</v>
      </c>
    </row>
    <row r="232" spans="2:28" x14ac:dyDescent="0.4">
      <c r="B232" s="11">
        <v>215</v>
      </c>
      <c r="C232" s="16">
        <f t="shared" si="13"/>
        <v>145.50311190823041</v>
      </c>
      <c r="D232" s="17">
        <f t="shared" si="15"/>
        <v>161.67012434247823</v>
      </c>
      <c r="E232" s="17">
        <f t="shared" si="14"/>
        <v>177.83713677672606</v>
      </c>
      <c r="F232" s="2">
        <v>158.85830000000001</v>
      </c>
      <c r="G232" s="2" t="str">
        <f t="shared" si="12"/>
        <v>Pass</v>
      </c>
      <c r="Y232" s="2">
        <v>217</v>
      </c>
      <c r="Z232" s="2">
        <v>0.315</v>
      </c>
      <c r="AA232" s="2">
        <v>0.3322</v>
      </c>
      <c r="AB232" s="2">
        <v>162.18039999999999</v>
      </c>
    </row>
    <row r="233" spans="2:28" x14ac:dyDescent="0.4">
      <c r="B233" s="11">
        <v>216</v>
      </c>
      <c r="C233" s="16">
        <f t="shared" si="13"/>
        <v>146.99430109045588</v>
      </c>
      <c r="D233" s="17">
        <f t="shared" si="15"/>
        <v>163.32700121161764</v>
      </c>
      <c r="E233" s="17">
        <f t="shared" si="14"/>
        <v>179.65970133277941</v>
      </c>
      <c r="F233" s="2">
        <v>160.751</v>
      </c>
      <c r="G233" s="2" t="str">
        <f t="shared" si="12"/>
        <v>Pass</v>
      </c>
      <c r="Y233" s="2">
        <v>218</v>
      </c>
      <c r="Z233" s="2">
        <v>0.31469999999999998</v>
      </c>
      <c r="AA233" s="2">
        <v>0.33200000000000002</v>
      </c>
      <c r="AB233" s="2">
        <v>163.88579999999999</v>
      </c>
    </row>
    <row r="234" spans="2:28" x14ac:dyDescent="0.4">
      <c r="B234" s="11">
        <v>217</v>
      </c>
      <c r="C234" s="16">
        <f t="shared" si="13"/>
        <v>148.49378755443658</v>
      </c>
      <c r="D234" s="17">
        <f t="shared" si="15"/>
        <v>164.99309728270731</v>
      </c>
      <c r="E234" s="17">
        <f t="shared" si="14"/>
        <v>181.49240701097804</v>
      </c>
      <c r="F234" s="2">
        <v>162.18039999999999</v>
      </c>
      <c r="G234" s="2" t="str">
        <f t="shared" si="12"/>
        <v>Pass</v>
      </c>
      <c r="Y234" s="2">
        <v>219</v>
      </c>
      <c r="Z234" s="2">
        <v>0.31459999999999999</v>
      </c>
      <c r="AA234" s="2">
        <v>0.33200000000000002</v>
      </c>
      <c r="AB234" s="2">
        <v>165.3511</v>
      </c>
    </row>
    <row r="235" spans="2:28" x14ac:dyDescent="0.4">
      <c r="B235" s="11">
        <v>218</v>
      </c>
      <c r="C235" s="16">
        <f t="shared" si="13"/>
        <v>150.00157895933083</v>
      </c>
      <c r="D235" s="17">
        <f t="shared" si="15"/>
        <v>166.66842106592316</v>
      </c>
      <c r="E235" s="17">
        <f t="shared" si="14"/>
        <v>183.33526317251548</v>
      </c>
      <c r="F235" s="2">
        <v>163.88579999999999</v>
      </c>
      <c r="G235" s="2" t="str">
        <f t="shared" si="12"/>
        <v>Pass</v>
      </c>
      <c r="Y235" s="2">
        <v>220</v>
      </c>
      <c r="Z235" s="2">
        <v>0.31519999999999998</v>
      </c>
      <c r="AA235" s="2">
        <v>0.33250000000000002</v>
      </c>
      <c r="AB235" s="2">
        <v>167.24270000000001</v>
      </c>
    </row>
    <row r="236" spans="2:28" x14ac:dyDescent="0.4">
      <c r="B236" s="11">
        <v>219</v>
      </c>
      <c r="C236" s="16">
        <f t="shared" si="13"/>
        <v>151.51768293614637</v>
      </c>
      <c r="D236" s="17">
        <f t="shared" si="15"/>
        <v>168.35298104016263</v>
      </c>
      <c r="E236" s="17">
        <f t="shared" si="14"/>
        <v>185.18827914417889</v>
      </c>
      <c r="F236" s="2">
        <v>165.3511</v>
      </c>
      <c r="G236" s="2" t="str">
        <f t="shared" si="12"/>
        <v>Pass</v>
      </c>
      <c r="Y236" s="2">
        <v>221</v>
      </c>
      <c r="Z236" s="2">
        <v>0.31509999999999999</v>
      </c>
      <c r="AA236" s="2">
        <v>0.33239999999999997</v>
      </c>
      <c r="AB236" s="2">
        <v>169.17230000000001</v>
      </c>
    </row>
    <row r="237" spans="2:28" x14ac:dyDescent="0.4">
      <c r="B237" s="11">
        <v>220</v>
      </c>
      <c r="C237" s="16">
        <f t="shared" si="13"/>
        <v>153.04210708797191</v>
      </c>
      <c r="D237" s="17">
        <f t="shared" si="15"/>
        <v>170.04678565330212</v>
      </c>
      <c r="E237" s="17">
        <f t="shared" si="14"/>
        <v>187.05146421863233</v>
      </c>
      <c r="F237" s="2">
        <v>167.24270000000001</v>
      </c>
      <c r="G237" s="2" t="str">
        <f t="shared" si="12"/>
        <v>Pass</v>
      </c>
      <c r="Y237" s="2">
        <v>222</v>
      </c>
      <c r="Z237" s="2">
        <v>0.31509999999999999</v>
      </c>
      <c r="AA237" s="2">
        <v>0.33239999999999997</v>
      </c>
      <c r="AB237" s="2">
        <v>170.6267</v>
      </c>
    </row>
    <row r="238" spans="2:28" x14ac:dyDescent="0.4">
      <c r="B238" s="11">
        <v>221</v>
      </c>
      <c r="C238" s="16">
        <f t="shared" si="13"/>
        <v>154.57485899020608</v>
      </c>
      <c r="D238" s="17">
        <f t="shared" si="15"/>
        <v>171.7498433224512</v>
      </c>
      <c r="E238" s="17">
        <f t="shared" si="14"/>
        <v>188.92482765469632</v>
      </c>
      <c r="F238" s="2">
        <v>169.17230000000001</v>
      </c>
      <c r="G238" s="2" t="str">
        <f t="shared" si="12"/>
        <v>Pass</v>
      </c>
      <c r="Y238" s="2">
        <v>223</v>
      </c>
      <c r="Z238" s="2">
        <v>0.315</v>
      </c>
      <c r="AA238" s="2">
        <v>0.3322</v>
      </c>
      <c r="AB238" s="2">
        <v>172.4795</v>
      </c>
    </row>
    <row r="239" spans="2:28" x14ac:dyDescent="0.4">
      <c r="B239" s="11">
        <v>222</v>
      </c>
      <c r="C239" s="16">
        <f t="shared" si="13"/>
        <v>156.11594619078323</v>
      </c>
      <c r="D239" s="17">
        <f t="shared" si="15"/>
        <v>173.46216243420358</v>
      </c>
      <c r="E239" s="17">
        <f t="shared" si="14"/>
        <v>190.80837867762392</v>
      </c>
      <c r="F239" s="2">
        <v>170.6267</v>
      </c>
      <c r="G239" s="2" t="str">
        <f t="shared" si="12"/>
        <v>Pass</v>
      </c>
      <c r="Y239" s="2">
        <v>224</v>
      </c>
      <c r="Z239" s="2">
        <v>0.31490000000000001</v>
      </c>
      <c r="AA239" s="2">
        <v>0.33210000000000001</v>
      </c>
      <c r="AB239" s="2">
        <v>173.91229999999999</v>
      </c>
    </row>
    <row r="240" spans="2:28" x14ac:dyDescent="0.4">
      <c r="B240" s="11">
        <v>223</v>
      </c>
      <c r="C240" s="16">
        <f t="shared" si="13"/>
        <v>157.66537621039626</v>
      </c>
      <c r="D240" s="17">
        <f t="shared" si="15"/>
        <v>175.18375134488474</v>
      </c>
      <c r="E240" s="17">
        <f t="shared" si="14"/>
        <v>192.70212647937322</v>
      </c>
      <c r="F240" s="2">
        <v>172.4795</v>
      </c>
      <c r="G240" s="2" t="str">
        <f t="shared" si="12"/>
        <v>Pass</v>
      </c>
      <c r="Y240" s="2">
        <v>225</v>
      </c>
      <c r="Z240" s="2">
        <v>0.31490000000000001</v>
      </c>
      <c r="AA240" s="2">
        <v>0.33200000000000002</v>
      </c>
      <c r="AB240" s="2">
        <v>175.3544</v>
      </c>
    </row>
    <row r="241" spans="2:28" x14ac:dyDescent="0.4">
      <c r="B241" s="11">
        <v>224</v>
      </c>
      <c r="C241" s="16">
        <f t="shared" si="13"/>
        <v>159.22315654271728</v>
      </c>
      <c r="D241" s="17">
        <f t="shared" si="15"/>
        <v>176.91461838079698</v>
      </c>
      <c r="E241" s="17">
        <f t="shared" si="14"/>
        <v>194.60608021887668</v>
      </c>
      <c r="F241" s="2">
        <v>173.91229999999999</v>
      </c>
      <c r="G241" s="2" t="str">
        <f t="shared" si="12"/>
        <v>Pass</v>
      </c>
      <c r="Y241" s="2">
        <v>226</v>
      </c>
      <c r="Z241" s="2">
        <v>0.31469999999999998</v>
      </c>
      <c r="AA241" s="2">
        <v>0.33239999999999997</v>
      </c>
      <c r="AB241" s="2">
        <v>178.3049</v>
      </c>
    </row>
    <row r="242" spans="2:28" x14ac:dyDescent="0.4">
      <c r="B242" s="11">
        <v>225</v>
      </c>
      <c r="C242" s="16">
        <f t="shared" si="13"/>
        <v>160.78929465461471</v>
      </c>
      <c r="D242" s="17">
        <f t="shared" si="15"/>
        <v>178.65477183846079</v>
      </c>
      <c r="E242" s="17">
        <f t="shared" si="14"/>
        <v>196.52024902230687</v>
      </c>
      <c r="F242" s="2">
        <v>175.3544</v>
      </c>
      <c r="G242" s="2" t="str">
        <f t="shared" si="12"/>
        <v>Pass</v>
      </c>
      <c r="Y242" s="2">
        <v>227</v>
      </c>
      <c r="Z242" s="2">
        <v>0.3145</v>
      </c>
      <c r="AA242" s="2">
        <v>0.33200000000000002</v>
      </c>
      <c r="AB242" s="2">
        <v>180.3442</v>
      </c>
    </row>
    <row r="243" spans="2:28" x14ac:dyDescent="0.4">
      <c r="B243" s="11">
        <v>226</v>
      </c>
      <c r="C243" s="16">
        <f t="shared" si="13"/>
        <v>162.36379798636813</v>
      </c>
      <c r="D243" s="17">
        <f t="shared" si="15"/>
        <v>180.40421998485348</v>
      </c>
      <c r="E243" s="17">
        <f t="shared" si="14"/>
        <v>198.44464198333884</v>
      </c>
      <c r="F243" s="2">
        <v>178.3049</v>
      </c>
      <c r="G243" s="2" t="str">
        <f t="shared" si="12"/>
        <v>Pass</v>
      </c>
      <c r="Y243" s="2">
        <v>228</v>
      </c>
      <c r="Z243" s="2">
        <v>0.31440000000000001</v>
      </c>
      <c r="AA243" s="2">
        <v>0.33200000000000002</v>
      </c>
      <c r="AB243" s="2">
        <v>181.81800000000001</v>
      </c>
    </row>
    <row r="244" spans="2:28" x14ac:dyDescent="0.4">
      <c r="B244" s="11">
        <v>227</v>
      </c>
      <c r="C244" s="16">
        <f t="shared" si="13"/>
        <v>163.94667395188046</v>
      </c>
      <c r="D244" s="17">
        <f t="shared" si="15"/>
        <v>182.16297105764494</v>
      </c>
      <c r="E244" s="17">
        <f t="shared" si="14"/>
        <v>200.37926816340942</v>
      </c>
      <c r="F244" s="2">
        <v>180.3442</v>
      </c>
      <c r="G244" s="2" t="str">
        <f t="shared" si="12"/>
        <v>Pass</v>
      </c>
      <c r="Y244" s="2">
        <v>229</v>
      </c>
      <c r="Z244" s="2">
        <v>0.31430000000000002</v>
      </c>
      <c r="AA244" s="2">
        <v>0.33189999999999997</v>
      </c>
      <c r="AB244" s="2">
        <v>183.78039999999999</v>
      </c>
    </row>
    <row r="245" spans="2:28" x14ac:dyDescent="0.4">
      <c r="B245" s="11">
        <v>228</v>
      </c>
      <c r="C245" s="16">
        <f t="shared" si="13"/>
        <v>165.5379299388872</v>
      </c>
      <c r="D245" s="17">
        <f t="shared" si="15"/>
        <v>183.93103326543022</v>
      </c>
      <c r="E245" s="17">
        <f t="shared" si="14"/>
        <v>202.32413659197323</v>
      </c>
      <c r="F245" s="2">
        <v>181.81800000000001</v>
      </c>
      <c r="G245" s="2" t="str">
        <f t="shared" si="12"/>
        <v>Pass</v>
      </c>
      <c r="Y245" s="2">
        <v>230</v>
      </c>
      <c r="Z245" s="2">
        <v>0.31409999999999999</v>
      </c>
      <c r="AA245" s="2">
        <v>0.33179999999999998</v>
      </c>
      <c r="AB245" s="2">
        <v>185.2261</v>
      </c>
    </row>
    <row r="246" spans="2:28" x14ac:dyDescent="0.4">
      <c r="B246" s="11">
        <v>229</v>
      </c>
      <c r="C246" s="16">
        <f t="shared" si="13"/>
        <v>167.13757330916368</v>
      </c>
      <c r="D246" s="17">
        <f t="shared" si="15"/>
        <v>185.70841478795964</v>
      </c>
      <c r="E246" s="17">
        <f t="shared" si="14"/>
        <v>204.2792562667556</v>
      </c>
      <c r="F246" s="2">
        <v>183.78039999999999</v>
      </c>
      <c r="G246" s="2" t="str">
        <f t="shared" si="12"/>
        <v>Pass</v>
      </c>
      <c r="Y246" s="2">
        <v>231</v>
      </c>
      <c r="Z246" s="2">
        <v>0.31419999999999998</v>
      </c>
      <c r="AA246" s="2">
        <v>0.33160000000000001</v>
      </c>
      <c r="AB246" s="2">
        <v>187.20760000000001</v>
      </c>
    </row>
    <row r="247" spans="2:28" x14ac:dyDescent="0.4">
      <c r="B247" s="11">
        <v>230</v>
      </c>
      <c r="C247" s="16">
        <f t="shared" si="13"/>
        <v>168.7456113987291</v>
      </c>
      <c r="D247" s="17">
        <f t="shared" si="15"/>
        <v>187.49512377636566</v>
      </c>
      <c r="E247" s="17">
        <f t="shared" si="14"/>
        <v>206.24463615400222</v>
      </c>
      <c r="F247" s="2">
        <v>185.2261</v>
      </c>
      <c r="G247" s="2" t="str">
        <f t="shared" si="12"/>
        <v>Pass</v>
      </c>
      <c r="Y247" s="2">
        <v>232</v>
      </c>
      <c r="Z247" s="2">
        <v>0.31419999999999998</v>
      </c>
      <c r="AA247" s="2">
        <v>0.33160000000000001</v>
      </c>
      <c r="AB247" s="2">
        <v>189.3331</v>
      </c>
    </row>
    <row r="248" spans="2:28" x14ac:dyDescent="0.4">
      <c r="B248" s="11">
        <v>231</v>
      </c>
      <c r="C248" s="16">
        <f t="shared" si="13"/>
        <v>170.36205151804842</v>
      </c>
      <c r="D248" s="17">
        <f t="shared" si="15"/>
        <v>189.29116835338712</v>
      </c>
      <c r="E248" s="17">
        <f t="shared" si="14"/>
        <v>208.22028518872582</v>
      </c>
      <c r="F248" s="2">
        <v>187.20760000000001</v>
      </c>
      <c r="G248" s="2" t="str">
        <f t="shared" si="12"/>
        <v>Pass</v>
      </c>
      <c r="Y248" s="2">
        <v>233</v>
      </c>
      <c r="Z248" s="2">
        <v>0.31409999999999999</v>
      </c>
      <c r="AA248" s="2">
        <v>0.33150000000000002</v>
      </c>
      <c r="AB248" s="2">
        <v>190.9014</v>
      </c>
    </row>
    <row r="249" spans="2:28" x14ac:dyDescent="0.4">
      <c r="B249" s="11">
        <v>232</v>
      </c>
      <c r="C249" s="16">
        <f t="shared" si="13"/>
        <v>171.98690095223199</v>
      </c>
      <c r="D249" s="17">
        <f t="shared" si="15"/>
        <v>191.0965566135911</v>
      </c>
      <c r="E249" s="17">
        <f t="shared" si="14"/>
        <v>210.20621227495022</v>
      </c>
      <c r="F249" s="2">
        <v>189.3331</v>
      </c>
      <c r="G249" s="2" t="str">
        <f t="shared" si="12"/>
        <v>Pass</v>
      </c>
      <c r="Y249" s="2">
        <v>234</v>
      </c>
      <c r="Z249" s="2">
        <v>0.31419999999999998</v>
      </c>
      <c r="AA249" s="2">
        <v>0.33160000000000001</v>
      </c>
      <c r="AB249" s="2">
        <v>193.05930000000001</v>
      </c>
    </row>
    <row r="250" spans="2:28" x14ac:dyDescent="0.4">
      <c r="B250" s="11">
        <v>233</v>
      </c>
      <c r="C250" s="16">
        <f t="shared" si="13"/>
        <v>173.6201669612324</v>
      </c>
      <c r="D250" s="17">
        <f t="shared" si="15"/>
        <v>192.91129662359157</v>
      </c>
      <c r="E250" s="17">
        <f t="shared" si="14"/>
        <v>212.20242628595074</v>
      </c>
      <c r="F250" s="2">
        <v>190.9014</v>
      </c>
      <c r="G250" s="2" t="str">
        <f t="shared" si="12"/>
        <v>Pass</v>
      </c>
      <c r="Y250" s="2">
        <v>235</v>
      </c>
      <c r="Z250" s="2">
        <v>0.31409999999999999</v>
      </c>
      <c r="AA250" s="2">
        <v>0.33150000000000002</v>
      </c>
      <c r="AB250" s="2">
        <v>194.66630000000001</v>
      </c>
    </row>
    <row r="251" spans="2:28" x14ac:dyDescent="0.4">
      <c r="B251" s="11">
        <v>234</v>
      </c>
      <c r="C251" s="16">
        <f t="shared" si="13"/>
        <v>175.26185678003921</v>
      </c>
      <c r="D251" s="17">
        <f t="shared" si="15"/>
        <v>194.73539642226578</v>
      </c>
      <c r="E251" s="17">
        <f t="shared" si="14"/>
        <v>214.20893606449235</v>
      </c>
      <c r="F251" s="2">
        <v>193.05930000000001</v>
      </c>
      <c r="G251" s="2" t="str">
        <f t="shared" si="12"/>
        <v>Pass</v>
      </c>
      <c r="Y251" s="2">
        <v>236</v>
      </c>
      <c r="Z251" s="2">
        <v>0.314</v>
      </c>
      <c r="AA251" s="2">
        <v>0.33139999999999997</v>
      </c>
      <c r="AB251" s="2">
        <v>196.28200000000001</v>
      </c>
    </row>
    <row r="252" spans="2:28" x14ac:dyDescent="0.4">
      <c r="B252" s="11">
        <v>235</v>
      </c>
      <c r="C252" s="16">
        <f t="shared" si="13"/>
        <v>176.91197761887099</v>
      </c>
      <c r="D252" s="17">
        <f t="shared" si="15"/>
        <v>196.56886402096777</v>
      </c>
      <c r="E252" s="17">
        <f t="shared" si="14"/>
        <v>216.22575042306454</v>
      </c>
      <c r="F252" s="2">
        <v>194.66630000000001</v>
      </c>
      <c r="G252" s="2" t="str">
        <f t="shared" si="12"/>
        <v>Pass</v>
      </c>
      <c r="Y252" s="2">
        <v>237</v>
      </c>
      <c r="Z252" s="2">
        <v>0.31430000000000002</v>
      </c>
      <c r="AA252" s="2">
        <v>0.33260000000000001</v>
      </c>
      <c r="AB252" s="2">
        <v>199.4649</v>
      </c>
    </row>
    <row r="253" spans="2:28" x14ac:dyDescent="0.4">
      <c r="B253" s="11">
        <v>236</v>
      </c>
      <c r="C253" s="16">
        <f t="shared" si="13"/>
        <v>178.57053666336577</v>
      </c>
      <c r="D253" s="17">
        <f t="shared" si="15"/>
        <v>198.41170740373974</v>
      </c>
      <c r="E253" s="17">
        <f t="shared" si="14"/>
        <v>218.25287814411371</v>
      </c>
      <c r="F253" s="2">
        <v>196.28200000000001</v>
      </c>
      <c r="G253" s="2" t="str">
        <f t="shared" si="12"/>
        <v>Pass</v>
      </c>
      <c r="Y253" s="2">
        <v>238</v>
      </c>
      <c r="Z253" s="2">
        <v>0.31440000000000001</v>
      </c>
      <c r="AA253" s="2">
        <v>0.3327</v>
      </c>
      <c r="AB253" s="2">
        <v>201.46029999999999</v>
      </c>
    </row>
    <row r="254" spans="2:28" x14ac:dyDescent="0.4">
      <c r="B254" s="11">
        <v>237</v>
      </c>
      <c r="C254" s="16">
        <f t="shared" si="13"/>
        <v>180.23754107476833</v>
      </c>
      <c r="D254" s="17">
        <f t="shared" si="15"/>
        <v>200.26393452752038</v>
      </c>
      <c r="E254" s="17">
        <f t="shared" si="14"/>
        <v>220.29032798027242</v>
      </c>
      <c r="F254" s="2">
        <v>199.4649</v>
      </c>
      <c r="G254" s="2" t="str">
        <f t="shared" si="12"/>
        <v>Pass</v>
      </c>
      <c r="Y254" s="2">
        <v>239</v>
      </c>
      <c r="Z254" s="2">
        <v>0.31440000000000001</v>
      </c>
      <c r="AA254" s="2">
        <v>0.33289999999999997</v>
      </c>
      <c r="AB254" s="2">
        <v>203.01570000000001</v>
      </c>
    </row>
    <row r="255" spans="2:28" x14ac:dyDescent="0.4">
      <c r="B255" s="11">
        <v>238</v>
      </c>
      <c r="C255" s="16">
        <f t="shared" si="13"/>
        <v>181.91299799011617</v>
      </c>
      <c r="D255" s="17">
        <f t="shared" si="15"/>
        <v>202.12555332235129</v>
      </c>
      <c r="E255" s="17">
        <f t="shared" si="14"/>
        <v>222.33810865458642</v>
      </c>
      <c r="F255" s="2">
        <v>201.46029999999999</v>
      </c>
      <c r="G255" s="2" t="str">
        <f t="shared" si="12"/>
        <v>Pass</v>
      </c>
      <c r="Y255" s="2">
        <v>240</v>
      </c>
      <c r="Z255" s="2">
        <v>0.31480000000000002</v>
      </c>
      <c r="AA255" s="2">
        <v>0.33239999999999997</v>
      </c>
      <c r="AB255" s="2">
        <v>205.0992</v>
      </c>
    </row>
    <row r="256" spans="2:28" x14ac:dyDescent="0.4">
      <c r="B256" s="11">
        <v>239</v>
      </c>
      <c r="C256" s="16">
        <f t="shared" si="13"/>
        <v>183.59691452242234</v>
      </c>
      <c r="D256" s="17">
        <f t="shared" si="15"/>
        <v>203.99657169158039</v>
      </c>
      <c r="E256" s="17">
        <f t="shared" si="14"/>
        <v>224.39622886073843</v>
      </c>
      <c r="F256" s="2">
        <v>203.01570000000001</v>
      </c>
      <c r="G256" s="2" t="str">
        <f t="shared" si="12"/>
        <v>Pass</v>
      </c>
      <c r="Y256" s="2">
        <v>241</v>
      </c>
      <c r="Z256" s="2">
        <v>0.31380000000000002</v>
      </c>
      <c r="AA256" s="2">
        <v>0.33110000000000001</v>
      </c>
      <c r="AB256" s="2">
        <v>207.27070000000001</v>
      </c>
    </row>
    <row r="257" spans="2:28" x14ac:dyDescent="0.4">
      <c r="B257" s="11">
        <v>240</v>
      </c>
      <c r="C257" s="16">
        <f t="shared" si="13"/>
        <v>185.28929776085715</v>
      </c>
      <c r="D257" s="17">
        <f t="shared" si="15"/>
        <v>205.8769975120635</v>
      </c>
      <c r="E257" s="17">
        <f t="shared" si="14"/>
        <v>226.46469726326984</v>
      </c>
      <c r="F257" s="2">
        <v>205.0992</v>
      </c>
      <c r="G257" s="2" t="str">
        <f t="shared" si="12"/>
        <v>Pass</v>
      </c>
      <c r="Y257" s="2">
        <v>242</v>
      </c>
      <c r="Z257" s="2">
        <v>0.31390000000000001</v>
      </c>
      <c r="AA257" s="2">
        <v>0.33100000000000002</v>
      </c>
      <c r="AB257" s="2">
        <v>208.93270000000001</v>
      </c>
    </row>
    <row r="258" spans="2:28" x14ac:dyDescent="0.4">
      <c r="B258" s="11">
        <v>241</v>
      </c>
      <c r="C258" s="16">
        <f t="shared" si="13"/>
        <v>186.99015477092695</v>
      </c>
      <c r="D258" s="17">
        <f t="shared" si="15"/>
        <v>207.7668386343633</v>
      </c>
      <c r="E258" s="17">
        <f t="shared" si="14"/>
        <v>228.54352249779964</v>
      </c>
      <c r="F258" s="2">
        <v>207.27070000000001</v>
      </c>
      <c r="G258" s="2" t="str">
        <f t="shared" si="12"/>
        <v>Pass</v>
      </c>
      <c r="Y258" s="2">
        <v>243</v>
      </c>
      <c r="Z258" s="2">
        <v>0.31380000000000002</v>
      </c>
      <c r="AA258" s="2">
        <v>0.33079999999999998</v>
      </c>
      <c r="AB258" s="2">
        <v>211.0444</v>
      </c>
    </row>
    <row r="259" spans="2:28" x14ac:dyDescent="0.4">
      <c r="B259" s="11">
        <v>242</v>
      </c>
      <c r="C259" s="16">
        <f t="shared" si="13"/>
        <v>188.69949259465119</v>
      </c>
      <c r="D259" s="17">
        <f t="shared" si="15"/>
        <v>209.66610288294575</v>
      </c>
      <c r="E259" s="17">
        <f t="shared" si="14"/>
        <v>230.63271317124031</v>
      </c>
      <c r="F259" s="2">
        <v>208.93270000000001</v>
      </c>
      <c r="G259" s="2" t="str">
        <f t="shared" si="12"/>
        <v>Pass</v>
      </c>
      <c r="Y259" s="2">
        <v>244</v>
      </c>
      <c r="Z259" s="2">
        <v>0.31359999999999999</v>
      </c>
      <c r="AA259" s="2">
        <v>0.33069999999999999</v>
      </c>
      <c r="AB259" s="2">
        <v>212.5232</v>
      </c>
    </row>
    <row r="260" spans="2:28" x14ac:dyDescent="0.4">
      <c r="B260" s="11">
        <v>243</v>
      </c>
      <c r="C260" s="16">
        <f t="shared" si="13"/>
        <v>190.41731825073731</v>
      </c>
      <c r="D260" s="17">
        <f t="shared" si="15"/>
        <v>211.57479805637479</v>
      </c>
      <c r="E260" s="17">
        <f t="shared" si="14"/>
        <v>232.73227786201227</v>
      </c>
      <c r="F260" s="2">
        <v>211.0444</v>
      </c>
      <c r="G260" s="2" t="str">
        <f t="shared" si="12"/>
        <v>Pass</v>
      </c>
      <c r="Y260" s="2">
        <v>245</v>
      </c>
      <c r="Z260" s="2">
        <v>0.31319999999999998</v>
      </c>
      <c r="AA260" s="2">
        <v>0.33050000000000002</v>
      </c>
      <c r="AB260" s="2">
        <v>214.33099999999999</v>
      </c>
    </row>
    <row r="261" spans="2:28" x14ac:dyDescent="0.4">
      <c r="B261" s="11">
        <v>244</v>
      </c>
      <c r="C261" s="16">
        <f t="shared" si="13"/>
        <v>192.14363873475378</v>
      </c>
      <c r="D261" s="17">
        <f t="shared" si="15"/>
        <v>213.4929319275042</v>
      </c>
      <c r="E261" s="17">
        <f t="shared" si="14"/>
        <v>234.84222512025462</v>
      </c>
      <c r="F261" s="2">
        <v>212.5232</v>
      </c>
      <c r="G261" s="2" t="str">
        <f t="shared" si="12"/>
        <v>Pass</v>
      </c>
      <c r="Y261" s="2">
        <v>246</v>
      </c>
      <c r="Z261" s="2">
        <v>0.31290000000000001</v>
      </c>
      <c r="AA261" s="2">
        <v>0.33129999999999998</v>
      </c>
      <c r="AB261" s="2">
        <v>217.22790000000001</v>
      </c>
    </row>
    <row r="262" spans="2:28" x14ac:dyDescent="0.4">
      <c r="B262" s="11">
        <v>245</v>
      </c>
      <c r="C262" s="16">
        <f t="shared" si="13"/>
        <v>193.87846101930091</v>
      </c>
      <c r="D262" s="17">
        <f t="shared" si="15"/>
        <v>215.4205122436677</v>
      </c>
      <c r="E262" s="17">
        <f t="shared" si="14"/>
        <v>236.96256346803449</v>
      </c>
      <c r="F262" s="2">
        <v>214.33099999999999</v>
      </c>
      <c r="G262" s="2" t="str">
        <f t="shared" si="12"/>
        <v>Pass</v>
      </c>
      <c r="Y262" s="2">
        <v>247</v>
      </c>
      <c r="Z262" s="2">
        <v>0.3125</v>
      </c>
      <c r="AA262" s="2">
        <v>0.33090000000000003</v>
      </c>
      <c r="AB262" s="2">
        <v>218.65889999999999</v>
      </c>
    </row>
    <row r="263" spans="2:28" x14ac:dyDescent="0.4">
      <c r="B263" s="11">
        <v>246</v>
      </c>
      <c r="C263" s="16">
        <f t="shared" si="13"/>
        <v>195.62179205418002</v>
      </c>
      <c r="D263" s="17">
        <f t="shared" si="15"/>
        <v>217.3575467268667</v>
      </c>
      <c r="E263" s="17">
        <f t="shared" si="14"/>
        <v>239.09330139955338</v>
      </c>
      <c r="F263" s="2">
        <v>217.22790000000001</v>
      </c>
      <c r="G263" s="2" t="str">
        <f t="shared" si="12"/>
        <v>Pass</v>
      </c>
      <c r="Y263" s="2">
        <v>248</v>
      </c>
      <c r="Z263" s="2">
        <v>0.3125</v>
      </c>
      <c r="AA263" s="2">
        <v>0.33050000000000002</v>
      </c>
      <c r="AB263" s="2">
        <v>220.3655</v>
      </c>
    </row>
    <row r="264" spans="2:28" x14ac:dyDescent="0.4">
      <c r="B264" s="11">
        <v>247</v>
      </c>
      <c r="C264" s="16">
        <f t="shared" si="13"/>
        <v>197.37363876656011</v>
      </c>
      <c r="D264" s="17">
        <f t="shared" si="15"/>
        <v>219.30404307395568</v>
      </c>
      <c r="E264" s="17">
        <f t="shared" si="14"/>
        <v>241.23444738135126</v>
      </c>
      <c r="F264" s="2">
        <v>218.65889999999999</v>
      </c>
      <c r="G264" s="2" t="str">
        <f t="shared" si="12"/>
        <v>Pass</v>
      </c>
      <c r="Y264" s="2">
        <v>249</v>
      </c>
      <c r="Z264" s="2">
        <v>0.31259999999999999</v>
      </c>
      <c r="AA264" s="2">
        <v>0.3301</v>
      </c>
      <c r="AB264" s="2">
        <v>222.31460000000001</v>
      </c>
    </row>
    <row r="265" spans="2:28" x14ac:dyDescent="0.4">
      <c r="B265" s="11">
        <v>248</v>
      </c>
      <c r="C265" s="16">
        <f t="shared" si="13"/>
        <v>199.13400806114345</v>
      </c>
      <c r="D265" s="17">
        <f t="shared" si="15"/>
        <v>221.26000895682606</v>
      </c>
      <c r="E265" s="17">
        <f t="shared" si="14"/>
        <v>243.38600985250866</v>
      </c>
      <c r="F265" s="2">
        <v>220.3655</v>
      </c>
      <c r="G265" s="2" t="str">
        <f t="shared" si="12"/>
        <v>Pass</v>
      </c>
      <c r="Y265" s="2">
        <v>250</v>
      </c>
      <c r="Z265" s="2">
        <v>0.31269999999999998</v>
      </c>
      <c r="AA265" s="2">
        <v>0.32990000000000003</v>
      </c>
      <c r="AB265" s="2">
        <v>223.80719999999999</v>
      </c>
    </row>
    <row r="266" spans="2:28" x14ac:dyDescent="0.4">
      <c r="B266" s="11">
        <v>249</v>
      </c>
      <c r="C266" s="16">
        <f t="shared" si="13"/>
        <v>200.90290682032864</v>
      </c>
      <c r="D266" s="17">
        <f t="shared" si="15"/>
        <v>223.22545202258738</v>
      </c>
      <c r="E266" s="17">
        <f t="shared" si="14"/>
        <v>245.54799722484611</v>
      </c>
      <c r="F266" s="2">
        <v>222.31460000000001</v>
      </c>
      <c r="G266" s="2" t="str">
        <f t="shared" si="12"/>
        <v>Pass</v>
      </c>
      <c r="Y266" s="2">
        <v>251</v>
      </c>
      <c r="Z266" s="2">
        <v>0.31319999999999998</v>
      </c>
      <c r="AA266" s="2">
        <v>0.32950000000000002</v>
      </c>
      <c r="AB266" s="2">
        <v>226.05510000000001</v>
      </c>
    </row>
    <row r="267" spans="2:28" x14ac:dyDescent="0.4">
      <c r="B267" s="11">
        <v>250</v>
      </c>
      <c r="C267" s="16">
        <f t="shared" si="13"/>
        <v>202.68034190437209</v>
      </c>
      <c r="D267" s="17">
        <f t="shared" si="15"/>
        <v>225.20037989374677</v>
      </c>
      <c r="E267" s="17">
        <f t="shared" si="14"/>
        <v>247.72041788312146</v>
      </c>
      <c r="F267" s="2">
        <v>223.80719999999999</v>
      </c>
      <c r="G267" s="2" t="str">
        <f t="shared" si="12"/>
        <v>Pass</v>
      </c>
      <c r="Y267" s="2">
        <v>252</v>
      </c>
      <c r="Z267" s="2">
        <v>0.3135</v>
      </c>
      <c r="AA267" s="2">
        <v>0.32919999999999999</v>
      </c>
      <c r="AB267" s="2">
        <v>227.56389999999999</v>
      </c>
    </row>
    <row r="268" spans="2:28" x14ac:dyDescent="0.4">
      <c r="B268" s="11">
        <v>251</v>
      </c>
      <c r="C268" s="16">
        <f t="shared" si="13"/>
        <v>204.46632015154773</v>
      </c>
      <c r="D268" s="17">
        <f t="shared" si="15"/>
        <v>227.18480016838637</v>
      </c>
      <c r="E268" s="17">
        <f t="shared" si="14"/>
        <v>249.90328018522501</v>
      </c>
      <c r="F268" s="2">
        <v>226.05510000000001</v>
      </c>
      <c r="G268" s="2" t="str">
        <f t="shared" si="12"/>
        <v>Pass</v>
      </c>
      <c r="Y268" s="2">
        <v>253</v>
      </c>
      <c r="Z268" s="2">
        <v>0.3135</v>
      </c>
      <c r="AA268" s="2">
        <v>0.32869999999999999</v>
      </c>
      <c r="AB268" s="2">
        <v>229.01840000000001</v>
      </c>
    </row>
    <row r="269" spans="2:28" x14ac:dyDescent="0.4">
      <c r="B269" s="11">
        <v>252</v>
      </c>
      <c r="C269" s="16">
        <f t="shared" si="13"/>
        <v>206.26084837830479</v>
      </c>
      <c r="D269" s="17">
        <f t="shared" si="15"/>
        <v>229.17872042033864</v>
      </c>
      <c r="E269" s="17">
        <f t="shared" si="14"/>
        <v>252.09659246237248</v>
      </c>
      <c r="F269" s="2">
        <v>227.56389999999999</v>
      </c>
      <c r="G269" s="2" t="str">
        <f t="shared" si="12"/>
        <v>Pass</v>
      </c>
      <c r="Y269" s="2">
        <v>254</v>
      </c>
      <c r="Z269" s="2">
        <v>0.31319999999999998</v>
      </c>
      <c r="AA269" s="2">
        <v>0.32950000000000002</v>
      </c>
      <c r="AB269" s="2">
        <v>232.75739999999999</v>
      </c>
    </row>
    <row r="270" spans="2:28" x14ac:dyDescent="0.4">
      <c r="B270" s="11">
        <v>253</v>
      </c>
      <c r="C270" s="16">
        <f t="shared" si="13"/>
        <v>208.06393337942382</v>
      </c>
      <c r="D270" s="17">
        <f t="shared" si="15"/>
        <v>231.1821481993598</v>
      </c>
      <c r="E270" s="17">
        <f t="shared" si="14"/>
        <v>254.30036301929579</v>
      </c>
      <c r="F270" s="2">
        <v>229.01840000000001</v>
      </c>
      <c r="G270" s="2" t="str">
        <f t="shared" si="12"/>
        <v>Pass</v>
      </c>
      <c r="Y270" s="2">
        <v>255</v>
      </c>
      <c r="Z270" s="2">
        <v>0.3125</v>
      </c>
      <c r="AA270" s="2">
        <v>0.3291</v>
      </c>
      <c r="AB270" s="2">
        <v>234.68270000000001</v>
      </c>
    </row>
    <row r="271" spans="2:28" x14ac:dyDescent="0.4">
      <c r="B271" s="11">
        <v>254</v>
      </c>
      <c r="C271" s="16">
        <f t="shared" si="13"/>
        <v>209.87558192817136</v>
      </c>
      <c r="D271" s="17">
        <f t="shared" si="15"/>
        <v>233.1950910313015</v>
      </c>
      <c r="E271" s="17">
        <f t="shared" si="14"/>
        <v>256.51460013443165</v>
      </c>
      <c r="F271" s="2">
        <v>232.75739999999999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30</v>
      </c>
    </row>
    <row r="272" spans="2:28" x14ac:dyDescent="0.4">
      <c r="B272" s="11">
        <v>255</v>
      </c>
      <c r="C272" s="16">
        <f t="shared" si="13"/>
        <v>211.21442999999999</v>
      </c>
      <c r="D272" s="18">
        <f>C12</f>
        <v>234.68270000000001</v>
      </c>
      <c r="E272" s="17">
        <f t="shared" si="14"/>
        <v>258.15097000000003</v>
      </c>
      <c r="F272" s="2">
        <v>234.68270000000001</v>
      </c>
      <c r="G272" s="2" t="str">
        <f t="shared" si="12"/>
        <v>Pass</v>
      </c>
    </row>
  </sheetData>
  <protectedRanges>
    <protectedRange password="EBF1" sqref="C2:D2 C4:D4" name="範圍1"/>
    <protectedRange password="EBF1" sqref="C11:C13" name="範圍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15" priority="1" operator="equal">
      <formula>"Fail"</formula>
    </cfRule>
    <cfRule type="cellIs" dxfId="14" priority="2" operator="equal">
      <formula>"Pass"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30E9-A709-4B5F-B2A8-3193FCBA327D}">
  <dimension ref="B2:AB272"/>
  <sheetViews>
    <sheetView topLeftCell="A14" zoomScale="70" zoomScaleNormal="70" workbookViewId="0">
      <selection activeCell="S11" sqref="S10:S11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45736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0.26900000000000002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234.9845</v>
      </c>
      <c r="D12" s="4" t="s">
        <v>9</v>
      </c>
      <c r="E12" s="4"/>
      <c r="Y12" s="9" t="s">
        <v>33</v>
      </c>
    </row>
    <row r="13" spans="2:28" x14ac:dyDescent="0.4">
      <c r="B13" s="1" t="s">
        <v>11</v>
      </c>
      <c r="C13" s="8">
        <v>2.6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0.27539999999999998</v>
      </c>
      <c r="AA15" s="2">
        <v>0.28070000000000001</v>
      </c>
      <c r="AB15" s="2">
        <v>0.26900000000000002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0.2752</v>
      </c>
      <c r="AA16" s="2">
        <v>0.28120000000000001</v>
      </c>
      <c r="AB16" s="2">
        <v>0.26929999999999998</v>
      </c>
    </row>
    <row r="17" spans="2:28" ht="17.5" thickTop="1" x14ac:dyDescent="0.4">
      <c r="B17" s="11">
        <v>0</v>
      </c>
      <c r="C17" s="16">
        <f>D17-D17*(C$14/100)</f>
        <v>3.85152911058257E-6</v>
      </c>
      <c r="D17" s="17">
        <f>D$272*((B17+F$17)/B$272)^C$13</f>
        <v>4.2794767895361886E-6</v>
      </c>
      <c r="E17" s="17">
        <f>D17+D17*(C$14/100)</f>
        <v>4.7074244684898072E-6</v>
      </c>
      <c r="F17" s="2">
        <v>0.26900000000000002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0.27489999999999998</v>
      </c>
      <c r="AA17" s="2">
        <v>0.28120000000000001</v>
      </c>
      <c r="AB17" s="2">
        <v>0.26889999999999997</v>
      </c>
    </row>
    <row r="18" spans="2:28" x14ac:dyDescent="0.4">
      <c r="B18" s="11">
        <v>1</v>
      </c>
      <c r="C18" s="16">
        <f t="shared" ref="C18:C81" si="1">D18-D18*(C$14/100)</f>
        <v>2.1740897781257927E-4</v>
      </c>
      <c r="D18" s="17">
        <f>D$272*((B18+F$17)/B$272)^C$13</f>
        <v>2.4156553090286587E-4</v>
      </c>
      <c r="E18" s="17">
        <f t="shared" ref="E18:E81" si="2">D18+D18*(C$14/100)</f>
        <v>2.6572208399315247E-4</v>
      </c>
      <c r="F18" s="2">
        <v>0.26929999999999998</v>
      </c>
      <c r="G18" s="2" t="str">
        <f t="shared" si="0"/>
        <v>Fail</v>
      </c>
      <c r="Y18" s="2">
        <v>3</v>
      </c>
      <c r="Z18" s="2">
        <v>0.27400000000000002</v>
      </c>
      <c r="AA18" s="2">
        <v>0.28149999999999997</v>
      </c>
      <c r="AB18" s="2">
        <v>0.26869999999999999</v>
      </c>
    </row>
    <row r="19" spans="2:28" x14ac:dyDescent="0.4">
      <c r="B19" s="11">
        <v>2</v>
      </c>
      <c r="C19" s="16">
        <f t="shared" si="1"/>
        <v>9.8502430351858974E-4</v>
      </c>
      <c r="D19" s="17">
        <f t="shared" ref="D19:D82" si="3">D$272*((B19+F$17)/B$272)^C$13</f>
        <v>1.0944714483539886E-3</v>
      </c>
      <c r="E19" s="17">
        <f t="shared" si="2"/>
        <v>1.2039185931893874E-3</v>
      </c>
      <c r="F19" s="2">
        <v>0.26889999999999997</v>
      </c>
      <c r="G19" s="2" t="str">
        <f t="shared" si="0"/>
        <v>Fail</v>
      </c>
      <c r="Y19" s="2">
        <v>4</v>
      </c>
      <c r="Z19" s="2">
        <v>0.2802</v>
      </c>
      <c r="AA19" s="2">
        <v>0.28610000000000002</v>
      </c>
      <c r="AB19" s="2">
        <v>0.28039999999999998</v>
      </c>
    </row>
    <row r="20" spans="2:28" x14ac:dyDescent="0.4">
      <c r="B20" s="11">
        <v>3</v>
      </c>
      <c r="C20" s="16">
        <f t="shared" si="1"/>
        <v>2.5454000610591748E-3</v>
      </c>
      <c r="D20" s="17">
        <f t="shared" si="3"/>
        <v>2.8282222900657497E-3</v>
      </c>
      <c r="E20" s="17">
        <f t="shared" si="2"/>
        <v>3.1110445190723245E-3</v>
      </c>
      <c r="F20" s="2">
        <v>0.26869999999999999</v>
      </c>
      <c r="G20" s="2" t="str">
        <f t="shared" si="0"/>
        <v>Fail</v>
      </c>
      <c r="Y20" s="2">
        <v>5</v>
      </c>
      <c r="Z20" s="2">
        <v>0.27739999999999998</v>
      </c>
      <c r="AA20" s="2">
        <v>0.28249999999999997</v>
      </c>
      <c r="AB20" s="2">
        <v>0.28199999999999997</v>
      </c>
    </row>
    <row r="21" spans="2:28" x14ac:dyDescent="0.4">
      <c r="B21" s="11">
        <v>4</v>
      </c>
      <c r="C21" s="16">
        <f t="shared" si="1"/>
        <v>5.094777934051933E-3</v>
      </c>
      <c r="D21" s="17">
        <f t="shared" si="3"/>
        <v>5.6608643711688143E-3</v>
      </c>
      <c r="E21" s="17">
        <f t="shared" si="2"/>
        <v>6.2269508082856955E-3</v>
      </c>
      <c r="F21" s="2">
        <v>0.28039999999999998</v>
      </c>
      <c r="G21" s="2" t="str">
        <f t="shared" si="0"/>
        <v>Fail</v>
      </c>
      <c r="Y21" s="2">
        <v>6</v>
      </c>
      <c r="Z21" s="2">
        <v>0.27639999999999998</v>
      </c>
      <c r="AA21" s="2">
        <v>0.2828</v>
      </c>
      <c r="AB21" s="2">
        <v>0.28170000000000001</v>
      </c>
    </row>
    <row r="22" spans="2:28" x14ac:dyDescent="0.4">
      <c r="B22" s="11">
        <v>5</v>
      </c>
      <c r="C22" s="16">
        <f t="shared" si="1"/>
        <v>8.8058355960815519E-3</v>
      </c>
      <c r="D22" s="17">
        <f t="shared" si="3"/>
        <v>9.7842617734239471E-3</v>
      </c>
      <c r="E22" s="17">
        <f t="shared" si="2"/>
        <v>1.0762687950766342E-2</v>
      </c>
      <c r="F22" s="2">
        <v>0.28199999999999997</v>
      </c>
      <c r="G22" s="2" t="str">
        <f t="shared" si="0"/>
        <v>Fail</v>
      </c>
      <c r="Y22" s="2">
        <v>7</v>
      </c>
      <c r="Z22" s="2">
        <v>0.27979999999999999</v>
      </c>
      <c r="AA22" s="2">
        <v>0.29010000000000002</v>
      </c>
      <c r="AB22" s="2">
        <v>0.2979</v>
      </c>
    </row>
    <row r="23" spans="2:28" x14ac:dyDescent="0.4">
      <c r="B23" s="11">
        <v>6</v>
      </c>
      <c r="C23" s="16">
        <f t="shared" si="1"/>
        <v>1.3835433085918695E-2</v>
      </c>
      <c r="D23" s="17">
        <f t="shared" si="3"/>
        <v>1.537270342879855E-2</v>
      </c>
      <c r="E23" s="17">
        <f t="shared" si="2"/>
        <v>1.6909973771678403E-2</v>
      </c>
      <c r="F23" s="2">
        <v>0.28170000000000001</v>
      </c>
      <c r="G23" s="2" t="str">
        <f t="shared" si="0"/>
        <v>Fail</v>
      </c>
      <c r="Y23" s="2">
        <v>8</v>
      </c>
      <c r="Z23" s="2">
        <v>0.27600000000000002</v>
      </c>
      <c r="AA23" s="2">
        <v>0.2828</v>
      </c>
      <c r="AB23" s="2">
        <v>0.29809999999999998</v>
      </c>
    </row>
    <row r="24" spans="2:28" x14ac:dyDescent="0.4">
      <c r="B24" s="11">
        <v>7</v>
      </c>
      <c r="C24" s="16">
        <f t="shared" si="1"/>
        <v>2.0328783735190974E-2</v>
      </c>
      <c r="D24" s="17">
        <f t="shared" si="3"/>
        <v>2.2587537483545524E-2</v>
      </c>
      <c r="E24" s="17">
        <f t="shared" si="2"/>
        <v>2.4846291231900075E-2</v>
      </c>
      <c r="F24" s="2">
        <v>0.2979</v>
      </c>
      <c r="G24" s="2" t="str">
        <f t="shared" si="0"/>
        <v>Fail</v>
      </c>
      <c r="Y24" s="2">
        <v>9</v>
      </c>
      <c r="Z24" s="2">
        <v>0.27950000000000003</v>
      </c>
      <c r="AA24" s="2">
        <v>0.28999999999999998</v>
      </c>
      <c r="AB24" s="2">
        <v>0.31240000000000001</v>
      </c>
    </row>
    <row r="25" spans="2:28" x14ac:dyDescent="0.4">
      <c r="B25" s="11">
        <v>8</v>
      </c>
      <c r="C25" s="16">
        <f t="shared" si="1"/>
        <v>2.8422026216148637E-2</v>
      </c>
      <c r="D25" s="17">
        <f t="shared" si="3"/>
        <v>3.1580029129054041E-2</v>
      </c>
      <c r="E25" s="17">
        <f t="shared" si="2"/>
        <v>3.4738032041959445E-2</v>
      </c>
      <c r="F25" s="2">
        <v>0.29809999999999998</v>
      </c>
      <c r="G25" s="2" t="str">
        <f t="shared" si="0"/>
        <v>Fail</v>
      </c>
      <c r="Y25" s="2">
        <v>10</v>
      </c>
      <c r="Z25" s="2">
        <v>0.28050000000000003</v>
      </c>
      <c r="AA25" s="2">
        <v>0.28989999999999999</v>
      </c>
      <c r="AB25" s="2">
        <v>0.31280000000000002</v>
      </c>
    </row>
    <row r="26" spans="2:28" x14ac:dyDescent="0.4">
      <c r="B26" s="11">
        <v>9</v>
      </c>
      <c r="C26" s="16">
        <f t="shared" si="1"/>
        <v>3.8243950754566616E-2</v>
      </c>
      <c r="D26" s="17">
        <f t="shared" si="3"/>
        <v>4.2493278616185126E-2</v>
      </c>
      <c r="E26" s="17">
        <f t="shared" si="2"/>
        <v>4.6742606477803636E-2</v>
      </c>
      <c r="F26" s="2">
        <v>0.31240000000000001</v>
      </c>
      <c r="G26" s="2" t="str">
        <f t="shared" si="0"/>
        <v>Fail</v>
      </c>
      <c r="Y26" s="2">
        <v>11</v>
      </c>
      <c r="Z26" s="2">
        <v>0.2797</v>
      </c>
      <c r="AA26" s="2">
        <v>0.29020000000000001</v>
      </c>
      <c r="AB26" s="2">
        <v>0.32790000000000002</v>
      </c>
    </row>
    <row r="27" spans="2:28" x14ac:dyDescent="0.4">
      <c r="B27" s="11">
        <v>10</v>
      </c>
      <c r="C27" s="16">
        <f t="shared" si="1"/>
        <v>4.9917227606814017E-2</v>
      </c>
      <c r="D27" s="17">
        <f t="shared" si="3"/>
        <v>5.5463586229793353E-2</v>
      </c>
      <c r="E27" s="17">
        <f t="shared" si="2"/>
        <v>6.1009944852772689E-2</v>
      </c>
      <c r="F27" s="2">
        <v>0.31280000000000002</v>
      </c>
      <c r="G27" s="2" t="str">
        <f t="shared" si="0"/>
        <v>Fail</v>
      </c>
      <c r="Y27" s="2">
        <v>12</v>
      </c>
      <c r="Z27" s="2">
        <v>0.28000000000000003</v>
      </c>
      <c r="AA27" s="2">
        <v>0.28960000000000002</v>
      </c>
      <c r="AB27" s="2">
        <v>0.32750000000000001</v>
      </c>
    </row>
    <row r="28" spans="2:28" x14ac:dyDescent="0.4">
      <c r="B28" s="11">
        <v>11</v>
      </c>
      <c r="C28" s="16">
        <f t="shared" si="1"/>
        <v>6.3559319942687278E-2</v>
      </c>
      <c r="D28" s="17">
        <f t="shared" si="3"/>
        <v>7.0621466602985863E-2</v>
      </c>
      <c r="E28" s="17">
        <f t="shared" si="2"/>
        <v>7.7683613263284448E-2</v>
      </c>
      <c r="F28" s="2">
        <v>0.32790000000000002</v>
      </c>
      <c r="G28" s="2" t="str">
        <f t="shared" si="0"/>
        <v>Fail</v>
      </c>
      <c r="Y28" s="2">
        <v>13</v>
      </c>
      <c r="Z28" s="2">
        <v>0.27460000000000001</v>
      </c>
      <c r="AA28" s="2">
        <v>0.28939999999999999</v>
      </c>
      <c r="AB28" s="2">
        <v>0.35580000000000001</v>
      </c>
    </row>
    <row r="29" spans="2:28" x14ac:dyDescent="0.4">
      <c r="B29" s="11">
        <v>12</v>
      </c>
      <c r="C29" s="16">
        <f t="shared" si="1"/>
        <v>7.92831851789111E-2</v>
      </c>
      <c r="D29" s="17">
        <f t="shared" si="3"/>
        <v>8.8092427976567883E-2</v>
      </c>
      <c r="E29" s="17">
        <f t="shared" si="2"/>
        <v>9.6901670774224666E-2</v>
      </c>
      <c r="F29" s="2">
        <v>0.32750000000000001</v>
      </c>
      <c r="G29" s="2" t="str">
        <f t="shared" si="0"/>
        <v>Fail</v>
      </c>
      <c r="Y29" s="2">
        <v>14</v>
      </c>
      <c r="Z29" s="2">
        <v>0.27879999999999999</v>
      </c>
      <c r="AA29" s="2">
        <v>0.29270000000000002</v>
      </c>
      <c r="AB29" s="2">
        <v>0.36009999999999998</v>
      </c>
    </row>
    <row r="30" spans="2:28" x14ac:dyDescent="0.4">
      <c r="B30" s="11">
        <v>13</v>
      </c>
      <c r="C30" s="16">
        <f t="shared" si="1"/>
        <v>9.7197828246681411E-2</v>
      </c>
      <c r="D30" s="17">
        <f t="shared" si="3"/>
        <v>0.10799758694075712</v>
      </c>
      <c r="E30" s="17">
        <f t="shared" si="2"/>
        <v>0.11879734563483282</v>
      </c>
      <c r="F30" s="2">
        <v>0.35580000000000001</v>
      </c>
      <c r="G30" s="2" t="str">
        <f t="shared" si="0"/>
        <v>Fail</v>
      </c>
      <c r="Y30" s="2">
        <v>15</v>
      </c>
      <c r="Z30" s="2">
        <v>0.27460000000000001</v>
      </c>
      <c r="AA30" s="2">
        <v>0.2923</v>
      </c>
      <c r="AB30" s="2">
        <v>0.39040000000000002</v>
      </c>
    </row>
    <row r="31" spans="2:28" x14ac:dyDescent="0.4">
      <c r="B31" s="11">
        <v>14</v>
      </c>
      <c r="C31" s="16">
        <f t="shared" si="1"/>
        <v>0.11740874757757103</v>
      </c>
      <c r="D31" s="17">
        <f t="shared" si="3"/>
        <v>0.13045416397507892</v>
      </c>
      <c r="E31" s="17">
        <f t="shared" si="2"/>
        <v>0.14349958037258681</v>
      </c>
      <c r="F31" s="2">
        <v>0.36009999999999998</v>
      </c>
      <c r="G31" s="2" t="str">
        <f t="shared" si="0"/>
        <v>Fail</v>
      </c>
      <c r="Y31" s="2">
        <v>16</v>
      </c>
      <c r="Z31" s="2">
        <v>0.28139999999999998</v>
      </c>
      <c r="AA31" s="2">
        <v>0.29499999999999998</v>
      </c>
      <c r="AB31" s="2">
        <v>0.39050000000000001</v>
      </c>
    </row>
    <row r="32" spans="2:28" x14ac:dyDescent="0.4">
      <c r="B32" s="11">
        <v>15</v>
      </c>
      <c r="C32" s="16">
        <f t="shared" si="1"/>
        <v>0.14001830112090086</v>
      </c>
      <c r="D32" s="17">
        <f t="shared" si="3"/>
        <v>0.15557589013433429</v>
      </c>
      <c r="E32" s="17">
        <f t="shared" si="2"/>
        <v>0.17113347914776772</v>
      </c>
      <c r="F32" s="2">
        <v>0.39040000000000002</v>
      </c>
      <c r="G32" s="2" t="str">
        <f t="shared" si="0"/>
        <v>Fail</v>
      </c>
      <c r="Y32" s="2">
        <v>17</v>
      </c>
      <c r="Z32" s="2">
        <v>0.28299999999999997</v>
      </c>
      <c r="AA32" s="2">
        <v>0.30230000000000001</v>
      </c>
      <c r="AB32" s="2">
        <v>0.42109999999999997</v>
      </c>
    </row>
    <row r="33" spans="2:28" x14ac:dyDescent="0.4">
      <c r="B33" s="11">
        <v>16</v>
      </c>
      <c r="C33" s="16">
        <f t="shared" si="1"/>
        <v>0.1651260113214405</v>
      </c>
      <c r="D33" s="17">
        <f t="shared" si="3"/>
        <v>0.18347334591271167</v>
      </c>
      <c r="E33" s="17">
        <f t="shared" si="2"/>
        <v>0.20182068050398283</v>
      </c>
      <c r="F33" s="2">
        <v>0.39050000000000001</v>
      </c>
      <c r="G33" s="2" t="str">
        <f t="shared" si="0"/>
        <v>Fail</v>
      </c>
      <c r="Y33" s="2">
        <v>18</v>
      </c>
      <c r="Z33" s="2">
        <v>0.2838</v>
      </c>
      <c r="AA33" s="2">
        <v>0.29759999999999998</v>
      </c>
      <c r="AB33" s="2">
        <v>0.43180000000000002</v>
      </c>
    </row>
    <row r="34" spans="2:28" x14ac:dyDescent="0.4">
      <c r="B34" s="11">
        <v>17</v>
      </c>
      <c r="C34" s="16">
        <f t="shared" si="1"/>
        <v>0.19282882255845762</v>
      </c>
      <c r="D34" s="17">
        <f t="shared" si="3"/>
        <v>0.21425424728717515</v>
      </c>
      <c r="E34" s="17">
        <f t="shared" si="2"/>
        <v>0.23567967201589268</v>
      </c>
      <c r="F34" s="2">
        <v>0.42109999999999997</v>
      </c>
      <c r="G34" s="2" t="str">
        <f t="shared" si="0"/>
        <v>Fail</v>
      </c>
      <c r="Y34" s="2">
        <v>19</v>
      </c>
      <c r="Z34" s="2">
        <v>0.28960000000000002</v>
      </c>
      <c r="AA34" s="2">
        <v>0.30890000000000001</v>
      </c>
      <c r="AB34" s="2">
        <v>0.46479999999999999</v>
      </c>
    </row>
    <row r="35" spans="2:28" x14ac:dyDescent="0.4">
      <c r="B35" s="11">
        <v>18</v>
      </c>
      <c r="C35" s="16">
        <f t="shared" si="1"/>
        <v>0.22322132091460237</v>
      </c>
      <c r="D35" s="17">
        <f t="shared" si="3"/>
        <v>0.24802368990511375</v>
      </c>
      <c r="E35" s="17">
        <f t="shared" si="2"/>
        <v>0.27282605889562511</v>
      </c>
      <c r="F35" s="2">
        <v>0.43180000000000002</v>
      </c>
      <c r="G35" s="2" t="str">
        <f t="shared" si="0"/>
        <v>Fail</v>
      </c>
      <c r="Y35" s="2">
        <v>20</v>
      </c>
      <c r="Z35" s="2">
        <v>0.28560000000000002</v>
      </c>
      <c r="AA35" s="2">
        <v>0.2994</v>
      </c>
      <c r="AB35" s="2">
        <v>0.46400000000000002</v>
      </c>
    </row>
    <row r="36" spans="2:28" x14ac:dyDescent="0.4">
      <c r="B36" s="11">
        <v>19</v>
      </c>
      <c r="C36" s="16">
        <f t="shared" si="1"/>
        <v>0.25639592364206604</v>
      </c>
      <c r="D36" s="17">
        <f t="shared" si="3"/>
        <v>0.28488435960229558</v>
      </c>
      <c r="E36" s="17">
        <f t="shared" si="2"/>
        <v>0.31337279556252512</v>
      </c>
      <c r="F36" s="2">
        <v>0.46479999999999999</v>
      </c>
      <c r="G36" s="2" t="str">
        <f t="shared" si="0"/>
        <v>Fail</v>
      </c>
      <c r="Y36" s="2">
        <v>21</v>
      </c>
      <c r="Z36" s="2">
        <v>0.28489999999999999</v>
      </c>
      <c r="AA36" s="2">
        <v>0.3049</v>
      </c>
      <c r="AB36" s="2">
        <v>0.53210000000000002</v>
      </c>
    </row>
    <row r="37" spans="2:28" x14ac:dyDescent="0.4">
      <c r="B37" s="11">
        <v>20</v>
      </c>
      <c r="C37" s="16">
        <f t="shared" si="1"/>
        <v>0.29244304392861259</v>
      </c>
      <c r="D37" s="17">
        <f t="shared" si="3"/>
        <v>0.3249367154762362</v>
      </c>
      <c r="E37" s="17">
        <f t="shared" si="2"/>
        <v>0.35743038702385982</v>
      </c>
      <c r="F37" s="2">
        <v>0.46400000000000002</v>
      </c>
      <c r="G37" s="2" t="str">
        <f t="shared" si="0"/>
        <v>Fail</v>
      </c>
      <c r="Y37" s="2">
        <v>22</v>
      </c>
      <c r="Z37" s="2">
        <v>0.28710000000000002</v>
      </c>
      <c r="AA37" s="2">
        <v>0.31369999999999998</v>
      </c>
      <c r="AB37" s="2">
        <v>0.56940000000000002</v>
      </c>
    </row>
    <row r="38" spans="2:28" x14ac:dyDescent="0.4">
      <c r="B38" s="11">
        <v>21</v>
      </c>
      <c r="C38" s="16">
        <f t="shared" si="1"/>
        <v>0.33145123529368931</v>
      </c>
      <c r="D38" s="17">
        <f t="shared" si="3"/>
        <v>0.36827915032632147</v>
      </c>
      <c r="E38" s="17">
        <f t="shared" si="2"/>
        <v>0.40510706535895363</v>
      </c>
      <c r="F38" s="2">
        <v>0.53210000000000002</v>
      </c>
      <c r="G38" s="2" t="str">
        <f t="shared" si="0"/>
        <v>Fail</v>
      </c>
      <c r="Y38" s="2">
        <v>23</v>
      </c>
      <c r="Z38" s="2">
        <v>0.28789999999999999</v>
      </c>
      <c r="AA38" s="2">
        <v>0.307</v>
      </c>
      <c r="AB38" s="2">
        <v>0.58860000000000001</v>
      </c>
    </row>
    <row r="39" spans="2:28" x14ac:dyDescent="0.4">
      <c r="B39" s="11">
        <v>22</v>
      </c>
      <c r="C39" s="16">
        <f t="shared" si="1"/>
        <v>0.37350731900991258</v>
      </c>
      <c r="D39" s="17">
        <f t="shared" si="3"/>
        <v>0.41500813223323618</v>
      </c>
      <c r="E39" s="17">
        <f t="shared" si="2"/>
        <v>0.45650894545655979</v>
      </c>
      <c r="F39" s="2">
        <v>0.56940000000000002</v>
      </c>
      <c r="G39" s="2" t="str">
        <f t="shared" si="0"/>
        <v>Fail</v>
      </c>
      <c r="Y39" s="2">
        <v>24</v>
      </c>
      <c r="Z39" s="2">
        <v>0.29530000000000001</v>
      </c>
      <c r="AA39" s="2">
        <v>0.32119999999999999</v>
      </c>
      <c r="AB39" s="2">
        <v>0.64559999999999995</v>
      </c>
    </row>
    <row r="40" spans="2:28" x14ac:dyDescent="0.4">
      <c r="B40" s="11">
        <v>23</v>
      </c>
      <c r="C40" s="16">
        <f t="shared" si="1"/>
        <v>0.41869649724660207</v>
      </c>
      <c r="D40" s="17">
        <f t="shared" si="3"/>
        <v>0.46521833027400228</v>
      </c>
      <c r="E40" s="17">
        <f t="shared" si="2"/>
        <v>0.51174016330140248</v>
      </c>
      <c r="F40" s="2">
        <v>0.58860000000000001</v>
      </c>
      <c r="G40" s="2" t="str">
        <f t="shared" si="0"/>
        <v>Fail</v>
      </c>
      <c r="Y40" s="2">
        <v>25</v>
      </c>
      <c r="Z40" s="2">
        <v>0.29299999999999998</v>
      </c>
      <c r="AA40" s="2">
        <v>0.31780000000000003</v>
      </c>
      <c r="AB40" s="2">
        <v>0.70940000000000003</v>
      </c>
    </row>
    <row r="41" spans="2:28" x14ac:dyDescent="0.4">
      <c r="B41" s="11">
        <v>24</v>
      </c>
      <c r="C41" s="16">
        <f t="shared" si="1"/>
        <v>0.46710245410207246</v>
      </c>
      <c r="D41" s="17">
        <f t="shared" si="3"/>
        <v>0.51900272678008053</v>
      </c>
      <c r="E41" s="17">
        <f t="shared" si="2"/>
        <v>0.57090299945808853</v>
      </c>
      <c r="F41" s="2">
        <v>0.64559999999999995</v>
      </c>
      <c r="G41" s="2" t="str">
        <f t="shared" si="0"/>
        <v>Fail</v>
      </c>
      <c r="Y41" s="2">
        <v>26</v>
      </c>
      <c r="Z41" s="2">
        <v>0.29249999999999998</v>
      </c>
      <c r="AA41" s="2">
        <v>0.31119999999999998</v>
      </c>
      <c r="AB41" s="2">
        <v>0.73219999999999996</v>
      </c>
    </row>
    <row r="42" spans="2:28" x14ac:dyDescent="0.4">
      <c r="B42" s="11">
        <v>25</v>
      </c>
      <c r="C42" s="16">
        <f t="shared" si="1"/>
        <v>0.51880744628382047</v>
      </c>
      <c r="D42" s="17">
        <f t="shared" si="3"/>
        <v>0.57645271809313381</v>
      </c>
      <c r="E42" s="17">
        <f t="shared" si="2"/>
        <v>0.63409798990244715</v>
      </c>
      <c r="F42" s="2">
        <v>0.70940000000000003</v>
      </c>
      <c r="G42" s="2" t="str">
        <f t="shared" si="0"/>
        <v>Fail</v>
      </c>
      <c r="Y42" s="2">
        <v>27</v>
      </c>
      <c r="Z42" s="2">
        <v>0.3</v>
      </c>
      <c r="AA42" s="2">
        <v>0.3251</v>
      </c>
      <c r="AB42" s="2">
        <v>0.80400000000000005</v>
      </c>
    </row>
    <row r="43" spans="2:28" x14ac:dyDescent="0.4">
      <c r="B43" s="11">
        <v>26</v>
      </c>
      <c r="C43" s="16">
        <f t="shared" si="1"/>
        <v>0.57389238487849092</v>
      </c>
      <c r="D43" s="17">
        <f t="shared" si="3"/>
        <v>0.63765820542054552</v>
      </c>
      <c r="E43" s="17">
        <f t="shared" si="2"/>
        <v>0.70142402596260012</v>
      </c>
      <c r="F43" s="2">
        <v>0.73219999999999996</v>
      </c>
      <c r="G43" s="2" t="str">
        <f t="shared" si="0"/>
        <v>Fail</v>
      </c>
      <c r="Y43" s="2">
        <v>28</v>
      </c>
      <c r="Z43" s="2">
        <v>0.29449999999999998</v>
      </c>
      <c r="AA43" s="2">
        <v>0.32179999999999997</v>
      </c>
      <c r="AB43" s="2">
        <v>0.88419999999999999</v>
      </c>
    </row>
    <row r="44" spans="2:28" x14ac:dyDescent="0.4">
      <c r="B44" s="11">
        <v>27</v>
      </c>
      <c r="C44" s="16">
        <f t="shared" si="1"/>
        <v>0.63243690940369524</v>
      </c>
      <c r="D44" s="17">
        <f t="shared" si="3"/>
        <v>0.70270767711521687</v>
      </c>
      <c r="E44" s="17">
        <f t="shared" si="2"/>
        <v>0.7729784448267385</v>
      </c>
      <c r="F44" s="2">
        <v>0.80400000000000005</v>
      </c>
      <c r="G44" s="2" t="str">
        <f t="shared" si="0"/>
        <v>Fail</v>
      </c>
      <c r="Y44" s="2">
        <v>29</v>
      </c>
      <c r="Z44" s="2">
        <v>0.29699999999999999</v>
      </c>
      <c r="AA44" s="2">
        <v>0.32250000000000001</v>
      </c>
      <c r="AB44" s="2">
        <v>0.96799999999999997</v>
      </c>
    </row>
    <row r="45" spans="2:28" x14ac:dyDescent="0.4">
      <c r="B45" s="11">
        <v>28</v>
      </c>
      <c r="C45" s="16">
        <f t="shared" si="1"/>
        <v>0.69451945513512148</v>
      </c>
      <c r="D45" s="17">
        <f t="shared" si="3"/>
        <v>0.7716882834834683</v>
      </c>
      <c r="E45" s="17">
        <f t="shared" si="2"/>
        <v>0.84885711183181511</v>
      </c>
      <c r="F45" s="2">
        <v>0.88419999999999999</v>
      </c>
      <c r="G45" s="2" t="str">
        <f t="shared" si="0"/>
        <v>Fail</v>
      </c>
      <c r="Y45" s="2">
        <v>30</v>
      </c>
      <c r="Z45" s="2">
        <v>0.3034</v>
      </c>
      <c r="AA45" s="2">
        <v>0.32719999999999999</v>
      </c>
      <c r="AB45" s="2">
        <v>0.99280000000000002</v>
      </c>
    </row>
    <row r="46" spans="2:28" x14ac:dyDescent="0.4">
      <c r="B46" s="11">
        <v>29</v>
      </c>
      <c r="C46" s="16">
        <f t="shared" si="1"/>
        <v>0.76021731454283448</v>
      </c>
      <c r="D46" s="17">
        <f t="shared" si="3"/>
        <v>0.84468590504759389</v>
      </c>
      <c r="E46" s="17">
        <f t="shared" si="2"/>
        <v>0.9291544955523533</v>
      </c>
      <c r="F46" s="2">
        <v>0.96799999999999997</v>
      </c>
      <c r="G46" s="2" t="str">
        <f t="shared" si="0"/>
        <v>Fail</v>
      </c>
      <c r="Y46" s="2">
        <v>31</v>
      </c>
      <c r="Z46" s="2">
        <v>0.30280000000000001</v>
      </c>
      <c r="AA46" s="2">
        <v>0.32840000000000003</v>
      </c>
      <c r="AB46" s="2">
        <v>1.083</v>
      </c>
    </row>
    <row r="47" spans="2:28" x14ac:dyDescent="0.4">
      <c r="B47" s="11">
        <v>30</v>
      </c>
      <c r="C47" s="16">
        <f t="shared" si="1"/>
        <v>0.82960669354153282</v>
      </c>
      <c r="D47" s="17">
        <f t="shared" si="3"/>
        <v>0.92178521504614763</v>
      </c>
      <c r="E47" s="17">
        <f t="shared" si="2"/>
        <v>1.0139637365507623</v>
      </c>
      <c r="F47" s="2">
        <v>0.99280000000000002</v>
      </c>
      <c r="G47" s="2" t="str">
        <f t="shared" si="0"/>
        <v>Pass</v>
      </c>
      <c r="Y47" s="2">
        <v>32</v>
      </c>
      <c r="Z47" s="2">
        <v>0.29820000000000002</v>
      </c>
      <c r="AA47" s="2">
        <v>0.32400000000000001</v>
      </c>
      <c r="AB47" s="2">
        <v>1.1611</v>
      </c>
    </row>
    <row r="48" spans="2:28" x14ac:dyDescent="0.4">
      <c r="B48" s="11">
        <v>31</v>
      </c>
      <c r="C48" s="16">
        <f t="shared" si="1"/>
        <v>0.90276276315407322</v>
      </c>
      <c r="D48" s="17">
        <f t="shared" si="3"/>
        <v>1.0030697368378592</v>
      </c>
      <c r="E48" s="17">
        <f t="shared" si="2"/>
        <v>1.103376710521645</v>
      </c>
      <c r="F48" s="2">
        <v>1.083</v>
      </c>
      <c r="G48" s="2" t="str">
        <f t="shared" si="0"/>
        <v>Pass</v>
      </c>
      <c r="Y48" s="2">
        <v>33</v>
      </c>
      <c r="Z48" s="2">
        <v>0.30009999999999998</v>
      </c>
      <c r="AA48" s="2">
        <v>0.32340000000000002</v>
      </c>
      <c r="AB48" s="2">
        <v>1.2641</v>
      </c>
    </row>
    <row r="49" spans="2:28" x14ac:dyDescent="0.4">
      <c r="B49" s="11">
        <v>32</v>
      </c>
      <c r="C49" s="16">
        <f t="shared" si="1"/>
        <v>0.97975970710085458</v>
      </c>
      <c r="D49" s="17">
        <f t="shared" si="3"/>
        <v>1.0886218967787273</v>
      </c>
      <c r="E49" s="17">
        <f t="shared" si="2"/>
        <v>1.1974840864566001</v>
      </c>
      <c r="F49" s="2">
        <v>1.1611</v>
      </c>
      <c r="G49" s="2" t="str">
        <f t="shared" si="0"/>
        <v>Pass</v>
      </c>
      <c r="Y49" s="2">
        <v>34</v>
      </c>
      <c r="Z49" s="2">
        <v>0.30230000000000001</v>
      </c>
      <c r="AA49" s="2">
        <v>0.3241</v>
      </c>
      <c r="AB49" s="2">
        <v>1.3474999999999999</v>
      </c>
    </row>
    <row r="50" spans="2:28" x14ac:dyDescent="0.4">
      <c r="B50" s="11">
        <v>33</v>
      </c>
      <c r="C50" s="16">
        <f t="shared" si="1"/>
        <v>1.0606707657558856</v>
      </c>
      <c r="D50" s="17">
        <f t="shared" si="3"/>
        <v>1.178523073062095</v>
      </c>
      <c r="E50" s="17">
        <f t="shared" si="2"/>
        <v>1.2963753803683045</v>
      </c>
      <c r="F50" s="2">
        <v>1.2641</v>
      </c>
      <c r="G50" s="2" t="str">
        <f t="shared" si="0"/>
        <v>Pass</v>
      </c>
      <c r="Y50" s="2">
        <v>35</v>
      </c>
      <c r="Z50" s="2">
        <v>0.30130000000000001</v>
      </c>
      <c r="AA50" s="2">
        <v>0.31969999999999998</v>
      </c>
      <c r="AB50" s="2">
        <v>1.3758999999999999</v>
      </c>
    </row>
    <row r="51" spans="2:28" x14ac:dyDescent="0.4">
      <c r="B51" s="11">
        <v>34</v>
      </c>
      <c r="C51" s="16">
        <f t="shared" si="1"/>
        <v>1.1455682768504847</v>
      </c>
      <c r="D51" s="17">
        <f t="shared" si="3"/>
        <v>1.2728536409449831</v>
      </c>
      <c r="E51" s="17">
        <f t="shared" si="2"/>
        <v>1.4001390050394815</v>
      </c>
      <c r="F51" s="2">
        <v>1.3474999999999999</v>
      </c>
      <c r="G51" s="2" t="str">
        <f t="shared" si="0"/>
        <v>Pass</v>
      </c>
      <c r="Y51" s="2">
        <v>36</v>
      </c>
      <c r="Z51" s="2">
        <v>0.30640000000000001</v>
      </c>
      <c r="AA51" s="2">
        <v>0.3276</v>
      </c>
      <c r="AB51" s="2">
        <v>1.4547000000000001</v>
      </c>
    </row>
    <row r="52" spans="2:28" x14ac:dyDescent="0.4">
      <c r="B52" s="11">
        <v>35</v>
      </c>
      <c r="C52" s="16">
        <f t="shared" si="1"/>
        <v>1.2345237132554259</v>
      </c>
      <c r="D52" s="17">
        <f t="shared" si="3"/>
        <v>1.3716930147282509</v>
      </c>
      <c r="E52" s="17">
        <f t="shared" si="2"/>
        <v>1.5088623162010759</v>
      </c>
      <c r="F52" s="2">
        <v>1.3758999999999999</v>
      </c>
      <c r="G52" s="2" t="str">
        <f t="shared" si="0"/>
        <v>Pass</v>
      </c>
      <c r="Y52" s="2">
        <v>37</v>
      </c>
      <c r="Z52" s="2">
        <v>0.30649999999999999</v>
      </c>
      <c r="AA52" s="2">
        <v>0.3296</v>
      </c>
      <c r="AB52" s="2">
        <v>1.571</v>
      </c>
    </row>
    <row r="53" spans="2:28" x14ac:dyDescent="0.4">
      <c r="B53" s="11">
        <v>36</v>
      </c>
      <c r="C53" s="16">
        <f t="shared" si="1"/>
        <v>1.3276077181300683</v>
      </c>
      <c r="D53" s="17">
        <f t="shared" si="3"/>
        <v>1.4751196868111869</v>
      </c>
      <c r="E53" s="17">
        <f t="shared" si="2"/>
        <v>1.6226316554923055</v>
      </c>
      <c r="F53" s="2">
        <v>1.4547000000000001</v>
      </c>
      <c r="G53" s="2" t="str">
        <f t="shared" si="0"/>
        <v>Pass</v>
      </c>
      <c r="Y53" s="2">
        <v>38</v>
      </c>
      <c r="Z53" s="2">
        <v>0.29880000000000001</v>
      </c>
      <c r="AA53" s="2">
        <v>0.3266</v>
      </c>
      <c r="AB53" s="2">
        <v>1.6158999999999999</v>
      </c>
    </row>
    <row r="54" spans="2:28" x14ac:dyDescent="0.4">
      <c r="B54" s="11">
        <v>37</v>
      </c>
      <c r="C54" s="16">
        <f t="shared" si="1"/>
        <v>1.4248901376911038</v>
      </c>
      <c r="D54" s="17">
        <f t="shared" si="3"/>
        <v>1.5832112641012264</v>
      </c>
      <c r="E54" s="17">
        <f t="shared" si="2"/>
        <v>1.7415323905113489</v>
      </c>
      <c r="F54" s="2">
        <v>1.571</v>
      </c>
      <c r="G54" s="2" t="str">
        <f t="shared" si="0"/>
        <v>Pass</v>
      </c>
      <c r="Y54" s="2">
        <v>39</v>
      </c>
      <c r="Z54" s="2">
        <v>0.3009</v>
      </c>
      <c r="AA54" s="2">
        <v>0.32800000000000001</v>
      </c>
      <c r="AB54" s="2">
        <v>1.7372000000000001</v>
      </c>
    </row>
    <row r="55" spans="2:28" x14ac:dyDescent="0.4">
      <c r="B55" s="11">
        <v>38</v>
      </c>
      <c r="C55" s="16">
        <f t="shared" si="1"/>
        <v>1.5264400518231314</v>
      </c>
      <c r="D55" s="17">
        <f t="shared" si="3"/>
        <v>1.6960445020257016</v>
      </c>
      <c r="E55" s="17">
        <f t="shared" si="2"/>
        <v>1.8656489522282718</v>
      </c>
      <c r="F55" s="2">
        <v>1.6158999999999999</v>
      </c>
      <c r="G55" s="2" t="str">
        <f t="shared" si="0"/>
        <v>Pass</v>
      </c>
      <c r="Y55" s="2">
        <v>40</v>
      </c>
      <c r="Z55" s="2">
        <v>0.30120000000000002</v>
      </c>
      <c r="AA55" s="2">
        <v>0.32700000000000001</v>
      </c>
      <c r="AB55" s="2">
        <v>1.8217000000000001</v>
      </c>
    </row>
    <row r="56" spans="2:28" x14ac:dyDescent="0.4">
      <c r="B56" s="11">
        <v>39</v>
      </c>
      <c r="C56" s="16">
        <f t="shared" si="1"/>
        <v>1.6323258027270291</v>
      </c>
      <c r="D56" s="17">
        <f t="shared" si="3"/>
        <v>1.8136953363633657</v>
      </c>
      <c r="E56" s="17">
        <f t="shared" si="2"/>
        <v>1.9950648699997022</v>
      </c>
      <c r="F56" s="2">
        <v>1.7372000000000001</v>
      </c>
      <c r="G56" s="2" t="str">
        <f t="shared" si="0"/>
        <v>Pass</v>
      </c>
      <c r="Y56" s="2">
        <v>41</v>
      </c>
      <c r="Z56" s="2">
        <v>0.30130000000000001</v>
      </c>
      <c r="AA56" s="2">
        <v>0.32729999999999998</v>
      </c>
      <c r="AB56" s="2">
        <v>1.9476</v>
      </c>
    </row>
    <row r="57" spans="2:28" x14ac:dyDescent="0.4">
      <c r="B57" s="11">
        <v>40</v>
      </c>
      <c r="C57" s="16">
        <f t="shared" si="1"/>
        <v>1.7426150217797662</v>
      </c>
      <c r="D57" s="17">
        <f t="shared" si="3"/>
        <v>1.9362389130886291</v>
      </c>
      <c r="E57" s="17">
        <f t="shared" si="2"/>
        <v>2.1298628043974919</v>
      </c>
      <c r="F57" s="2">
        <v>1.8217000000000001</v>
      </c>
      <c r="G57" s="2" t="str">
        <f t="shared" si="0"/>
        <v>Pass</v>
      </c>
      <c r="Y57" s="2">
        <v>42</v>
      </c>
      <c r="Z57" s="2">
        <v>0.29680000000000001</v>
      </c>
      <c r="AA57" s="2">
        <v>0.33139999999999997</v>
      </c>
      <c r="AB57" s="2">
        <v>2.0731999999999999</v>
      </c>
    </row>
    <row r="58" spans="2:28" x14ac:dyDescent="0.4">
      <c r="B58" s="11">
        <v>41</v>
      </c>
      <c r="C58" s="16">
        <f t="shared" si="1"/>
        <v>1.857374654759822</v>
      </c>
      <c r="D58" s="17">
        <f t="shared" si="3"/>
        <v>2.0637496163998024</v>
      </c>
      <c r="E58" s="17">
        <f t="shared" si="2"/>
        <v>2.2701245780397827</v>
      </c>
      <c r="F58" s="2">
        <v>1.9476</v>
      </c>
      <c r="G58" s="2" t="str">
        <f t="shared" si="0"/>
        <v>Pass</v>
      </c>
      <c r="Y58" s="2">
        <v>43</v>
      </c>
      <c r="Z58" s="2">
        <v>0.29870000000000002</v>
      </c>
      <c r="AA58" s="2">
        <v>0.33169999999999999</v>
      </c>
      <c r="AB58" s="2">
        <v>2.3393000000000002</v>
      </c>
    </row>
    <row r="59" spans="2:28" x14ac:dyDescent="0.4">
      <c r="B59" s="11">
        <v>42</v>
      </c>
      <c r="C59" s="16">
        <f t="shared" si="1"/>
        <v>1.9766709855756626</v>
      </c>
      <c r="D59" s="17">
        <f t="shared" si="3"/>
        <v>2.1963010950840696</v>
      </c>
      <c r="E59" s="17">
        <f t="shared" si="2"/>
        <v>2.4159312045924763</v>
      </c>
      <c r="F59" s="2">
        <v>2.0731999999999999</v>
      </c>
      <c r="G59" s="2" t="str">
        <f t="shared" si="0"/>
        <v>Pass</v>
      </c>
      <c r="Y59" s="2">
        <v>44</v>
      </c>
      <c r="Z59" s="2">
        <v>0.29959999999999998</v>
      </c>
      <c r="AA59" s="2">
        <v>0.32840000000000003</v>
      </c>
      <c r="AB59" s="2">
        <v>2.3875999999999999</v>
      </c>
    </row>
    <row r="60" spans="2:28" x14ac:dyDescent="0.4">
      <c r="B60" s="11">
        <v>43</v>
      </c>
      <c r="C60" s="16">
        <f t="shared" si="1"/>
        <v>2.1005696586201128</v>
      </c>
      <c r="D60" s="17">
        <f t="shared" si="3"/>
        <v>2.3339662873556808</v>
      </c>
      <c r="E60" s="17">
        <f t="shared" si="2"/>
        <v>2.5673629160912488</v>
      </c>
      <c r="F60" s="2">
        <v>2.3393000000000002</v>
      </c>
      <c r="G60" s="2" t="str">
        <f t="shared" si="0"/>
        <v>Pass</v>
      </c>
      <c r="Y60" s="2">
        <v>45</v>
      </c>
      <c r="Z60" s="2">
        <v>0.29899999999999999</v>
      </c>
      <c r="AA60" s="2">
        <v>0.32500000000000001</v>
      </c>
      <c r="AB60" s="2">
        <v>2.5375999999999999</v>
      </c>
    </row>
    <row r="61" spans="2:28" x14ac:dyDescent="0.4">
      <c r="B61" s="11">
        <v>44</v>
      </c>
      <c r="C61" s="16">
        <f t="shared" si="1"/>
        <v>2.2291356998606875</v>
      </c>
      <c r="D61" s="17">
        <f t="shared" si="3"/>
        <v>2.4768174442896527</v>
      </c>
      <c r="E61" s="17">
        <f t="shared" si="2"/>
        <v>2.7244991887186178</v>
      </c>
      <c r="F61" s="2">
        <v>2.3875999999999999</v>
      </c>
      <c r="G61" s="2" t="str">
        <f t="shared" si="0"/>
        <v>Pass</v>
      </c>
      <c r="Y61" s="2">
        <v>46</v>
      </c>
      <c r="Z61" s="2">
        <v>0.29849999999999999</v>
      </c>
      <c r="AA61" s="2">
        <v>0.3256</v>
      </c>
      <c r="AB61" s="2">
        <v>2.6688000000000001</v>
      </c>
    </row>
    <row r="62" spans="2:28" x14ac:dyDescent="0.4">
      <c r="B62" s="11">
        <v>45</v>
      </c>
      <c r="C62" s="16">
        <f t="shared" si="1"/>
        <v>2.3624335367648546</v>
      </c>
      <c r="D62" s="17">
        <f t="shared" si="3"/>
        <v>2.6249261519609495</v>
      </c>
      <c r="E62" s="17">
        <f t="shared" si="2"/>
        <v>2.8874187671570444</v>
      </c>
      <c r="F62" s="2">
        <v>2.5375999999999999</v>
      </c>
      <c r="G62" s="2" t="str">
        <f t="shared" si="0"/>
        <v>Pass</v>
      </c>
      <c r="Y62" s="2">
        <v>47</v>
      </c>
      <c r="Z62" s="2">
        <v>0.29930000000000001</v>
      </c>
      <c r="AA62" s="2">
        <v>0.33429999999999999</v>
      </c>
      <c r="AB62" s="2">
        <v>2.7805</v>
      </c>
    </row>
    <row r="63" spans="2:28" x14ac:dyDescent="0.4">
      <c r="B63" s="11">
        <v>46</v>
      </c>
      <c r="C63" s="16">
        <f t="shared" si="1"/>
        <v>2.5005270171493565</v>
      </c>
      <c r="D63" s="17">
        <f t="shared" si="3"/>
        <v>2.7783633523881739</v>
      </c>
      <c r="E63" s="17">
        <f t="shared" si="2"/>
        <v>3.0561996876269912</v>
      </c>
      <c r="F63" s="2">
        <v>2.6688000000000001</v>
      </c>
      <c r="G63" s="2" t="str">
        <f t="shared" si="0"/>
        <v>Pass</v>
      </c>
      <c r="Y63" s="2">
        <v>48</v>
      </c>
      <c r="Z63" s="2">
        <v>0.30470000000000003</v>
      </c>
      <c r="AA63" s="2">
        <v>0.33050000000000002</v>
      </c>
      <c r="AB63" s="2">
        <v>2.9464999999999999</v>
      </c>
    </row>
    <row r="64" spans="2:28" x14ac:dyDescent="0.4">
      <c r="B64" s="11">
        <v>47</v>
      </c>
      <c r="C64" s="16">
        <f t="shared" si="1"/>
        <v>2.6434794270340913</v>
      </c>
      <c r="D64" s="17">
        <f t="shared" si="3"/>
        <v>2.9371993633712128</v>
      </c>
      <c r="E64" s="17">
        <f t="shared" si="2"/>
        <v>3.2309192997083342</v>
      </c>
      <c r="F64" s="2">
        <v>2.7805</v>
      </c>
      <c r="G64" s="2" t="str">
        <f t="shared" si="0"/>
        <v>Pass</v>
      </c>
      <c r="Y64" s="2">
        <v>49</v>
      </c>
      <c r="Z64" s="2">
        <v>0.30509999999999998</v>
      </c>
      <c r="AA64" s="2">
        <v>0.33189999999999997</v>
      </c>
      <c r="AB64" s="2">
        <v>3.1012</v>
      </c>
    </row>
    <row r="65" spans="2:28" x14ac:dyDescent="0.4">
      <c r="B65" s="11">
        <v>48</v>
      </c>
      <c r="C65" s="16">
        <f t="shared" si="1"/>
        <v>2.7913535075734419</v>
      </c>
      <c r="D65" s="17">
        <f t="shared" si="3"/>
        <v>3.1015038973038243</v>
      </c>
      <c r="E65" s="17">
        <f t="shared" si="2"/>
        <v>3.4116542870342066</v>
      </c>
      <c r="F65" s="2">
        <v>2.9464999999999999</v>
      </c>
      <c r="G65" s="2" t="str">
        <f t="shared" si="0"/>
        <v>Pass</v>
      </c>
      <c r="Y65" s="2">
        <v>50</v>
      </c>
      <c r="Z65" s="2">
        <v>0.30549999999999999</v>
      </c>
      <c r="AA65" s="2">
        <v>0.33150000000000002</v>
      </c>
      <c r="AB65" s="2">
        <v>3.2955999999999999</v>
      </c>
    </row>
    <row r="66" spans="2:28" x14ac:dyDescent="0.4">
      <c r="B66" s="11">
        <v>49</v>
      </c>
      <c r="C66" s="16">
        <f t="shared" si="1"/>
        <v>2.9442114711311818</v>
      </c>
      <c r="D66" s="17">
        <f t="shared" si="3"/>
        <v>3.2713460790346462</v>
      </c>
      <c r="E66" s="17">
        <f t="shared" si="2"/>
        <v>3.5984806869381107</v>
      </c>
      <c r="F66" s="2">
        <v>3.1012</v>
      </c>
      <c r="G66" s="2" t="str">
        <f t="shared" si="0"/>
        <v>Pass</v>
      </c>
      <c r="Y66" s="2">
        <v>51</v>
      </c>
      <c r="Z66" s="2">
        <v>0.30449999999999999</v>
      </c>
      <c r="AA66" s="2">
        <v>0.33090000000000003</v>
      </c>
      <c r="AB66" s="2">
        <v>3.4420000000000002</v>
      </c>
    </row>
    <row r="67" spans="2:28" x14ac:dyDescent="0.4">
      <c r="B67" s="11">
        <v>50</v>
      </c>
      <c r="C67" s="16">
        <f t="shared" si="1"/>
        <v>3.1021150165590501</v>
      </c>
      <c r="D67" s="17">
        <f t="shared" si="3"/>
        <v>3.4467944628433891</v>
      </c>
      <c r="E67" s="17">
        <f t="shared" si="2"/>
        <v>3.7914739091277281</v>
      </c>
      <c r="F67" s="2">
        <v>3.2955999999999999</v>
      </c>
      <c r="G67" s="2" t="str">
        <f t="shared" si="0"/>
        <v>Pass</v>
      </c>
      <c r="Y67" s="2">
        <v>52</v>
      </c>
      <c r="Z67" s="2">
        <v>0.30320000000000003</v>
      </c>
      <c r="AA67" s="2">
        <v>0.33289999999999997</v>
      </c>
      <c r="AB67" s="2">
        <v>3.6244999999999998</v>
      </c>
    </row>
    <row r="68" spans="2:28" x14ac:dyDescent="0.4">
      <c r="B68" s="11">
        <v>51</v>
      </c>
      <c r="C68" s="16">
        <f t="shared" si="1"/>
        <v>3.2651253437337511</v>
      </c>
      <c r="D68" s="17">
        <f t="shared" si="3"/>
        <v>3.6279170485930567</v>
      </c>
      <c r="E68" s="17">
        <f t="shared" si="2"/>
        <v>3.9907087534523624</v>
      </c>
      <c r="F68" s="2">
        <v>3.4420000000000002</v>
      </c>
      <c r="G68" s="2" t="str">
        <f t="shared" si="0"/>
        <v>Pass</v>
      </c>
      <c r="Y68" s="2">
        <v>53</v>
      </c>
      <c r="Z68" s="2">
        <v>0.30220000000000002</v>
      </c>
      <c r="AA68" s="2">
        <v>0.33279999999999998</v>
      </c>
      <c r="AB68" s="2">
        <v>3.7845</v>
      </c>
    </row>
    <row r="69" spans="2:28" x14ac:dyDescent="0.4">
      <c r="B69" s="11">
        <v>52</v>
      </c>
      <c r="C69" s="16">
        <f t="shared" si="1"/>
        <v>3.4333031674024168</v>
      </c>
      <c r="D69" s="17">
        <f t="shared" si="3"/>
        <v>3.8147812971137962</v>
      </c>
      <c r="E69" s="17">
        <f t="shared" si="2"/>
        <v>4.1962594268251756</v>
      </c>
      <c r="F69" s="2">
        <v>3.6244999999999998</v>
      </c>
      <c r="G69" s="2" t="str">
        <f t="shared" si="0"/>
        <v>Pass</v>
      </c>
      <c r="Y69" s="2">
        <v>54</v>
      </c>
      <c r="Z69" s="2">
        <v>0.30620000000000003</v>
      </c>
      <c r="AA69" s="2">
        <v>0.33539999999999998</v>
      </c>
      <c r="AB69" s="2">
        <v>3.9969000000000001</v>
      </c>
    </row>
    <row r="70" spans="2:28" x14ac:dyDescent="0.4">
      <c r="B70" s="11">
        <v>53</v>
      </c>
      <c r="C70" s="16">
        <f t="shared" si="1"/>
        <v>3.6067087303821541</v>
      </c>
      <c r="D70" s="17">
        <f t="shared" si="3"/>
        <v>4.0074541448690599</v>
      </c>
      <c r="E70" s="17">
        <f t="shared" si="2"/>
        <v>4.4081995593559657</v>
      </c>
      <c r="F70" s="2">
        <v>3.7845</v>
      </c>
      <c r="G70" s="2" t="str">
        <f t="shared" si="0"/>
        <v>Pass</v>
      </c>
      <c r="Y70" s="2">
        <v>55</v>
      </c>
      <c r="Z70" s="2">
        <v>0.3009</v>
      </c>
      <c r="AA70" s="2">
        <v>0.33189999999999997</v>
      </c>
      <c r="AB70" s="2">
        <v>4.0856000000000003</v>
      </c>
    </row>
    <row r="71" spans="2:28" x14ac:dyDescent="0.4">
      <c r="B71" s="11">
        <v>54</v>
      </c>
      <c r="C71" s="16">
        <f t="shared" si="1"/>
        <v>3.785401816155642</v>
      </c>
      <c r="D71" s="17">
        <f t="shared" si="3"/>
        <v>4.2060020179507136</v>
      </c>
      <c r="E71" s="17">
        <f t="shared" si="2"/>
        <v>4.6266022197457852</v>
      </c>
      <c r="F71" s="2">
        <v>3.9969000000000001</v>
      </c>
      <c r="G71" s="2" t="str">
        <f t="shared" si="0"/>
        <v>Pass</v>
      </c>
      <c r="Y71" s="2">
        <v>56</v>
      </c>
      <c r="Z71" s="2">
        <v>0.309</v>
      </c>
      <c r="AA71" s="2">
        <v>0.33579999999999999</v>
      </c>
      <c r="AB71" s="2">
        <v>4.2496</v>
      </c>
    </row>
    <row r="72" spans="2:28" x14ac:dyDescent="0.4">
      <c r="B72" s="11">
        <v>55</v>
      </c>
      <c r="C72" s="16">
        <f t="shared" si="1"/>
        <v>3.9694417609011183</v>
      </c>
      <c r="D72" s="17">
        <f t="shared" si="3"/>
        <v>4.410490845445687</v>
      </c>
      <c r="E72" s="17">
        <f t="shared" si="2"/>
        <v>4.8515399299902562</v>
      </c>
      <c r="F72" s="2">
        <v>4.0856000000000003</v>
      </c>
      <c r="G72" s="2" t="str">
        <f t="shared" si="0"/>
        <v>Pass</v>
      </c>
      <c r="Y72" s="2">
        <v>57</v>
      </c>
      <c r="Z72" s="2">
        <v>0.30869999999999997</v>
      </c>
      <c r="AA72" s="2">
        <v>0.3357</v>
      </c>
      <c r="AB72" s="2">
        <v>4.4100999999999999</v>
      </c>
    </row>
    <row r="73" spans="2:28" x14ac:dyDescent="0.4">
      <c r="B73" s="11">
        <v>56</v>
      </c>
      <c r="C73" s="16">
        <f t="shared" si="1"/>
        <v>4.158887464992147</v>
      </c>
      <c r="D73" s="17">
        <f t="shared" si="3"/>
        <v>4.6209860722134968</v>
      </c>
      <c r="E73" s="17">
        <f t="shared" si="2"/>
        <v>5.0830846794348465</v>
      </c>
      <c r="F73" s="2">
        <v>4.2496</v>
      </c>
      <c r="G73" s="2" t="str">
        <f t="shared" si="0"/>
        <v>Pass</v>
      </c>
      <c r="Y73" s="2">
        <v>58</v>
      </c>
      <c r="Z73" s="2">
        <v>0.3085</v>
      </c>
      <c r="AA73" s="2">
        <v>0.33589999999999998</v>
      </c>
      <c r="AB73" s="2">
        <v>4.6542000000000003</v>
      </c>
    </row>
    <row r="74" spans="2:28" x14ac:dyDescent="0.4">
      <c r="B74" s="11">
        <v>57</v>
      </c>
      <c r="C74" s="16">
        <f t="shared" si="1"/>
        <v>4.3537974039996472</v>
      </c>
      <c r="D74" s="17">
        <f t="shared" si="3"/>
        <v>4.8375526711107195</v>
      </c>
      <c r="E74" s="17">
        <f t="shared" si="2"/>
        <v>5.3213079382217918</v>
      </c>
      <c r="F74" s="2">
        <v>4.4100999999999999</v>
      </c>
      <c r="G74" s="2" t="str">
        <f t="shared" si="0"/>
        <v>Pass</v>
      </c>
      <c r="Y74" s="2">
        <v>59</v>
      </c>
      <c r="Z74" s="2">
        <v>0.30890000000000001</v>
      </c>
      <c r="AA74" s="2">
        <v>0.33589999999999998</v>
      </c>
      <c r="AB74" s="2">
        <v>4.8773</v>
      </c>
    </row>
    <row r="75" spans="2:28" x14ac:dyDescent="0.4">
      <c r="B75" s="11">
        <v>58</v>
      </c>
      <c r="C75" s="16">
        <f t="shared" si="1"/>
        <v>4.5542296392261461</v>
      </c>
      <c r="D75" s="17">
        <f t="shared" si="3"/>
        <v>5.0602551546957182</v>
      </c>
      <c r="E75" s="17">
        <f t="shared" si="2"/>
        <v>5.5662806701652903</v>
      </c>
      <c r="F75" s="2">
        <v>4.6542000000000003</v>
      </c>
      <c r="G75" s="2" t="str">
        <f t="shared" si="0"/>
        <v>Pass</v>
      </c>
      <c r="Y75" s="2">
        <v>60</v>
      </c>
      <c r="Z75" s="2">
        <v>0.30990000000000001</v>
      </c>
      <c r="AA75" s="2">
        <v>0.33579999999999999</v>
      </c>
      <c r="AB75" s="2">
        <v>5.0720999999999998</v>
      </c>
    </row>
    <row r="76" spans="2:28" x14ac:dyDescent="0.4">
      <c r="B76" s="11">
        <v>59</v>
      </c>
      <c r="C76" s="16">
        <f t="shared" si="1"/>
        <v>4.7602418278000114</v>
      </c>
      <c r="D76" s="17">
        <f t="shared" si="3"/>
        <v>5.2891575864444569</v>
      </c>
      <c r="E76" s="17">
        <f t="shared" si="2"/>
        <v>5.8180733450889024</v>
      </c>
      <c r="F76" s="2">
        <v>4.8773</v>
      </c>
      <c r="G76" s="2" t="str">
        <f t="shared" si="0"/>
        <v>Pass</v>
      </c>
      <c r="Y76" s="2">
        <v>61</v>
      </c>
      <c r="Z76" s="2">
        <v>0.30919999999999997</v>
      </c>
      <c r="AA76" s="2">
        <v>0.33650000000000002</v>
      </c>
      <c r="AB76" s="2">
        <v>5.3589000000000002</v>
      </c>
    </row>
    <row r="77" spans="2:28" x14ac:dyDescent="0.4">
      <c r="B77" s="11">
        <v>60</v>
      </c>
      <c r="C77" s="16">
        <f t="shared" si="1"/>
        <v>4.9718912323551505</v>
      </c>
      <c r="D77" s="17">
        <f t="shared" si="3"/>
        <v>5.5243235915057225</v>
      </c>
      <c r="E77" s="17">
        <f t="shared" si="2"/>
        <v>6.0767559506562945</v>
      </c>
      <c r="F77" s="2">
        <v>5.0720999999999998</v>
      </c>
      <c r="G77" s="2" t="str">
        <f t="shared" si="0"/>
        <v>Pass</v>
      </c>
      <c r="Y77" s="2">
        <v>62</v>
      </c>
      <c r="Z77" s="2">
        <v>0.30980000000000002</v>
      </c>
      <c r="AA77" s="2">
        <v>0.33610000000000001</v>
      </c>
      <c r="AB77" s="2">
        <v>5.5941000000000001</v>
      </c>
    </row>
    <row r="78" spans="2:28" x14ac:dyDescent="0.4">
      <c r="B78" s="11">
        <v>61</v>
      </c>
      <c r="C78" s="16">
        <f t="shared" si="1"/>
        <v>5.1892347303200221</v>
      </c>
      <c r="D78" s="17">
        <f t="shared" si="3"/>
        <v>5.7658163670222464</v>
      </c>
      <c r="E78" s="17">
        <f t="shared" si="2"/>
        <v>6.3423980037244707</v>
      </c>
      <c r="F78" s="2">
        <v>5.3589000000000002</v>
      </c>
      <c r="G78" s="2" t="str">
        <f t="shared" si="0"/>
        <v>Pass</v>
      </c>
      <c r="Y78" s="2">
        <v>63</v>
      </c>
      <c r="Z78" s="2">
        <v>0.30980000000000002</v>
      </c>
      <c r="AA78" s="2">
        <v>0.33510000000000001</v>
      </c>
      <c r="AB78" s="2">
        <v>5.8955000000000002</v>
      </c>
    </row>
    <row r="79" spans="2:28" x14ac:dyDescent="0.4">
      <c r="B79" s="11">
        <v>62</v>
      </c>
      <c r="C79" s="16">
        <f t="shared" si="1"/>
        <v>5.4123288228378028</v>
      </c>
      <c r="D79" s="17">
        <f t="shared" si="3"/>
        <v>6.013698692042003</v>
      </c>
      <c r="E79" s="17">
        <f t="shared" si="2"/>
        <v>6.6150685612462032</v>
      </c>
      <c r="F79" s="2">
        <v>5.5941000000000001</v>
      </c>
      <c r="G79" s="2" t="str">
        <f t="shared" si="0"/>
        <v>Pass</v>
      </c>
      <c r="Y79" s="2">
        <v>64</v>
      </c>
      <c r="Z79" s="2">
        <v>0.309</v>
      </c>
      <c r="AA79" s="2">
        <v>0.33389999999999997</v>
      </c>
      <c r="AB79" s="2">
        <v>6.1269999999999998</v>
      </c>
    </row>
    <row r="80" spans="2:28" x14ac:dyDescent="0.4">
      <c r="B80" s="11">
        <v>63</v>
      </c>
      <c r="C80" s="16">
        <f t="shared" si="1"/>
        <v>5.6412296433382227</v>
      </c>
      <c r="D80" s="17">
        <f t="shared" si="3"/>
        <v>6.2680329370424692</v>
      </c>
      <c r="E80" s="17">
        <f t="shared" si="2"/>
        <v>6.8948362307467157</v>
      </c>
      <c r="F80" s="2">
        <v>5.8955000000000002</v>
      </c>
      <c r="G80" s="2" t="str">
        <f t="shared" si="0"/>
        <v>Pass</v>
      </c>
      <c r="Y80" s="2">
        <v>65</v>
      </c>
      <c r="Z80" s="2">
        <v>0.30930000000000002</v>
      </c>
      <c r="AA80" s="2">
        <v>0.33389999999999997</v>
      </c>
      <c r="AB80" s="2">
        <v>6.4238</v>
      </c>
    </row>
    <row r="81" spans="2:28" x14ac:dyDescent="0.4">
      <c r="B81" s="11">
        <v>64</v>
      </c>
      <c r="C81" s="16">
        <f t="shared" si="1"/>
        <v>5.8759929657799574</v>
      </c>
      <c r="D81" s="17">
        <f t="shared" si="3"/>
        <v>6.5288810730888418</v>
      </c>
      <c r="E81" s="17">
        <f t="shared" si="2"/>
        <v>7.1817691803977262</v>
      </c>
      <c r="F81" s="2">
        <v>6.1269999999999998</v>
      </c>
      <c r="G81" s="2" t="str">
        <f t="shared" ref="G81:G144" si="4">IF(F81&lt;=C81,"Fail",IF(AND(C81&lt;F81,F81&lt;E81),"Pass",IF(E81&lt;=F81,"Fail")))</f>
        <v>Pass</v>
      </c>
      <c r="Y81" s="2">
        <v>66</v>
      </c>
      <c r="Z81" s="2">
        <v>0.30919999999999997</v>
      </c>
      <c r="AA81" s="2">
        <v>0.33439999999999998</v>
      </c>
      <c r="AB81" s="2">
        <v>6.6490999999999998</v>
      </c>
    </row>
    <row r="82" spans="2:28" x14ac:dyDescent="0.4">
      <c r="B82" s="11">
        <v>65</v>
      </c>
      <c r="C82" s="16">
        <f t="shared" ref="C82:C145" si="5">D82-D82*(C$14/100)</f>
        <v>6.1166742125812901</v>
      </c>
      <c r="D82" s="17">
        <f t="shared" si="3"/>
        <v>6.7963046806458776</v>
      </c>
      <c r="E82" s="17">
        <f t="shared" ref="E82:E145" si="6">D82+D82*(C$14/100)</f>
        <v>7.4759351487104651</v>
      </c>
      <c r="F82" s="2">
        <v>6.4238</v>
      </c>
      <c r="G82" s="2" t="str">
        <f t="shared" si="4"/>
        <v>Pass</v>
      </c>
      <c r="Y82" s="2">
        <v>67</v>
      </c>
      <c r="Z82" s="2">
        <v>0.30980000000000002</v>
      </c>
      <c r="AA82" s="2">
        <v>0.33389999999999997</v>
      </c>
      <c r="AB82" s="2">
        <v>6.8865999999999996</v>
      </c>
    </row>
    <row r="83" spans="2:28" x14ac:dyDescent="0.4">
      <c r="B83" s="11">
        <v>66</v>
      </c>
      <c r="C83" s="16">
        <f t="shared" si="5"/>
        <v>6.3633284622554394</v>
      </c>
      <c r="D83" s="17">
        <f t="shared" ref="D83:D146" si="7">D$272*((B83+F$17)/B$272)^C$13</f>
        <v>7.0703649580615995</v>
      </c>
      <c r="E83" s="17">
        <f t="shared" si="6"/>
        <v>7.7774014538677596</v>
      </c>
      <c r="F83" s="2">
        <v>6.6490999999999998</v>
      </c>
      <c r="G83" s="2" t="str">
        <f t="shared" si="4"/>
        <v>Pass</v>
      </c>
      <c r="Y83" s="2">
        <v>68</v>
      </c>
      <c r="Z83" s="2">
        <v>0.30980000000000002</v>
      </c>
      <c r="AA83" s="2">
        <v>0.33279999999999998</v>
      </c>
      <c r="AB83" s="2">
        <v>7.2439999999999998</v>
      </c>
    </row>
    <row r="84" spans="2:28" x14ac:dyDescent="0.4">
      <c r="B84" s="11">
        <v>67</v>
      </c>
      <c r="C84" s="16">
        <f t="shared" si="5"/>
        <v>6.6160104567659435</v>
      </c>
      <c r="D84" s="17">
        <f t="shared" si="7"/>
        <v>7.3511227297399371</v>
      </c>
      <c r="E84" s="17">
        <f t="shared" si="6"/>
        <v>8.0862350027139307</v>
      </c>
      <c r="F84" s="2">
        <v>6.8865999999999996</v>
      </c>
      <c r="G84" s="2" t="str">
        <f t="shared" si="4"/>
        <v>Pass</v>
      </c>
      <c r="Y84" s="2">
        <v>69</v>
      </c>
      <c r="Z84" s="2">
        <v>0.30959999999999999</v>
      </c>
      <c r="AA84" s="2">
        <v>0.33289999999999997</v>
      </c>
      <c r="AB84" s="2">
        <v>7.4976000000000003</v>
      </c>
    </row>
    <row r="85" spans="2:28" x14ac:dyDescent="0.4">
      <c r="B85" s="11">
        <v>68</v>
      </c>
      <c r="C85" s="16">
        <f t="shared" si="5"/>
        <v>6.8747746086163879</v>
      </c>
      <c r="D85" s="17">
        <f t="shared" si="7"/>
        <v>7.6386384540182091</v>
      </c>
      <c r="E85" s="17">
        <f t="shared" si="6"/>
        <v>8.4025022994200302</v>
      </c>
      <c r="F85" s="2">
        <v>7.2439999999999998</v>
      </c>
      <c r="G85" s="2" t="str">
        <f t="shared" si="4"/>
        <v>Pass</v>
      </c>
      <c r="Y85" s="2">
        <v>70</v>
      </c>
      <c r="Z85" s="2">
        <v>0.30470000000000003</v>
      </c>
      <c r="AA85" s="2">
        <v>0.32929999999999998</v>
      </c>
      <c r="AB85" s="2">
        <v>7.8840000000000003</v>
      </c>
    </row>
    <row r="86" spans="2:28" x14ac:dyDescent="0.4">
      <c r="B86" s="11">
        <v>69</v>
      </c>
      <c r="C86" s="16">
        <f t="shared" si="5"/>
        <v>7.1396750076878703</v>
      </c>
      <c r="D86" s="17">
        <f t="shared" si="7"/>
        <v>7.9329722307643005</v>
      </c>
      <c r="E86" s="17">
        <f t="shared" si="6"/>
        <v>8.7262694538407306</v>
      </c>
      <c r="F86" s="2">
        <v>7.4976000000000003</v>
      </c>
      <c r="G86" s="2" t="str">
        <f t="shared" si="4"/>
        <v>Pass</v>
      </c>
      <c r="Y86" s="2">
        <v>71</v>
      </c>
      <c r="Z86" s="2">
        <v>0.30740000000000001</v>
      </c>
      <c r="AA86" s="2">
        <v>0.33139999999999997</v>
      </c>
      <c r="AB86" s="2">
        <v>8.2082999999999995</v>
      </c>
    </row>
    <row r="87" spans="2:28" x14ac:dyDescent="0.4">
      <c r="B87" s="11">
        <v>70</v>
      </c>
      <c r="C87" s="16">
        <f t="shared" si="5"/>
        <v>7.4107654278367825</v>
      </c>
      <c r="D87" s="17">
        <f t="shared" si="7"/>
        <v>8.2341838087075363</v>
      </c>
      <c r="E87" s="17">
        <f t="shared" si="6"/>
        <v>9.0576021895782901</v>
      </c>
      <c r="F87" s="2">
        <v>7.8840000000000003</v>
      </c>
      <c r="G87" s="2" t="str">
        <f t="shared" si="4"/>
        <v>Pass</v>
      </c>
      <c r="Y87" s="2">
        <v>72</v>
      </c>
      <c r="Z87" s="2">
        <v>0.30740000000000001</v>
      </c>
      <c r="AA87" s="2">
        <v>0.33100000000000002</v>
      </c>
      <c r="AB87" s="2">
        <v>8.6163000000000007</v>
      </c>
    </row>
    <row r="88" spans="2:28" x14ac:dyDescent="0.4">
      <c r="B88" s="11">
        <v>71</v>
      </c>
      <c r="C88" s="16">
        <f t="shared" si="5"/>
        <v>7.6880993332645318</v>
      </c>
      <c r="D88" s="17">
        <f t="shared" si="7"/>
        <v>8.5423325925161464</v>
      </c>
      <c r="E88" s="17">
        <f t="shared" si="6"/>
        <v>9.396565851767761</v>
      </c>
      <c r="F88" s="2">
        <v>8.2082999999999995</v>
      </c>
      <c r="G88" s="2" t="str">
        <f t="shared" si="4"/>
        <v>Pass</v>
      </c>
      <c r="Y88" s="2">
        <v>73</v>
      </c>
      <c r="Z88" s="2">
        <v>0.30780000000000002</v>
      </c>
      <c r="AA88" s="2">
        <v>0.33110000000000001</v>
      </c>
      <c r="AB88" s="2">
        <v>8.8869000000000007</v>
      </c>
    </row>
    <row r="89" spans="2:28" x14ac:dyDescent="0.4">
      <c r="B89" s="11">
        <v>72</v>
      </c>
      <c r="C89" s="16">
        <f t="shared" si="5"/>
        <v>7.9717298846703644</v>
      </c>
      <c r="D89" s="17">
        <f t="shared" si="7"/>
        <v>8.8574776496337382</v>
      </c>
      <c r="E89" s="17">
        <f t="shared" si="6"/>
        <v>9.7432254145971129</v>
      </c>
      <c r="F89" s="2">
        <v>8.6163000000000007</v>
      </c>
      <c r="G89" s="2" t="str">
        <f t="shared" si="4"/>
        <v>Pass</v>
      </c>
      <c r="Y89" s="2">
        <v>74</v>
      </c>
      <c r="Z89" s="2">
        <v>0.30759999999999998</v>
      </c>
      <c r="AA89" s="2">
        <v>0.33119999999999999</v>
      </c>
      <c r="AB89" s="2">
        <v>9.2147000000000006</v>
      </c>
    </row>
    <row r="90" spans="2:28" x14ac:dyDescent="0.4">
      <c r="B90" s="11">
        <v>73</v>
      </c>
      <c r="C90" s="16">
        <f t="shared" si="5"/>
        <v>8.2617099451974703</v>
      </c>
      <c r="D90" s="17">
        <f t="shared" si="7"/>
        <v>9.1796777168860775</v>
      </c>
      <c r="E90" s="17">
        <f t="shared" si="6"/>
        <v>10.097645488574685</v>
      </c>
      <c r="F90" s="2">
        <v>8.8869000000000007</v>
      </c>
      <c r="G90" s="2" t="str">
        <f t="shared" si="4"/>
        <v>Pass</v>
      </c>
      <c r="Y90" s="2">
        <v>75</v>
      </c>
      <c r="Z90" s="2">
        <v>0.30830000000000002</v>
      </c>
      <c r="AA90" s="2">
        <v>0.33139999999999997</v>
      </c>
      <c r="AB90" s="2">
        <v>9.6044999999999998</v>
      </c>
    </row>
    <row r="91" spans="2:28" x14ac:dyDescent="0.4">
      <c r="B91" s="11">
        <v>74</v>
      </c>
      <c r="C91" s="16">
        <f t="shared" si="5"/>
        <v>8.5580920861821568</v>
      </c>
      <c r="D91" s="17">
        <f t="shared" si="7"/>
        <v>9.5089912068690641</v>
      </c>
      <c r="E91" s="17">
        <f t="shared" si="6"/>
        <v>10.459890327555971</v>
      </c>
      <c r="F91" s="2">
        <v>9.2147000000000006</v>
      </c>
      <c r="G91" s="2" t="str">
        <f t="shared" si="4"/>
        <v>Pass</v>
      </c>
      <c r="Y91" s="2">
        <v>76</v>
      </c>
      <c r="Z91" s="2">
        <v>0.30840000000000001</v>
      </c>
      <c r="AA91" s="2">
        <v>0.33139999999999997</v>
      </c>
      <c r="AB91" s="2">
        <v>9.9433000000000007</v>
      </c>
    </row>
    <row r="92" spans="2:28" x14ac:dyDescent="0.4">
      <c r="B92" s="11">
        <v>75</v>
      </c>
      <c r="C92" s="16">
        <f t="shared" si="5"/>
        <v>8.8609285927151529</v>
      </c>
      <c r="D92" s="17">
        <f t="shared" si="7"/>
        <v>9.845476214127947</v>
      </c>
      <c r="E92" s="17">
        <f t="shared" si="6"/>
        <v>10.830023835540741</v>
      </c>
      <c r="F92" s="2">
        <v>9.6044999999999998</v>
      </c>
      <c r="G92" s="2" t="str">
        <f t="shared" si="4"/>
        <v>Pass</v>
      </c>
      <c r="Y92" s="2">
        <v>77</v>
      </c>
      <c r="Z92" s="2">
        <v>0.30740000000000001</v>
      </c>
      <c r="AA92" s="2">
        <v>0.33050000000000002</v>
      </c>
      <c r="AB92" s="2">
        <v>10.2949</v>
      </c>
    </row>
    <row r="93" spans="2:28" x14ac:dyDescent="0.4">
      <c r="B93" s="11">
        <v>76</v>
      </c>
      <c r="C93" s="16">
        <f t="shared" si="5"/>
        <v>9.1702714690236853</v>
      </c>
      <c r="D93" s="17">
        <f t="shared" si="7"/>
        <v>10.189190521137428</v>
      </c>
      <c r="E93" s="17">
        <f t="shared" si="6"/>
        <v>11.208109573251171</v>
      </c>
      <c r="F93" s="2">
        <v>9.9433000000000007</v>
      </c>
      <c r="G93" s="2" t="str">
        <f t="shared" si="4"/>
        <v>Pass</v>
      </c>
      <c r="Y93" s="2">
        <v>78</v>
      </c>
      <c r="Z93" s="2">
        <v>0.30759999999999998</v>
      </c>
      <c r="AA93" s="2">
        <v>0.33119999999999999</v>
      </c>
      <c r="AB93" s="2">
        <v>10.6555</v>
      </c>
    </row>
    <row r="94" spans="2:28" x14ac:dyDescent="0.4">
      <c r="B94" s="11">
        <v>77</v>
      </c>
      <c r="C94" s="16">
        <f t="shared" si="5"/>
        <v>9.4861724436823405</v>
      </c>
      <c r="D94" s="17">
        <f t="shared" si="7"/>
        <v>10.54019160409149</v>
      </c>
      <c r="E94" s="17">
        <f t="shared" si="6"/>
        <v>11.594210764500639</v>
      </c>
      <c r="F94" s="2">
        <v>10.2949</v>
      </c>
      <c r="G94" s="2" t="str">
        <f t="shared" si="4"/>
        <v>Pass</v>
      </c>
      <c r="Y94" s="2">
        <v>79</v>
      </c>
      <c r="Z94" s="2">
        <v>0.308</v>
      </c>
      <c r="AA94" s="2">
        <v>0.33079999999999998</v>
      </c>
      <c r="AB94" s="2">
        <v>11.0426</v>
      </c>
    </row>
    <row r="95" spans="2:28" x14ac:dyDescent="0.4">
      <c r="B95" s="11">
        <v>78</v>
      </c>
      <c r="C95" s="16">
        <f t="shared" si="5"/>
        <v>9.8086829746603552</v>
      </c>
      <c r="D95" s="17">
        <f t="shared" si="7"/>
        <v>10.898536638511505</v>
      </c>
      <c r="E95" s="17">
        <f t="shared" si="6"/>
        <v>11.988390302362655</v>
      </c>
      <c r="F95" s="2">
        <v>10.6555</v>
      </c>
      <c r="G95" s="2" t="str">
        <f t="shared" si="4"/>
        <v>Pass</v>
      </c>
      <c r="Y95" s="2">
        <v>80</v>
      </c>
      <c r="Z95" s="2">
        <v>0.30830000000000002</v>
      </c>
      <c r="AA95" s="2">
        <v>0.3306</v>
      </c>
      <c r="AB95" s="2">
        <v>11.389900000000001</v>
      </c>
    </row>
    <row r="96" spans="2:28" x14ac:dyDescent="0.4">
      <c r="B96" s="11">
        <v>79</v>
      </c>
      <c r="C96" s="16">
        <f t="shared" si="5"/>
        <v>10.137854254212524</v>
      </c>
      <c r="D96" s="17">
        <f t="shared" si="7"/>
        <v>11.264282504680581</v>
      </c>
      <c r="E96" s="17">
        <f t="shared" si="6"/>
        <v>12.390710755148639</v>
      </c>
      <c r="F96" s="2">
        <v>11.0426</v>
      </c>
      <c r="G96" s="2" t="str">
        <f t="shared" si="4"/>
        <v>Pass</v>
      </c>
      <c r="Y96" s="2">
        <v>81</v>
      </c>
      <c r="Z96" s="2">
        <v>0.31019999999999998</v>
      </c>
      <c r="AA96" s="2">
        <v>0.32840000000000003</v>
      </c>
      <c r="AB96" s="2">
        <v>11.831</v>
      </c>
    </row>
    <row r="97" spans="2:28" x14ac:dyDescent="0.4">
      <c r="B97" s="11">
        <v>80</v>
      </c>
      <c r="C97" s="16">
        <f t="shared" si="5"/>
        <v>10.473737213620488</v>
      </c>
      <c r="D97" s="17">
        <f t="shared" si="7"/>
        <v>11.637485792911653</v>
      </c>
      <c r="E97" s="17">
        <f t="shared" si="6"/>
        <v>12.801234372202817</v>
      </c>
      <c r="F97" s="2">
        <v>11.389900000000001</v>
      </c>
      <c r="G97" s="2" t="str">
        <f t="shared" si="4"/>
        <v>Pass</v>
      </c>
      <c r="Y97" s="2">
        <v>82</v>
      </c>
      <c r="Z97" s="2">
        <v>0.31</v>
      </c>
      <c r="AA97" s="2">
        <v>0.32850000000000001</v>
      </c>
      <c r="AB97" s="2">
        <v>12.3527</v>
      </c>
    </row>
    <row r="98" spans="2:28" x14ac:dyDescent="0.4">
      <c r="B98" s="11">
        <v>81</v>
      </c>
      <c r="C98" s="16">
        <f t="shared" si="5"/>
        <v>10.816382527790799</v>
      </c>
      <c r="D98" s="17">
        <f t="shared" si="7"/>
        <v>12.018202808656444</v>
      </c>
      <c r="E98" s="17">
        <f t="shared" si="6"/>
        <v>13.220023089522089</v>
      </c>
      <c r="F98" s="2">
        <v>11.831</v>
      </c>
      <c r="G98" s="2" t="str">
        <f t="shared" si="4"/>
        <v>Pass</v>
      </c>
      <c r="Y98" s="2">
        <v>83</v>
      </c>
      <c r="Z98" s="2">
        <v>0.31</v>
      </c>
      <c r="AA98" s="2">
        <v>0.32819999999999999</v>
      </c>
      <c r="AB98" s="2">
        <v>12.7073</v>
      </c>
    </row>
    <row r="99" spans="2:28" x14ac:dyDescent="0.4">
      <c r="B99" s="11">
        <v>82</v>
      </c>
      <c r="C99" s="16">
        <f t="shared" si="5"/>
        <v>11.165840619715871</v>
      </c>
      <c r="D99" s="17">
        <f t="shared" si="7"/>
        <v>12.406489577462079</v>
      </c>
      <c r="E99" s="17">
        <f t="shared" si="6"/>
        <v>13.647138535208287</v>
      </c>
      <c r="F99" s="2">
        <v>12.3527</v>
      </c>
      <c r="G99" s="2" t="str">
        <f t="shared" si="4"/>
        <v>Pass</v>
      </c>
      <c r="Y99" s="2">
        <v>84</v>
      </c>
      <c r="Z99" s="2">
        <v>0.30959999999999999</v>
      </c>
      <c r="AA99" s="2">
        <v>0.3281</v>
      </c>
      <c r="AB99" s="2">
        <v>13.154299999999999</v>
      </c>
    </row>
    <row r="100" spans="2:28" x14ac:dyDescent="0.4">
      <c r="B100" s="11">
        <v>83</v>
      </c>
      <c r="C100" s="16">
        <f t="shared" si="5"/>
        <v>11.522161664803404</v>
      </c>
      <c r="D100" s="17">
        <f t="shared" si="7"/>
        <v>12.80240184978156</v>
      </c>
      <c r="E100" s="17">
        <f t="shared" si="6"/>
        <v>14.082642034759717</v>
      </c>
      <c r="F100" s="2">
        <v>12.7073</v>
      </c>
      <c r="G100" s="2" t="str">
        <f t="shared" si="4"/>
        <v>Pass</v>
      </c>
      <c r="Y100" s="2">
        <v>85</v>
      </c>
      <c r="Z100" s="2">
        <v>0.30930000000000002</v>
      </c>
      <c r="AA100" s="2">
        <v>0.32779999999999998</v>
      </c>
      <c r="AB100" s="2">
        <v>13.5518</v>
      </c>
    </row>
    <row r="101" spans="2:28" x14ac:dyDescent="0.4">
      <c r="B101" s="11">
        <v>84</v>
      </c>
      <c r="C101" s="16">
        <f t="shared" si="5"/>
        <v>11.885395595079892</v>
      </c>
      <c r="D101" s="17">
        <f t="shared" si="7"/>
        <v>13.205995105644325</v>
      </c>
      <c r="E101" s="17">
        <f t="shared" si="6"/>
        <v>14.526594616208758</v>
      </c>
      <c r="F101" s="2">
        <v>13.154299999999999</v>
      </c>
      <c r="G101" s="2" t="str">
        <f t="shared" si="4"/>
        <v>Pass</v>
      </c>
      <c r="Y101" s="2">
        <v>86</v>
      </c>
      <c r="Z101" s="2">
        <v>0.30969999999999998</v>
      </c>
      <c r="AA101" s="2">
        <v>0.3281</v>
      </c>
      <c r="AB101" s="2">
        <v>13.915900000000001</v>
      </c>
    </row>
    <row r="102" spans="2:28" x14ac:dyDescent="0.4">
      <c r="B102" s="11">
        <v>85</v>
      </c>
      <c r="C102" s="16">
        <f t="shared" si="5"/>
        <v>12.255592103273198</v>
      </c>
      <c r="D102" s="17">
        <f t="shared" si="7"/>
        <v>13.617324559192443</v>
      </c>
      <c r="E102" s="17">
        <f t="shared" si="6"/>
        <v>14.979057015111689</v>
      </c>
      <c r="F102" s="2">
        <v>13.5518</v>
      </c>
      <c r="G102" s="2" t="str">
        <f t="shared" si="4"/>
        <v>Pass</v>
      </c>
      <c r="Y102" s="2">
        <v>87</v>
      </c>
      <c r="Z102" s="2">
        <v>0.30959999999999999</v>
      </c>
      <c r="AA102" s="2">
        <v>0.3286</v>
      </c>
      <c r="AB102" s="2">
        <v>14.4209</v>
      </c>
    </row>
    <row r="103" spans="2:28" x14ac:dyDescent="0.4">
      <c r="B103" s="11">
        <v>86</v>
      </c>
      <c r="C103" s="16">
        <f t="shared" si="5"/>
        <v>12.632800646779128</v>
      </c>
      <c r="D103" s="17">
        <f t="shared" si="7"/>
        <v>14.036445163087921</v>
      </c>
      <c r="E103" s="17">
        <f t="shared" si="6"/>
        <v>15.440089679396714</v>
      </c>
      <c r="F103" s="2">
        <v>13.915900000000001</v>
      </c>
      <c r="G103" s="2" t="str">
        <f t="shared" si="4"/>
        <v>Pass</v>
      </c>
      <c r="Y103" s="2">
        <v>88</v>
      </c>
      <c r="Z103" s="2">
        <v>0.30980000000000002</v>
      </c>
      <c r="AA103" s="2">
        <v>0.32850000000000001</v>
      </c>
      <c r="AB103" s="2">
        <v>14.8538</v>
      </c>
    </row>
    <row r="104" spans="2:28" x14ac:dyDescent="0.4">
      <c r="B104" s="11">
        <v>87</v>
      </c>
      <c r="C104" s="16">
        <f t="shared" si="5"/>
        <v>13.017070451516563</v>
      </c>
      <c r="D104" s="17">
        <f t="shared" si="7"/>
        <v>14.463411612796182</v>
      </c>
      <c r="E104" s="17">
        <f t="shared" si="6"/>
        <v>15.909752774075802</v>
      </c>
      <c r="F104" s="2">
        <v>14.4209</v>
      </c>
      <c r="G104" s="2" t="str">
        <f t="shared" si="4"/>
        <v>Pass</v>
      </c>
      <c r="Y104" s="2">
        <v>89</v>
      </c>
      <c r="Z104" s="2">
        <v>0.3095</v>
      </c>
      <c r="AA104" s="2">
        <v>0.32790000000000002</v>
      </c>
      <c r="AB104" s="2">
        <v>15.428800000000001</v>
      </c>
    </row>
    <row r="105" spans="2:28" x14ac:dyDescent="0.4">
      <c r="B105" s="11">
        <v>88</v>
      </c>
      <c r="C105" s="16">
        <f t="shared" si="5"/>
        <v>13.40845051567568</v>
      </c>
      <c r="D105" s="17">
        <f t="shared" si="7"/>
        <v>14.898278350750756</v>
      </c>
      <c r="E105" s="17">
        <f t="shared" si="6"/>
        <v>16.388106185825833</v>
      </c>
      <c r="F105" s="2">
        <v>14.8538</v>
      </c>
      <c r="G105" s="2" t="str">
        <f t="shared" si="4"/>
        <v>Pass</v>
      </c>
      <c r="Y105" s="2">
        <v>90</v>
      </c>
      <c r="Z105" s="2">
        <v>0.30880000000000002</v>
      </c>
      <c r="AA105" s="2">
        <v>0.32690000000000002</v>
      </c>
      <c r="AB105" s="2">
        <v>15.8422</v>
      </c>
    </row>
    <row r="106" spans="2:28" x14ac:dyDescent="0.4">
      <c r="B106" s="11">
        <v>89</v>
      </c>
      <c r="C106" s="16">
        <f t="shared" si="5"/>
        <v>13.806989613363189</v>
      </c>
      <c r="D106" s="17">
        <f t="shared" si="7"/>
        <v>15.341099570403545</v>
      </c>
      <c r="E106" s="17">
        <f t="shared" si="6"/>
        <v>16.8752095274439</v>
      </c>
      <c r="F106" s="2">
        <v>15.428800000000001</v>
      </c>
      <c r="G106" s="2" t="str">
        <f t="shared" si="4"/>
        <v>Pass</v>
      </c>
      <c r="Y106" s="2">
        <v>91</v>
      </c>
      <c r="Z106" s="2">
        <v>0.30890000000000001</v>
      </c>
      <c r="AA106" s="2">
        <v>0.32640000000000002</v>
      </c>
      <c r="AB106" s="2">
        <v>16.3643</v>
      </c>
    </row>
    <row r="107" spans="2:28" x14ac:dyDescent="0.4">
      <c r="B107" s="11">
        <v>90</v>
      </c>
      <c r="C107" s="16">
        <f t="shared" si="5"/>
        <v>14.212736298148782</v>
      </c>
      <c r="D107" s="17">
        <f t="shared" si="7"/>
        <v>15.791929220165313</v>
      </c>
      <c r="E107" s="17">
        <f t="shared" si="6"/>
        <v>17.371122142181846</v>
      </c>
      <c r="F107" s="2">
        <v>15.8422</v>
      </c>
      <c r="G107" s="2" t="str">
        <f t="shared" si="4"/>
        <v>Pass</v>
      </c>
      <c r="Y107" s="2">
        <v>92</v>
      </c>
      <c r="Z107" s="2">
        <v>0.30890000000000001</v>
      </c>
      <c r="AA107" s="2">
        <v>0.32629999999999998</v>
      </c>
      <c r="AB107" s="2">
        <v>16.8262</v>
      </c>
    </row>
    <row r="108" spans="2:28" x14ac:dyDescent="0.4">
      <c r="B108" s="11">
        <v>91</v>
      </c>
      <c r="C108" s="16">
        <f t="shared" si="5"/>
        <v>14.625738906516315</v>
      </c>
      <c r="D108" s="17">
        <f t="shared" si="7"/>
        <v>16.250821007240351</v>
      </c>
      <c r="E108" s="17">
        <f t="shared" si="6"/>
        <v>17.875903107964387</v>
      </c>
      <c r="F108" s="2">
        <v>16.3643</v>
      </c>
      <c r="G108" s="2" t="str">
        <f t="shared" si="4"/>
        <v>Pass</v>
      </c>
      <c r="Y108" s="2">
        <v>93</v>
      </c>
      <c r="Z108" s="2">
        <v>0.30909999999999999</v>
      </c>
      <c r="AA108" s="2">
        <v>0.32650000000000001</v>
      </c>
      <c r="AB108" s="2">
        <v>17.2699</v>
      </c>
    </row>
    <row r="109" spans="2:28" x14ac:dyDescent="0.4">
      <c r="B109" s="11">
        <v>92</v>
      </c>
      <c r="C109" s="16">
        <f t="shared" si="5"/>
        <v>15.046045561223538</v>
      </c>
      <c r="D109" s="17">
        <f t="shared" si="7"/>
        <v>16.717828401359487</v>
      </c>
      <c r="E109" s="17">
        <f t="shared" si="6"/>
        <v>18.389611241495437</v>
      </c>
      <c r="F109" s="2">
        <v>16.8262</v>
      </c>
      <c r="G109" s="2" t="str">
        <f t="shared" si="4"/>
        <v>Pass</v>
      </c>
      <c r="Y109" s="2">
        <v>94</v>
      </c>
      <c r="Z109" s="2">
        <v>0.31130000000000002</v>
      </c>
      <c r="AA109" s="2">
        <v>0.3306</v>
      </c>
      <c r="AB109" s="2">
        <v>17.8245</v>
      </c>
    </row>
    <row r="110" spans="2:28" x14ac:dyDescent="0.4">
      <c r="B110" s="11">
        <v>93</v>
      </c>
      <c r="C110" s="16">
        <f t="shared" si="5"/>
        <v>15.473704174573639</v>
      </c>
      <c r="D110" s="17">
        <f t="shared" si="7"/>
        <v>17.193004638415154</v>
      </c>
      <c r="E110" s="17">
        <f t="shared" si="6"/>
        <v>18.912305102256671</v>
      </c>
      <c r="F110" s="2">
        <v>17.2699</v>
      </c>
      <c r="G110" s="2" t="str">
        <f t="shared" si="4"/>
        <v>Pass</v>
      </c>
      <c r="Y110" s="2">
        <v>95</v>
      </c>
      <c r="Z110" s="2">
        <v>0.31130000000000002</v>
      </c>
      <c r="AA110" s="2">
        <v>0.33040000000000003</v>
      </c>
      <c r="AB110" s="2">
        <v>18.284700000000001</v>
      </c>
    </row>
    <row r="111" spans="2:28" x14ac:dyDescent="0.4">
      <c r="B111" s="11">
        <v>94</v>
      </c>
      <c r="C111" s="16">
        <f t="shared" si="5"/>
        <v>15.908762451601751</v>
      </c>
      <c r="D111" s="17">
        <f t="shared" si="7"/>
        <v>17.676402724001946</v>
      </c>
      <c r="E111" s="17">
        <f t="shared" si="6"/>
        <v>19.444042996402139</v>
      </c>
      <c r="F111" s="2">
        <v>17.8245</v>
      </c>
      <c r="G111" s="2" t="str">
        <f t="shared" si="4"/>
        <v>Pass</v>
      </c>
      <c r="Y111" s="2">
        <v>96</v>
      </c>
      <c r="Z111" s="2">
        <v>0.31140000000000001</v>
      </c>
      <c r="AA111" s="2">
        <v>0.33050000000000002</v>
      </c>
      <c r="AB111" s="2">
        <v>18.7364</v>
      </c>
    </row>
    <row r="112" spans="2:28" x14ac:dyDescent="0.4">
      <c r="B112" s="11">
        <v>95</v>
      </c>
      <c r="C112" s="16">
        <f t="shared" si="5"/>
        <v>16.351267893179802</v>
      </c>
      <c r="D112" s="17">
        <f t="shared" si="7"/>
        <v>18.168075436866445</v>
      </c>
      <c r="E112" s="17">
        <f t="shared" si="6"/>
        <v>19.984882980553088</v>
      </c>
      <c r="F112" s="2">
        <v>18.284700000000001</v>
      </c>
      <c r="G112" s="2" t="str">
        <f t="shared" si="4"/>
        <v>Pass</v>
      </c>
      <c r="Y112" s="2">
        <v>97</v>
      </c>
      <c r="Z112" s="2">
        <v>0.3115</v>
      </c>
      <c r="AA112" s="2">
        <v>0.3306</v>
      </c>
      <c r="AB112" s="2">
        <v>19.336099999999998</v>
      </c>
    </row>
    <row r="113" spans="2:28" x14ac:dyDescent="0.4">
      <c r="B113" s="11">
        <v>96</v>
      </c>
      <c r="C113" s="16">
        <f t="shared" si="5"/>
        <v>16.801267799042346</v>
      </c>
      <c r="D113" s="17">
        <f t="shared" si="7"/>
        <v>18.668075332269275</v>
      </c>
      <c r="E113" s="17">
        <f t="shared" si="6"/>
        <v>20.534882865496204</v>
      </c>
      <c r="F113" s="2">
        <v>18.7364</v>
      </c>
      <c r="G113" s="2" t="str">
        <f t="shared" si="4"/>
        <v>Pass</v>
      </c>
      <c r="Y113" s="2">
        <v>98</v>
      </c>
      <c r="Z113" s="2">
        <v>0.3115</v>
      </c>
      <c r="AA113" s="2">
        <v>0.33050000000000002</v>
      </c>
      <c r="AB113" s="2">
        <v>19.786100000000001</v>
      </c>
    </row>
    <row r="114" spans="2:28" x14ac:dyDescent="0.4">
      <c r="B114" s="11">
        <v>97</v>
      </c>
      <c r="C114" s="16">
        <f t="shared" si="5"/>
        <v>17.258809270736421</v>
      </c>
      <c r="D114" s="17">
        <f t="shared" si="7"/>
        <v>19.176454745262689</v>
      </c>
      <c r="E114" s="17">
        <f t="shared" si="6"/>
        <v>21.094100219788956</v>
      </c>
      <c r="F114" s="2">
        <v>19.336099999999998</v>
      </c>
      <c r="G114" s="2" t="str">
        <f t="shared" si="4"/>
        <v>Pass</v>
      </c>
      <c r="Y114" s="2">
        <v>99</v>
      </c>
      <c r="Z114" s="2">
        <v>0.3115</v>
      </c>
      <c r="AA114" s="2">
        <v>0.33040000000000003</v>
      </c>
      <c r="AB114" s="2">
        <v>20.329899999999999</v>
      </c>
    </row>
    <row r="115" spans="2:28" x14ac:dyDescent="0.4">
      <c r="B115" s="11">
        <v>98</v>
      </c>
      <c r="C115" s="16">
        <f t="shared" si="5"/>
        <v>17.723939214497872</v>
      </c>
      <c r="D115" s="17">
        <f t="shared" si="7"/>
        <v>19.693265793886525</v>
      </c>
      <c r="E115" s="17">
        <f t="shared" si="6"/>
        <v>21.662592373275178</v>
      </c>
      <c r="F115" s="2">
        <v>19.786100000000001</v>
      </c>
      <c r="G115" s="2" t="str">
        <f t="shared" si="4"/>
        <v>Pass</v>
      </c>
      <c r="Y115" s="2">
        <v>100</v>
      </c>
      <c r="Z115" s="2">
        <v>0.3115</v>
      </c>
      <c r="AA115" s="2">
        <v>0.33040000000000003</v>
      </c>
      <c r="AB115" s="2">
        <v>20.869900000000001</v>
      </c>
    </row>
    <row r="116" spans="2:28" x14ac:dyDescent="0.4">
      <c r="B116" s="11">
        <v>99</v>
      </c>
      <c r="C116" s="16">
        <f t="shared" si="5"/>
        <v>18.19670434405699</v>
      </c>
      <c r="D116" s="17">
        <f t="shared" si="7"/>
        <v>20.218560382285542</v>
      </c>
      <c r="E116" s="17">
        <f t="shared" si="6"/>
        <v>22.240416420514094</v>
      </c>
      <c r="F116" s="2">
        <v>20.329899999999999</v>
      </c>
      <c r="G116" s="2" t="str">
        <f t="shared" si="4"/>
        <v>Pass</v>
      </c>
      <c r="Y116" s="2">
        <v>101</v>
      </c>
      <c r="Z116" s="2">
        <v>0.31130000000000002</v>
      </c>
      <c r="AA116" s="2">
        <v>0.33019999999999999</v>
      </c>
      <c r="AB116" s="2">
        <v>21.505700000000001</v>
      </c>
    </row>
    <row r="117" spans="2:28" x14ac:dyDescent="0.4">
      <c r="B117" s="11">
        <v>100</v>
      </c>
      <c r="C117" s="16">
        <f t="shared" si="5"/>
        <v>18.677151183375681</v>
      </c>
      <c r="D117" s="17">
        <f t="shared" si="7"/>
        <v>20.752390203750757</v>
      </c>
      <c r="E117" s="17">
        <f t="shared" si="6"/>
        <v>22.827629224125833</v>
      </c>
      <c r="F117" s="2">
        <v>20.869900000000001</v>
      </c>
      <c r="G117" s="2" t="str">
        <f t="shared" si="4"/>
        <v>Pass</v>
      </c>
      <c r="Y117" s="2">
        <v>102</v>
      </c>
      <c r="Z117" s="2">
        <v>0.31059999999999999</v>
      </c>
      <c r="AA117" s="2">
        <v>0.33029999999999998</v>
      </c>
      <c r="AB117" s="2">
        <v>21.972899999999999</v>
      </c>
    </row>
    <row r="118" spans="2:28" x14ac:dyDescent="0.4">
      <c r="B118" s="11">
        <v>101</v>
      </c>
      <c r="C118" s="16">
        <f t="shared" si="5"/>
        <v>19.165326069318613</v>
      </c>
      <c r="D118" s="17">
        <f t="shared" si="7"/>
        <v>21.294806743687349</v>
      </c>
      <c r="E118" s="17">
        <f t="shared" si="6"/>
        <v>23.424287418056085</v>
      </c>
      <c r="F118" s="2">
        <v>21.505700000000001</v>
      </c>
      <c r="G118" s="2" t="str">
        <f t="shared" si="4"/>
        <v>Pass</v>
      </c>
      <c r="Y118" s="2">
        <v>103</v>
      </c>
      <c r="Z118" s="2">
        <v>0.31090000000000001</v>
      </c>
      <c r="AA118" s="2">
        <v>0.3306</v>
      </c>
      <c r="AB118" s="2">
        <v>22.6509</v>
      </c>
    </row>
    <row r="119" spans="2:28" x14ac:dyDescent="0.4">
      <c r="B119" s="11">
        <v>102</v>
      </c>
      <c r="C119" s="16">
        <f t="shared" si="5"/>
        <v>19.661275154260498</v>
      </c>
      <c r="D119" s="17">
        <f t="shared" si="7"/>
        <v>21.845861282511663</v>
      </c>
      <c r="E119" s="17">
        <f t="shared" si="6"/>
        <v>24.030447410762829</v>
      </c>
      <c r="F119" s="2">
        <v>21.972899999999999</v>
      </c>
      <c r="G119" s="2" t="str">
        <f t="shared" si="4"/>
        <v>Pass</v>
      </c>
      <c r="Y119" s="2">
        <v>104</v>
      </c>
      <c r="Z119" s="2">
        <v>0.31069999999999998</v>
      </c>
      <c r="AA119" s="2">
        <v>0.3301</v>
      </c>
      <c r="AB119" s="2">
        <v>23.157699999999998</v>
      </c>
    </row>
    <row r="120" spans="2:28" x14ac:dyDescent="0.4">
      <c r="B120" s="11">
        <v>103</v>
      </c>
      <c r="C120" s="16">
        <f t="shared" si="5"/>
        <v>20.165044408631783</v>
      </c>
      <c r="D120" s="17">
        <f t="shared" si="7"/>
        <v>22.405604898479758</v>
      </c>
      <c r="E120" s="17">
        <f t="shared" si="6"/>
        <v>24.646165388327734</v>
      </c>
      <c r="F120" s="2">
        <v>22.6509</v>
      </c>
      <c r="G120" s="2" t="str">
        <f t="shared" si="4"/>
        <v>Pass</v>
      </c>
      <c r="Y120" s="2">
        <v>105</v>
      </c>
      <c r="Z120" s="2">
        <v>0.31090000000000001</v>
      </c>
      <c r="AA120" s="2">
        <v>0.33019999999999999</v>
      </c>
      <c r="AB120" s="2">
        <v>23.6829</v>
      </c>
    </row>
    <row r="121" spans="2:28" x14ac:dyDescent="0.4">
      <c r="B121" s="11">
        <v>104</v>
      </c>
      <c r="C121" s="16">
        <f t="shared" si="5"/>
        <v>20.676679623404635</v>
      </c>
      <c r="D121" s="17">
        <f t="shared" si="7"/>
        <v>22.974088470449594</v>
      </c>
      <c r="E121" s="17">
        <f t="shared" si="6"/>
        <v>25.271497317494553</v>
      </c>
      <c r="F121" s="2">
        <v>23.157699999999998</v>
      </c>
      <c r="G121" s="2" t="str">
        <f t="shared" si="4"/>
        <v>Pass</v>
      </c>
      <c r="Y121" s="2">
        <v>106</v>
      </c>
      <c r="Z121" s="2">
        <v>0.31330000000000002</v>
      </c>
      <c r="AA121" s="2">
        <v>0.33300000000000002</v>
      </c>
      <c r="AB121" s="2">
        <v>24.337700000000002</v>
      </c>
    </row>
    <row r="122" spans="2:28" x14ac:dyDescent="0.4">
      <c r="B122" s="11">
        <v>105</v>
      </c>
      <c r="C122" s="16">
        <f t="shared" si="5"/>
        <v>21.196226412521323</v>
      </c>
      <c r="D122" s="17">
        <f t="shared" si="7"/>
        <v>23.551362680579249</v>
      </c>
      <c r="E122" s="17">
        <f t="shared" si="6"/>
        <v>25.906498948637175</v>
      </c>
      <c r="F122" s="2">
        <v>23.6829</v>
      </c>
      <c r="G122" s="2" t="str">
        <f t="shared" si="4"/>
        <v>Pass</v>
      </c>
      <c r="Y122" s="2">
        <v>107</v>
      </c>
      <c r="Z122" s="2">
        <v>0.31309999999999999</v>
      </c>
      <c r="AA122" s="2">
        <v>0.32969999999999999</v>
      </c>
      <c r="AB122" s="2">
        <v>24.577400000000001</v>
      </c>
    </row>
    <row r="123" spans="2:28" x14ac:dyDescent="0.4">
      <c r="B123" s="11">
        <v>106</v>
      </c>
      <c r="C123" s="16">
        <f t="shared" si="5"/>
        <v>21.723730215266723</v>
      </c>
      <c r="D123" s="17">
        <f t="shared" si="7"/>
        <v>24.137478016963026</v>
      </c>
      <c r="E123" s="17">
        <f t="shared" si="6"/>
        <v>26.551225818659329</v>
      </c>
      <c r="F123" s="2">
        <v>24.337700000000002</v>
      </c>
      <c r="G123" s="2" t="str">
        <f t="shared" si="4"/>
        <v>Pass</v>
      </c>
      <c r="Y123" s="2">
        <v>108</v>
      </c>
      <c r="Z123" s="2">
        <v>0.31330000000000002</v>
      </c>
      <c r="AA123" s="2">
        <v>0.32950000000000002</v>
      </c>
      <c r="AB123" s="2">
        <v>25.052800000000001</v>
      </c>
    </row>
    <row r="124" spans="2:28" x14ac:dyDescent="0.4">
      <c r="B124" s="11">
        <v>107</v>
      </c>
      <c r="C124" s="16">
        <f t="shared" si="5"/>
        <v>22.259236298586917</v>
      </c>
      <c r="D124" s="17">
        <f t="shared" si="7"/>
        <v>24.732484776207684</v>
      </c>
      <c r="E124" s="17">
        <f t="shared" si="6"/>
        <v>27.205733253828452</v>
      </c>
      <c r="F124" s="2">
        <v>24.577400000000001</v>
      </c>
      <c r="G124" s="2" t="str">
        <f t="shared" si="4"/>
        <v>Pass</v>
      </c>
      <c r="Y124" s="2">
        <v>109</v>
      </c>
      <c r="Z124" s="2">
        <v>0.31330000000000002</v>
      </c>
      <c r="AA124" s="2">
        <v>0.32969999999999999</v>
      </c>
      <c r="AB124" s="2">
        <v>25.593399999999999</v>
      </c>
    </row>
    <row r="125" spans="2:28" x14ac:dyDescent="0.4">
      <c r="B125" s="11">
        <v>108</v>
      </c>
      <c r="C125" s="16">
        <f t="shared" si="5"/>
        <v>22.802789759355463</v>
      </c>
      <c r="D125" s="17">
        <f t="shared" si="7"/>
        <v>25.336433065950516</v>
      </c>
      <c r="E125" s="17">
        <f t="shared" si="6"/>
        <v>27.870076372545569</v>
      </c>
      <c r="F125" s="2">
        <v>25.052800000000001</v>
      </c>
      <c r="G125" s="2" t="str">
        <f t="shared" si="4"/>
        <v>Pass</v>
      </c>
      <c r="Y125" s="2">
        <v>110</v>
      </c>
      <c r="Z125" s="2">
        <v>0.31309999999999999</v>
      </c>
      <c r="AA125" s="2">
        <v>0.32940000000000003</v>
      </c>
      <c r="AB125" s="2">
        <v>26.2959</v>
      </c>
    </row>
    <row r="126" spans="2:28" x14ac:dyDescent="0.4">
      <c r="B126" s="11">
        <v>109</v>
      </c>
      <c r="C126" s="16">
        <f t="shared" si="5"/>
        <v>23.3544355265891</v>
      </c>
      <c r="D126" s="17">
        <f t="shared" si="7"/>
        <v>25.949372807321222</v>
      </c>
      <c r="E126" s="17">
        <f t="shared" si="6"/>
        <v>28.544310088053344</v>
      </c>
      <c r="F126" s="2">
        <v>25.593399999999999</v>
      </c>
      <c r="G126" s="2" t="str">
        <f t="shared" si="4"/>
        <v>Pass</v>
      </c>
      <c r="Y126" s="2">
        <v>111</v>
      </c>
      <c r="Z126" s="2">
        <v>0.31169999999999998</v>
      </c>
      <c r="AA126" s="2">
        <v>0.33</v>
      </c>
      <c r="AB126" s="2">
        <v>26.894200000000001</v>
      </c>
    </row>
    <row r="127" spans="2:28" x14ac:dyDescent="0.4">
      <c r="B127" s="11">
        <v>110</v>
      </c>
      <c r="C127" s="16">
        <f t="shared" si="5"/>
        <v>23.91421836361436</v>
      </c>
      <c r="D127" s="17">
        <f t="shared" si="7"/>
        <v>26.571353737349291</v>
      </c>
      <c r="E127" s="17">
        <f t="shared" si="6"/>
        <v>29.228489111084222</v>
      </c>
      <c r="F127" s="2">
        <v>26.2959</v>
      </c>
      <c r="G127" s="2" t="str">
        <f t="shared" si="4"/>
        <v>Pass</v>
      </c>
      <c r="Y127" s="2">
        <v>112</v>
      </c>
      <c r="Z127" s="2">
        <v>0.30990000000000001</v>
      </c>
      <c r="AA127" s="2">
        <v>0.33029999999999998</v>
      </c>
      <c r="AB127" s="2">
        <v>27.342300000000002</v>
      </c>
    </row>
    <row r="128" spans="2:28" x14ac:dyDescent="0.4">
      <c r="B128" s="11">
        <v>111</v>
      </c>
      <c r="C128" s="16">
        <f t="shared" si="5"/>
        <v>24.482182870186708</v>
      </c>
      <c r="D128" s="17">
        <f t="shared" si="7"/>
        <v>27.202425411318565</v>
      </c>
      <c r="E128" s="17">
        <f t="shared" si="6"/>
        <v>29.922667952450421</v>
      </c>
      <c r="F128" s="2">
        <v>26.894200000000001</v>
      </c>
      <c r="G128" s="2" t="str">
        <f t="shared" si="4"/>
        <v>Pass</v>
      </c>
      <c r="Y128" s="2">
        <v>113</v>
      </c>
      <c r="Z128" s="2">
        <v>0.31109999999999999</v>
      </c>
      <c r="AA128" s="2">
        <v>0.3301</v>
      </c>
      <c r="AB128" s="2">
        <v>27.9953</v>
      </c>
    </row>
    <row r="129" spans="2:28" x14ac:dyDescent="0.4">
      <c r="B129" s="11">
        <v>112</v>
      </c>
      <c r="C129" s="16">
        <f t="shared" si="5"/>
        <v>25.058373484563681</v>
      </c>
      <c r="D129" s="17">
        <f t="shared" si="7"/>
        <v>27.842637205070755</v>
      </c>
      <c r="E129" s="17">
        <f t="shared" si="6"/>
        <v>30.626900925577829</v>
      </c>
      <c r="F129" s="2">
        <v>27.342300000000002</v>
      </c>
      <c r="G129" s="2" t="str">
        <f t="shared" si="4"/>
        <v>Pass</v>
      </c>
      <c r="Y129" s="2">
        <v>114</v>
      </c>
      <c r="Z129" s="2">
        <v>0.31109999999999999</v>
      </c>
      <c r="AA129" s="2">
        <v>0.32979999999999998</v>
      </c>
      <c r="AB129" s="2">
        <v>28.716200000000001</v>
      </c>
    </row>
    <row r="130" spans="2:28" x14ac:dyDescent="0.4">
      <c r="B130" s="11">
        <v>113</v>
      </c>
      <c r="C130" s="16">
        <f t="shared" si="5"/>
        <v>25.642834485533317</v>
      </c>
      <c r="D130" s="17">
        <f t="shared" si="7"/>
        <v>28.49203831725924</v>
      </c>
      <c r="E130" s="17">
        <f t="shared" si="6"/>
        <v>31.341242148985163</v>
      </c>
      <c r="F130" s="2">
        <v>27.9953</v>
      </c>
      <c r="G130" s="2" t="str">
        <f t="shared" si="4"/>
        <v>Pass</v>
      </c>
      <c r="Y130" s="2">
        <v>115</v>
      </c>
      <c r="Z130" s="2">
        <v>0.3105</v>
      </c>
      <c r="AA130" s="2">
        <v>0.32879999999999998</v>
      </c>
      <c r="AB130" s="2">
        <v>29.306699999999999</v>
      </c>
    </row>
    <row r="131" spans="2:28" x14ac:dyDescent="0.4">
      <c r="B131" s="11">
        <v>114</v>
      </c>
      <c r="C131" s="16">
        <f t="shared" si="5"/>
        <v>26.235609994399326</v>
      </c>
      <c r="D131" s="17">
        <f t="shared" si="7"/>
        <v>29.150677771554808</v>
      </c>
      <c r="E131" s="17">
        <f t="shared" si="6"/>
        <v>32.065745548710289</v>
      </c>
      <c r="F131" s="2">
        <v>28.716200000000001</v>
      </c>
      <c r="G131" s="2" t="str">
        <f t="shared" si="4"/>
        <v>Pass</v>
      </c>
      <c r="Y131" s="2">
        <v>116</v>
      </c>
      <c r="Z131" s="2">
        <v>0.3105</v>
      </c>
      <c r="AA131" s="2">
        <v>0.32869999999999999</v>
      </c>
      <c r="AB131" s="2">
        <v>30.090699999999998</v>
      </c>
    </row>
    <row r="132" spans="2:28" x14ac:dyDescent="0.4">
      <c r="B132" s="11">
        <v>115</v>
      </c>
      <c r="C132" s="16">
        <f t="shared" si="5"/>
        <v>26.836743976924282</v>
      </c>
      <c r="D132" s="17">
        <f t="shared" si="7"/>
        <v>29.818604418804757</v>
      </c>
      <c r="E132" s="17">
        <f t="shared" si="6"/>
        <v>32.800464860685231</v>
      </c>
      <c r="F132" s="2">
        <v>29.306699999999999</v>
      </c>
      <c r="G132" s="2" t="str">
        <f t="shared" si="4"/>
        <v>Pass</v>
      </c>
      <c r="Y132" s="2">
        <v>117</v>
      </c>
      <c r="Z132" s="2">
        <v>0.31230000000000002</v>
      </c>
      <c r="AA132" s="2">
        <v>0.33139999999999997</v>
      </c>
      <c r="AB132" s="2">
        <v>30.656400000000001</v>
      </c>
    </row>
    <row r="133" spans="2:28" x14ac:dyDescent="0.4">
      <c r="B133" s="11">
        <v>116</v>
      </c>
      <c r="C133" s="16">
        <f t="shared" si="5"/>
        <v>27.44628024523201</v>
      </c>
      <c r="D133" s="17">
        <f t="shared" si="7"/>
        <v>30.49586693914668</v>
      </c>
      <c r="E133" s="17">
        <f t="shared" si="6"/>
        <v>33.545453633061349</v>
      </c>
      <c r="F133" s="2">
        <v>30.090699999999998</v>
      </c>
      <c r="G133" s="2" t="str">
        <f t="shared" si="4"/>
        <v>Pass</v>
      </c>
      <c r="Y133" s="2">
        <v>118</v>
      </c>
      <c r="Z133" s="2">
        <v>0.31230000000000002</v>
      </c>
      <c r="AA133" s="2">
        <v>0.33139999999999997</v>
      </c>
      <c r="AB133" s="2">
        <v>31.241099999999999</v>
      </c>
    </row>
    <row r="134" spans="2:28" x14ac:dyDescent="0.4">
      <c r="B134" s="11">
        <v>117</v>
      </c>
      <c r="C134" s="16">
        <f t="shared" si="5"/>
        <v>28.064262459670587</v>
      </c>
      <c r="D134" s="17">
        <f t="shared" si="7"/>
        <v>31.182513844078429</v>
      </c>
      <c r="E134" s="17">
        <f t="shared" si="6"/>
        <v>34.30076522848627</v>
      </c>
      <c r="F134" s="2">
        <v>30.656400000000001</v>
      </c>
      <c r="G134" s="2" t="str">
        <f t="shared" si="4"/>
        <v>Pass</v>
      </c>
      <c r="Y134" s="2">
        <v>119</v>
      </c>
      <c r="Z134" s="2">
        <v>0.31230000000000002</v>
      </c>
      <c r="AA134" s="2">
        <v>0.33129999999999998</v>
      </c>
      <c r="AB134" s="2">
        <v>32.051900000000003</v>
      </c>
    </row>
    <row r="135" spans="2:28" x14ac:dyDescent="0.4">
      <c r="B135" s="11">
        <v>118</v>
      </c>
      <c r="C135" s="16">
        <f t="shared" si="5"/>
        <v>28.690734130636692</v>
      </c>
      <c r="D135" s="17">
        <f t="shared" si="7"/>
        <v>31.878593478485215</v>
      </c>
      <c r="E135" s="17">
        <f t="shared" si="6"/>
        <v>35.066452826333737</v>
      </c>
      <c r="F135" s="2">
        <v>31.241099999999999</v>
      </c>
      <c r="G135" s="2" t="str">
        <f t="shared" si="4"/>
        <v>Pass</v>
      </c>
      <c r="Y135" s="2">
        <v>120</v>
      </c>
      <c r="Z135" s="2">
        <v>0.31230000000000002</v>
      </c>
      <c r="AA135" s="2">
        <v>0.33110000000000001</v>
      </c>
      <c r="AB135" s="2">
        <v>32.662100000000002</v>
      </c>
    </row>
    <row r="136" spans="2:28" x14ac:dyDescent="0.4">
      <c r="B136" s="11">
        <v>119</v>
      </c>
      <c r="C136" s="16">
        <f t="shared" si="5"/>
        <v>29.325738620362898</v>
      </c>
      <c r="D136" s="17">
        <f t="shared" si="7"/>
        <v>32.584154022625441</v>
      </c>
      <c r="E136" s="17">
        <f t="shared" si="6"/>
        <v>35.842569424887984</v>
      </c>
      <c r="F136" s="2">
        <v>32.051900000000003</v>
      </c>
      <c r="G136" s="2" t="str">
        <f t="shared" si="4"/>
        <v>Pass</v>
      </c>
      <c r="Y136" s="2">
        <v>121</v>
      </c>
      <c r="Z136" s="2">
        <v>0.31230000000000002</v>
      </c>
      <c r="AA136" s="2">
        <v>0.33110000000000001</v>
      </c>
      <c r="AB136" s="2">
        <v>33.465499999999999</v>
      </c>
    </row>
    <row r="137" spans="2:28" x14ac:dyDescent="0.4">
      <c r="B137" s="11">
        <v>120</v>
      </c>
      <c r="C137" s="16">
        <f t="shared" si="5"/>
        <v>29.969319144668745</v>
      </c>
      <c r="D137" s="17">
        <f t="shared" si="7"/>
        <v>33.299243494076386</v>
      </c>
      <c r="E137" s="17">
        <f t="shared" si="6"/>
        <v>36.629167843484026</v>
      </c>
      <c r="F137" s="2">
        <v>32.662100000000002</v>
      </c>
      <c r="G137" s="2" t="str">
        <f t="shared" si="4"/>
        <v>Pass</v>
      </c>
      <c r="Y137" s="2">
        <v>122</v>
      </c>
      <c r="Z137" s="2">
        <v>0.31240000000000001</v>
      </c>
      <c r="AA137" s="2">
        <v>0.33110000000000001</v>
      </c>
      <c r="AB137" s="2">
        <v>34.101100000000002</v>
      </c>
    </row>
    <row r="138" spans="2:28" x14ac:dyDescent="0.4">
      <c r="B138" s="11">
        <v>121</v>
      </c>
      <c r="C138" s="16">
        <f t="shared" si="5"/>
        <v>30.62151877467646</v>
      </c>
      <c r="D138" s="17">
        <f t="shared" si="7"/>
        <v>34.023909749640509</v>
      </c>
      <c r="E138" s="17">
        <f t="shared" si="6"/>
        <v>37.426300724604559</v>
      </c>
      <c r="F138" s="2">
        <v>33.465499999999999</v>
      </c>
      <c r="G138" s="2" t="str">
        <f t="shared" si="4"/>
        <v>Pass</v>
      </c>
      <c r="Y138" s="2">
        <v>123</v>
      </c>
      <c r="Z138" s="2">
        <v>0.31240000000000001</v>
      </c>
      <c r="AA138" s="2">
        <v>0.33119999999999999</v>
      </c>
      <c r="AB138" s="2">
        <v>34.983199999999997</v>
      </c>
    </row>
    <row r="139" spans="2:28" x14ac:dyDescent="0.4">
      <c r="B139" s="11">
        <v>122</v>
      </c>
      <c r="C139" s="16">
        <f t="shared" si="5"/>
        <v>31.28238043849268</v>
      </c>
      <c r="D139" s="17">
        <f t="shared" si="7"/>
        <v>34.75820048721409</v>
      </c>
      <c r="E139" s="17">
        <f t="shared" si="6"/>
        <v>38.2340205359355</v>
      </c>
      <c r="F139" s="2">
        <v>34.101100000000002</v>
      </c>
      <c r="G139" s="2" t="str">
        <f t="shared" si="4"/>
        <v>Pass</v>
      </c>
      <c r="Y139" s="2">
        <v>124</v>
      </c>
      <c r="Z139" s="2">
        <v>0.31209999999999999</v>
      </c>
      <c r="AA139" s="2">
        <v>0.33100000000000002</v>
      </c>
      <c r="AB139" s="2">
        <v>35.620399999999997</v>
      </c>
    </row>
    <row r="140" spans="2:28" x14ac:dyDescent="0.4">
      <c r="B140" s="11">
        <v>123</v>
      </c>
      <c r="C140" s="16">
        <f t="shared" si="5"/>
        <v>31.951946922856802</v>
      </c>
      <c r="D140" s="17">
        <f t="shared" si="7"/>
        <v>35.502163247618668</v>
      </c>
      <c r="E140" s="17">
        <f t="shared" si="6"/>
        <v>39.052379572380538</v>
      </c>
      <c r="F140" s="2">
        <v>34.983199999999997</v>
      </c>
      <c r="G140" s="2" t="str">
        <f t="shared" si="4"/>
        <v>Pass</v>
      </c>
      <c r="Y140" s="2">
        <v>125</v>
      </c>
      <c r="Z140" s="2">
        <v>0.31219999999999998</v>
      </c>
      <c r="AA140" s="2">
        <v>0.33100000000000002</v>
      </c>
      <c r="AB140" s="2">
        <v>36.312899999999999</v>
      </c>
    </row>
    <row r="141" spans="2:28" x14ac:dyDescent="0.4">
      <c r="B141" s="11">
        <v>124</v>
      </c>
      <c r="C141" s="16">
        <f t="shared" si="5"/>
        <v>32.630260874757184</v>
      </c>
      <c r="D141" s="17">
        <f t="shared" si="7"/>
        <v>36.255845416396873</v>
      </c>
      <c r="E141" s="17">
        <f t="shared" si="6"/>
        <v>39.881429958036563</v>
      </c>
      <c r="F141" s="2">
        <v>35.620399999999997</v>
      </c>
      <c r="G141" s="2" t="str">
        <f t="shared" si="4"/>
        <v>Pass</v>
      </c>
      <c r="Y141" s="2">
        <v>126</v>
      </c>
      <c r="Z141" s="2">
        <v>0.31209999999999999</v>
      </c>
      <c r="AA141" s="2">
        <v>0.33100000000000002</v>
      </c>
      <c r="AB141" s="2">
        <v>37.238900000000001</v>
      </c>
    </row>
    <row r="142" spans="2:28" x14ac:dyDescent="0.4">
      <c r="B142" s="11">
        <v>125</v>
      </c>
      <c r="C142" s="16">
        <f t="shared" si="5"/>
        <v>33.317364803015749</v>
      </c>
      <c r="D142" s="17">
        <f t="shared" si="7"/>
        <v>37.019294225573056</v>
      </c>
      <c r="E142" s="17">
        <f t="shared" si="6"/>
        <v>40.721223648130362</v>
      </c>
      <c r="F142" s="2">
        <v>36.312899999999999</v>
      </c>
      <c r="G142" s="2" t="str">
        <f t="shared" si="4"/>
        <v>Pass</v>
      </c>
      <c r="Y142" s="2">
        <v>127</v>
      </c>
      <c r="Z142" s="2">
        <v>0.31219999999999998</v>
      </c>
      <c r="AA142" s="2">
        <v>0.33090000000000003</v>
      </c>
      <c r="AB142" s="2">
        <v>37.896799999999999</v>
      </c>
    </row>
    <row r="143" spans="2:28" x14ac:dyDescent="0.4">
      <c r="B143" s="11">
        <v>126</v>
      </c>
      <c r="C143" s="16">
        <f t="shared" si="5"/>
        <v>34.013301079842229</v>
      </c>
      <c r="D143" s="17">
        <f t="shared" si="7"/>
        <v>37.792556755380254</v>
      </c>
      <c r="E143" s="17">
        <f t="shared" si="6"/>
        <v>41.571812430918278</v>
      </c>
      <c r="F143" s="2">
        <v>37.238900000000001</v>
      </c>
      <c r="G143" s="2" t="str">
        <f t="shared" si="4"/>
        <v>Pass</v>
      </c>
      <c r="Y143" s="2">
        <v>128</v>
      </c>
      <c r="Z143" s="2">
        <v>0.31219999999999998</v>
      </c>
      <c r="AA143" s="2">
        <v>0.3306</v>
      </c>
      <c r="AB143" s="2">
        <v>38.761400000000002</v>
      </c>
    </row>
    <row r="144" spans="2:28" x14ac:dyDescent="0.4">
      <c r="B144" s="11">
        <v>127</v>
      </c>
      <c r="C144" s="16">
        <f t="shared" si="5"/>
        <v>34.718111942358441</v>
      </c>
      <c r="D144" s="17">
        <f t="shared" si="7"/>
        <v>38.575679935953822</v>
      </c>
      <c r="E144" s="17">
        <f t="shared" si="6"/>
        <v>42.433247929549204</v>
      </c>
      <c r="F144" s="2">
        <v>37.896799999999999</v>
      </c>
      <c r="G144" s="2" t="str">
        <f t="shared" si="4"/>
        <v>Pass</v>
      </c>
      <c r="Y144" s="2">
        <v>129</v>
      </c>
      <c r="Z144" s="2">
        <v>0.31219999999999998</v>
      </c>
      <c r="AA144" s="2">
        <v>0.3306</v>
      </c>
      <c r="AB144" s="2">
        <v>39.451599999999999</v>
      </c>
    </row>
    <row r="145" spans="2:28" x14ac:dyDescent="0.4">
      <c r="B145" s="11">
        <v>128</v>
      </c>
      <c r="C145" s="16">
        <f t="shared" si="5"/>
        <v>35.431839494093879</v>
      </c>
      <c r="D145" s="17">
        <f t="shared" si="7"/>
        <v>39.368710548993199</v>
      </c>
      <c r="E145" s="17">
        <f t="shared" si="6"/>
        <v>43.30558160389252</v>
      </c>
      <c r="F145" s="2">
        <v>38.761400000000002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0.31340000000000001</v>
      </c>
      <c r="AA145" s="2">
        <v>0.33019999999999999</v>
      </c>
      <c r="AB145" s="2">
        <v>40.354999999999997</v>
      </c>
    </row>
    <row r="146" spans="2:28" x14ac:dyDescent="0.4">
      <c r="B146" s="11">
        <v>129</v>
      </c>
      <c r="C146" s="16">
        <f t="shared" ref="C146:C209" si="9">D146-D146*(C$14/100)</f>
        <v>36.154525706452972</v>
      </c>
      <c r="D146" s="17">
        <f t="shared" si="7"/>
        <v>40.171695229392192</v>
      </c>
      <c r="E146" s="17">
        <f t="shared" ref="E146:E209" si="10">D146+D146*(C$14/100)</f>
        <v>44.188864752331412</v>
      </c>
      <c r="F146" s="2">
        <v>39.451599999999999</v>
      </c>
      <c r="G146" s="2" t="str">
        <f t="shared" si="8"/>
        <v>Pass</v>
      </c>
      <c r="Y146" s="2">
        <v>131</v>
      </c>
      <c r="Z146" s="2">
        <v>0.31340000000000001</v>
      </c>
      <c r="AA146" s="2">
        <v>0.3301</v>
      </c>
      <c r="AB146" s="2">
        <v>41.267200000000003</v>
      </c>
    </row>
    <row r="147" spans="2:28" x14ac:dyDescent="0.4">
      <c r="B147" s="11">
        <v>130</v>
      </c>
      <c r="C147" s="16">
        <f t="shared" si="9"/>
        <v>36.886212420154997</v>
      </c>
      <c r="D147" s="17">
        <f t="shared" ref="D147:D210" si="11">D$272*((B147+F$17)/B$272)^C$13</f>
        <v>40.984680466838888</v>
      </c>
      <c r="E147" s="17">
        <f t="shared" si="10"/>
        <v>45.083148513522779</v>
      </c>
      <c r="F147" s="2">
        <v>40.354999999999997</v>
      </c>
      <c r="G147" s="2" t="str">
        <f t="shared" si="8"/>
        <v>Pass</v>
      </c>
      <c r="Y147" s="2">
        <v>132</v>
      </c>
      <c r="Z147" s="2">
        <v>0.31309999999999999</v>
      </c>
      <c r="AA147" s="2">
        <v>0.33019999999999999</v>
      </c>
      <c r="AB147" s="2">
        <v>41.9848</v>
      </c>
    </row>
    <row r="148" spans="2:28" x14ac:dyDescent="0.4">
      <c r="B148" s="11">
        <v>131</v>
      </c>
      <c r="C148" s="16">
        <f t="shared" si="9"/>
        <v>37.626941346647321</v>
      </c>
      <c r="D148" s="17">
        <f t="shared" si="11"/>
        <v>41.807712607385909</v>
      </c>
      <c r="E148" s="17">
        <f t="shared" si="10"/>
        <v>45.988483868124497</v>
      </c>
      <c r="F148" s="2">
        <v>41.267200000000003</v>
      </c>
      <c r="G148" s="2" t="str">
        <f t="shared" si="8"/>
        <v>Pass</v>
      </c>
      <c r="Y148" s="2">
        <v>133</v>
      </c>
      <c r="Z148" s="2">
        <v>0.31319999999999998</v>
      </c>
      <c r="AA148" s="2">
        <v>0.3301</v>
      </c>
      <c r="AB148" s="2">
        <v>42.89</v>
      </c>
    </row>
    <row r="149" spans="2:28" x14ac:dyDescent="0.4">
      <c r="B149" s="11">
        <v>132</v>
      </c>
      <c r="C149" s="16">
        <f t="shared" si="9"/>
        <v>38.376754069492598</v>
      </c>
      <c r="D149" s="17">
        <f t="shared" si="11"/>
        <v>42.640837854991773</v>
      </c>
      <c r="E149" s="17">
        <f t="shared" si="10"/>
        <v>46.904921640490947</v>
      </c>
      <c r="F149" s="2">
        <v>41.9848</v>
      </c>
      <c r="G149" s="2" t="str">
        <f t="shared" si="8"/>
        <v>Pass</v>
      </c>
      <c r="Y149" s="2">
        <v>134</v>
      </c>
      <c r="Z149" s="2">
        <v>0.31309999999999999</v>
      </c>
      <c r="AA149" s="2">
        <v>0.3301</v>
      </c>
      <c r="AB149" s="2">
        <v>43.587499999999999</v>
      </c>
    </row>
    <row r="150" spans="2:28" x14ac:dyDescent="0.4">
      <c r="B150" s="11">
        <v>133</v>
      </c>
      <c r="C150" s="16">
        <f t="shared" si="9"/>
        <v>39.135692045730607</v>
      </c>
      <c r="D150" s="17">
        <f t="shared" si="11"/>
        <v>43.484102273034004</v>
      </c>
      <c r="E150" s="17">
        <f t="shared" si="10"/>
        <v>47.832512500337401</v>
      </c>
      <c r="F150" s="2">
        <v>42.89</v>
      </c>
      <c r="G150" s="2" t="str">
        <f t="shared" si="8"/>
        <v>Pass</v>
      </c>
      <c r="Y150" s="2">
        <v>135</v>
      </c>
      <c r="Z150" s="2">
        <v>0.31319999999999998</v>
      </c>
      <c r="AA150" s="2">
        <v>0.33</v>
      </c>
      <c r="AB150" s="2">
        <v>44.3048</v>
      </c>
    </row>
    <row r="151" spans="2:28" x14ac:dyDescent="0.4">
      <c r="B151" s="11">
        <v>134</v>
      </c>
      <c r="C151" s="16">
        <f t="shared" si="9"/>
        <v>39.903796607215561</v>
      </c>
      <c r="D151" s="17">
        <f t="shared" si="11"/>
        <v>44.337551785795071</v>
      </c>
      <c r="E151" s="17">
        <f t="shared" si="10"/>
        <v>48.771306964374581</v>
      </c>
      <c r="F151" s="2">
        <v>43.587499999999999</v>
      </c>
      <c r="G151" s="2" t="str">
        <f t="shared" si="8"/>
        <v>Pass</v>
      </c>
      <c r="Y151" s="2">
        <v>136</v>
      </c>
      <c r="Z151" s="2">
        <v>0.31269999999999998</v>
      </c>
      <c r="AA151" s="2">
        <v>0.33160000000000001</v>
      </c>
      <c r="AB151" s="2">
        <v>45.756700000000002</v>
      </c>
    </row>
    <row r="152" spans="2:28" x14ac:dyDescent="0.4">
      <c r="B152" s="11">
        <v>135</v>
      </c>
      <c r="C152" s="16">
        <f t="shared" si="9"/>
        <v>40.681108961929198</v>
      </c>
      <c r="D152" s="17">
        <f t="shared" si="11"/>
        <v>45.201232179921334</v>
      </c>
      <c r="E152" s="17">
        <f t="shared" si="10"/>
        <v>49.72135539791347</v>
      </c>
      <c r="F152" s="2">
        <v>44.3048</v>
      </c>
      <c r="G152" s="2" t="str">
        <f t="shared" si="8"/>
        <v>Pass</v>
      </c>
      <c r="Y152" s="2">
        <v>137</v>
      </c>
      <c r="Z152" s="2">
        <v>0.31280000000000002</v>
      </c>
      <c r="AA152" s="2">
        <v>0.33160000000000001</v>
      </c>
      <c r="AB152" s="2">
        <v>46.736699999999999</v>
      </c>
    </row>
    <row r="153" spans="2:28" x14ac:dyDescent="0.4">
      <c r="B153" s="11">
        <v>136</v>
      </c>
      <c r="C153" s="16">
        <f t="shared" si="9"/>
        <v>41.467670195270564</v>
      </c>
      <c r="D153" s="17">
        <f t="shared" si="11"/>
        <v>46.075189105856182</v>
      </c>
      <c r="E153" s="17">
        <f t="shared" si="10"/>
        <v>50.682708016441801</v>
      </c>
      <c r="F153" s="2">
        <v>45.756700000000002</v>
      </c>
      <c r="G153" s="2" t="str">
        <f t="shared" si="8"/>
        <v>Pass</v>
      </c>
      <c r="Y153" s="2">
        <v>138</v>
      </c>
      <c r="Z153" s="2">
        <v>0.3125</v>
      </c>
      <c r="AA153" s="2">
        <v>0.33119999999999999</v>
      </c>
      <c r="AB153" s="2">
        <v>47.490200000000002</v>
      </c>
    </row>
    <row r="154" spans="2:28" x14ac:dyDescent="0.4">
      <c r="B154" s="11">
        <v>137</v>
      </c>
      <c r="C154" s="16">
        <f t="shared" si="9"/>
        <v>42.26352127132278</v>
      </c>
      <c r="D154" s="17">
        <f t="shared" si="11"/>
        <v>46.959468079247536</v>
      </c>
      <c r="E154" s="17">
        <f t="shared" si="10"/>
        <v>51.655414887172292</v>
      </c>
      <c r="F154" s="2">
        <v>46.736699999999999</v>
      </c>
      <c r="G154" s="2" t="str">
        <f t="shared" si="8"/>
        <v>Pass</v>
      </c>
      <c r="Y154" s="2">
        <v>139</v>
      </c>
      <c r="Z154" s="2">
        <v>0.31209999999999999</v>
      </c>
      <c r="AA154" s="2">
        <v>0.3306</v>
      </c>
      <c r="AB154" s="2">
        <v>48.496200000000002</v>
      </c>
    </row>
    <row r="155" spans="2:28" x14ac:dyDescent="0.4">
      <c r="B155" s="11">
        <v>138</v>
      </c>
      <c r="C155" s="16">
        <f t="shared" si="9"/>
        <v>43.068703034097801</v>
      </c>
      <c r="D155" s="17">
        <f t="shared" si="11"/>
        <v>47.854114482330893</v>
      </c>
      <c r="E155" s="17">
        <f t="shared" si="10"/>
        <v>52.639525930563984</v>
      </c>
      <c r="F155" s="2">
        <v>47.490200000000002</v>
      </c>
      <c r="G155" s="2" t="str">
        <f t="shared" si="8"/>
        <v>Pass</v>
      </c>
      <c r="Y155" s="2">
        <v>140</v>
      </c>
      <c r="Z155" s="2">
        <v>0.31209999999999999</v>
      </c>
      <c r="AA155" s="2">
        <v>0.33050000000000002</v>
      </c>
      <c r="AB155" s="2">
        <v>49.226300000000002</v>
      </c>
    </row>
    <row r="156" spans="2:28" x14ac:dyDescent="0.4">
      <c r="B156" s="11">
        <v>139</v>
      </c>
      <c r="C156" s="16">
        <f t="shared" si="9"/>
        <v>43.883256208759164</v>
      </c>
      <c r="D156" s="17">
        <f t="shared" si="11"/>
        <v>48.759173565287959</v>
      </c>
      <c r="E156" s="17">
        <f t="shared" si="10"/>
        <v>53.635090921816754</v>
      </c>
      <c r="F156" s="2">
        <v>48.496200000000002</v>
      </c>
      <c r="G156" s="2" t="str">
        <f t="shared" si="8"/>
        <v>Pass</v>
      </c>
      <c r="Y156" s="2">
        <v>141</v>
      </c>
      <c r="Z156" s="2">
        <v>0.31130000000000002</v>
      </c>
      <c r="AA156" s="2">
        <v>0.32950000000000002</v>
      </c>
      <c r="AB156" s="2">
        <v>50.261600000000001</v>
      </c>
    </row>
    <row r="157" spans="2:28" x14ac:dyDescent="0.4">
      <c r="B157" s="11">
        <v>140</v>
      </c>
      <c r="C157" s="16">
        <f t="shared" si="9"/>
        <v>44.707221402823684</v>
      </c>
      <c r="D157" s="17">
        <f t="shared" si="11"/>
        <v>49.674690447581874</v>
      </c>
      <c r="E157" s="17">
        <f t="shared" si="10"/>
        <v>54.642159492340063</v>
      </c>
      <c r="F157" s="2">
        <v>49.226300000000002</v>
      </c>
      <c r="G157" s="2" t="str">
        <f t="shared" si="8"/>
        <v>Pass</v>
      </c>
      <c r="Y157" s="2">
        <v>142</v>
      </c>
      <c r="Z157" s="2">
        <v>0.31130000000000002</v>
      </c>
      <c r="AA157" s="2">
        <v>0.32929999999999998</v>
      </c>
      <c r="AB157" s="2">
        <v>50.982300000000002</v>
      </c>
    </row>
    <row r="158" spans="2:28" x14ac:dyDescent="0.4">
      <c r="B158" s="11">
        <v>141</v>
      </c>
      <c r="C158" s="16">
        <f t="shared" si="9"/>
        <v>45.540639107342493</v>
      </c>
      <c r="D158" s="17">
        <f t="shared" si="11"/>
        <v>50.600710119269436</v>
      </c>
      <c r="E158" s="17">
        <f t="shared" si="10"/>
        <v>55.66078113119638</v>
      </c>
      <c r="F158" s="2">
        <v>50.261600000000001</v>
      </c>
      <c r="G158" s="2" t="str">
        <f t="shared" si="8"/>
        <v>Pass</v>
      </c>
      <c r="Y158" s="2">
        <v>143</v>
      </c>
      <c r="Z158" s="2">
        <v>0.31219999999999998</v>
      </c>
      <c r="AA158" s="2">
        <v>0.32890000000000003</v>
      </c>
      <c r="AB158" s="2">
        <v>51.967300000000002</v>
      </c>
    </row>
    <row r="159" spans="2:28" x14ac:dyDescent="0.4">
      <c r="B159" s="11">
        <v>142</v>
      </c>
      <c r="C159" s="16">
        <f t="shared" si="9"/>
        <v>46.383549698061763</v>
      </c>
      <c r="D159" s="17">
        <f t="shared" si="11"/>
        <v>51.537277442290851</v>
      </c>
      <c r="E159" s="17">
        <f t="shared" si="10"/>
        <v>56.691005186519938</v>
      </c>
      <c r="F159" s="2">
        <v>50.982300000000002</v>
      </c>
      <c r="G159" s="2" t="str">
        <f t="shared" si="8"/>
        <v>Pass</v>
      </c>
      <c r="Y159" s="2">
        <v>144</v>
      </c>
      <c r="Z159" s="2">
        <v>0.31230000000000002</v>
      </c>
      <c r="AA159" s="2">
        <v>0.32890000000000003</v>
      </c>
      <c r="AB159" s="2">
        <v>53.026899999999998</v>
      </c>
    </row>
    <row r="160" spans="2:28" x14ac:dyDescent="0.4">
      <c r="B160" s="11">
        <v>143</v>
      </c>
      <c r="C160" s="16">
        <f t="shared" si="9"/>
        <v>47.235993436563902</v>
      </c>
      <c r="D160" s="17">
        <f t="shared" si="11"/>
        <v>52.484437151737673</v>
      </c>
      <c r="E160" s="17">
        <f t="shared" si="10"/>
        <v>57.732880866911444</v>
      </c>
      <c r="F160" s="2">
        <v>51.967300000000002</v>
      </c>
      <c r="G160" s="2" t="str">
        <f t="shared" si="8"/>
        <v>Pass</v>
      </c>
      <c r="Y160" s="2">
        <v>145</v>
      </c>
      <c r="Z160" s="2">
        <v>0.31240000000000001</v>
      </c>
      <c r="AA160" s="2">
        <v>0.3291</v>
      </c>
      <c r="AB160" s="2">
        <v>53.765999999999998</v>
      </c>
    </row>
    <row r="161" spans="2:28" x14ac:dyDescent="0.4">
      <c r="B161" s="11">
        <v>144</v>
      </c>
      <c r="C161" s="16">
        <f t="shared" si="9"/>
        <v>48.098010471389401</v>
      </c>
      <c r="D161" s="17">
        <f t="shared" si="11"/>
        <v>53.442233857099332</v>
      </c>
      <c r="E161" s="17">
        <f t="shared" si="10"/>
        <v>58.786457242809263</v>
      </c>
      <c r="F161" s="2">
        <v>53.026899999999998</v>
      </c>
      <c r="G161" s="2" t="str">
        <f t="shared" si="8"/>
        <v>Pass</v>
      </c>
      <c r="Y161" s="2">
        <v>146</v>
      </c>
      <c r="Z161" s="2">
        <v>0.31280000000000002</v>
      </c>
      <c r="AA161" s="2">
        <v>0.32969999999999999</v>
      </c>
      <c r="AB161" s="2">
        <v>54.813600000000001</v>
      </c>
    </row>
    <row r="162" spans="2:28" x14ac:dyDescent="0.4">
      <c r="B162" s="11">
        <v>145</v>
      </c>
      <c r="C162" s="16">
        <f t="shared" si="9"/>
        <v>48.969640839139956</v>
      </c>
      <c r="D162" s="17">
        <f t="shared" si="11"/>
        <v>54.410712043488836</v>
      </c>
      <c r="E162" s="17">
        <f t="shared" si="10"/>
        <v>59.851783247837716</v>
      </c>
      <c r="F162" s="2">
        <v>53.765999999999998</v>
      </c>
      <c r="G162" s="2" t="str">
        <f t="shared" si="8"/>
        <v>Pass</v>
      </c>
      <c r="Y162" s="2">
        <v>147</v>
      </c>
      <c r="Z162" s="2">
        <v>0.31280000000000002</v>
      </c>
      <c r="AA162" s="2">
        <v>0.32969999999999999</v>
      </c>
      <c r="AB162" s="2">
        <v>55.640900000000002</v>
      </c>
    </row>
    <row r="163" spans="2:28" x14ac:dyDescent="0.4">
      <c r="B163" s="11">
        <v>146</v>
      </c>
      <c r="C163" s="16">
        <f t="shared" si="9"/>
        <v>49.850924465563324</v>
      </c>
      <c r="D163" s="17">
        <f t="shared" si="11"/>
        <v>55.389916072848138</v>
      </c>
      <c r="E163" s="17">
        <f t="shared" si="10"/>
        <v>60.928907680132951</v>
      </c>
      <c r="F163" s="2">
        <v>54.813600000000001</v>
      </c>
      <c r="G163" s="2" t="str">
        <f t="shared" si="8"/>
        <v>Pass</v>
      </c>
      <c r="Y163" s="2">
        <v>148</v>
      </c>
      <c r="Z163" s="2">
        <v>0.3125</v>
      </c>
      <c r="AA163" s="2">
        <v>0.33110000000000001</v>
      </c>
      <c r="AB163" s="2">
        <v>57.339599999999997</v>
      </c>
    </row>
    <row r="164" spans="2:28" x14ac:dyDescent="0.4">
      <c r="B164" s="11">
        <v>147</v>
      </c>
      <c r="C164" s="16">
        <f t="shared" si="9"/>
        <v>50.741901166620174</v>
      </c>
      <c r="D164" s="17">
        <f t="shared" si="11"/>
        <v>56.379890185133526</v>
      </c>
      <c r="E164" s="17">
        <f t="shared" si="10"/>
        <v>62.017879203646878</v>
      </c>
      <c r="F164" s="2">
        <v>55.640900000000002</v>
      </c>
      <c r="G164" s="2" t="str">
        <f t="shared" si="8"/>
        <v>Pass</v>
      </c>
      <c r="Y164" s="2">
        <v>149</v>
      </c>
      <c r="Z164" s="2">
        <v>0.3125</v>
      </c>
      <c r="AA164" s="2">
        <v>0.33110000000000001</v>
      </c>
      <c r="AB164" s="2">
        <v>58.211599999999997</v>
      </c>
    </row>
    <row r="165" spans="2:28" x14ac:dyDescent="0.4">
      <c r="B165" s="11">
        <v>148</v>
      </c>
      <c r="C165" s="16">
        <f t="shared" si="9"/>
        <v>51.642610649533509</v>
      </c>
      <c r="D165" s="17">
        <f t="shared" si="11"/>
        <v>57.380678499481675</v>
      </c>
      <c r="E165" s="17">
        <f t="shared" si="10"/>
        <v>63.118746349429841</v>
      </c>
      <c r="F165" s="2">
        <v>57.339599999999997</v>
      </c>
      <c r="G165" s="2" t="str">
        <f t="shared" si="8"/>
        <v>Pass</v>
      </c>
      <c r="Y165" s="2">
        <v>150</v>
      </c>
      <c r="Z165" s="2">
        <v>0.3125</v>
      </c>
      <c r="AA165" s="2">
        <v>0.33110000000000001</v>
      </c>
      <c r="AB165" s="2">
        <v>59.323099999999997</v>
      </c>
    </row>
    <row r="166" spans="2:28" x14ac:dyDescent="0.4">
      <c r="B166" s="11">
        <v>149</v>
      </c>
      <c r="C166" s="16">
        <f t="shared" si="9"/>
        <v>52.553092513820985</v>
      </c>
      <c r="D166" s="17">
        <f t="shared" si="11"/>
        <v>58.392325015356647</v>
      </c>
      <c r="E166" s="17">
        <f t="shared" si="10"/>
        <v>64.231557516892309</v>
      </c>
      <c r="F166" s="2">
        <v>58.211599999999997</v>
      </c>
      <c r="G166" s="2" t="str">
        <f t="shared" si="8"/>
        <v>Pass</v>
      </c>
      <c r="Y166" s="2">
        <v>151</v>
      </c>
      <c r="Z166" s="2">
        <v>0.31240000000000001</v>
      </c>
      <c r="AA166" s="2">
        <v>0.33100000000000002</v>
      </c>
      <c r="AB166" s="2">
        <v>60.215000000000003</v>
      </c>
    </row>
    <row r="167" spans="2:28" x14ac:dyDescent="0.4">
      <c r="B167" s="11">
        <v>150</v>
      </c>
      <c r="C167" s="16">
        <f t="shared" si="9"/>
        <v>53.473386252310611</v>
      </c>
      <c r="D167" s="17">
        <f t="shared" si="11"/>
        <v>59.414873613678459</v>
      </c>
      <c r="E167" s="17">
        <f t="shared" si="10"/>
        <v>65.3563609750463</v>
      </c>
      <c r="F167" s="2">
        <v>59.323099999999997</v>
      </c>
      <c r="G167" s="2" t="str">
        <f t="shared" si="8"/>
        <v>Pass</v>
      </c>
      <c r="Y167" s="2">
        <v>152</v>
      </c>
      <c r="Z167" s="2">
        <v>0.312</v>
      </c>
      <c r="AA167" s="2">
        <v>0.32850000000000001</v>
      </c>
      <c r="AB167" s="2">
        <v>61.8553</v>
      </c>
    </row>
    <row r="168" spans="2:28" x14ac:dyDescent="0.4">
      <c r="B168" s="11">
        <v>151</v>
      </c>
      <c r="C168" s="16">
        <f t="shared" si="9"/>
        <v>54.40353125214007</v>
      </c>
      <c r="D168" s="17">
        <f t="shared" si="11"/>
        <v>60.448368057933408</v>
      </c>
      <c r="E168" s="17">
        <f t="shared" si="10"/>
        <v>66.493204863726746</v>
      </c>
      <c r="F168" s="2">
        <v>60.215000000000003</v>
      </c>
      <c r="G168" s="2" t="str">
        <f t="shared" si="8"/>
        <v>Pass</v>
      </c>
      <c r="Y168" s="2">
        <v>153</v>
      </c>
      <c r="Z168" s="2">
        <v>0.312</v>
      </c>
      <c r="AA168" s="2">
        <v>0.32850000000000001</v>
      </c>
      <c r="AB168" s="2">
        <v>62.787399999999998</v>
      </c>
    </row>
    <row r="169" spans="2:28" x14ac:dyDescent="0.4">
      <c r="B169" s="11">
        <v>152</v>
      </c>
      <c r="C169" s="16">
        <f t="shared" si="9"/>
        <v>55.343566795740088</v>
      </c>
      <c r="D169" s="17">
        <f t="shared" si="11"/>
        <v>61.492851995266768</v>
      </c>
      <c r="E169" s="17">
        <f t="shared" si="10"/>
        <v>67.642137194793449</v>
      </c>
      <c r="F169" s="2">
        <v>61.8553</v>
      </c>
      <c r="G169" s="2" t="str">
        <f t="shared" si="8"/>
        <v>Pass</v>
      </c>
      <c r="Y169" s="2">
        <v>154</v>
      </c>
      <c r="Z169" s="2">
        <v>0.31190000000000001</v>
      </c>
      <c r="AA169" s="2">
        <v>0.32829999999999998</v>
      </c>
      <c r="AB169" s="2">
        <v>63.922400000000003</v>
      </c>
    </row>
    <row r="170" spans="2:28" x14ac:dyDescent="0.4">
      <c r="B170" s="11">
        <v>153</v>
      </c>
      <c r="C170" s="16">
        <f t="shared" si="9"/>
        <v>56.29353206180226</v>
      </c>
      <c r="D170" s="17">
        <f t="shared" si="11"/>
        <v>62.548368957558068</v>
      </c>
      <c r="E170" s="17">
        <f t="shared" si="10"/>
        <v>68.80320585331387</v>
      </c>
      <c r="F170" s="2">
        <v>62.787399999999998</v>
      </c>
      <c r="G170" s="2" t="str">
        <f t="shared" si="8"/>
        <v>Pass</v>
      </c>
      <c r="Y170" s="2">
        <v>155</v>
      </c>
      <c r="Z170" s="2">
        <v>0.31190000000000001</v>
      </c>
      <c r="AA170" s="2">
        <v>0.32840000000000003</v>
      </c>
      <c r="AB170" s="2">
        <v>64.837999999999994</v>
      </c>
    </row>
    <row r="171" spans="2:28" x14ac:dyDescent="0.4">
      <c r="B171" s="11">
        <v>154</v>
      </c>
      <c r="C171" s="16">
        <f t="shared" si="9"/>
        <v>57.2534661262317</v>
      </c>
      <c r="D171" s="17">
        <f t="shared" si="11"/>
        <v>63.614962362479666</v>
      </c>
      <c r="E171" s="17">
        <f t="shared" si="10"/>
        <v>69.976458598727632</v>
      </c>
      <c r="F171" s="2">
        <v>63.922400000000003</v>
      </c>
      <c r="G171" s="2" t="str">
        <f t="shared" si="8"/>
        <v>Pass</v>
      </c>
      <c r="Y171" s="2">
        <v>156</v>
      </c>
      <c r="Z171" s="2">
        <v>0.31180000000000002</v>
      </c>
      <c r="AA171" s="2">
        <v>0.32819999999999999</v>
      </c>
      <c r="AB171" s="2">
        <v>65.740099999999998</v>
      </c>
    </row>
    <row r="172" spans="2:28" x14ac:dyDescent="0.4">
      <c r="B172" s="11">
        <v>155</v>
      </c>
      <c r="C172" s="16">
        <f t="shared" si="9"/>
        <v>58.223407963084604</v>
      </c>
      <c r="D172" s="17">
        <f t="shared" si="11"/>
        <v>64.69267551453845</v>
      </c>
      <c r="E172" s="17">
        <f t="shared" si="10"/>
        <v>71.16194306599229</v>
      </c>
      <c r="F172" s="2">
        <v>64.837999999999994</v>
      </c>
      <c r="G172" s="2" t="str">
        <f t="shared" si="8"/>
        <v>Pass</v>
      </c>
      <c r="Y172" s="2">
        <v>157</v>
      </c>
      <c r="Z172" s="2">
        <v>0.31169999999999998</v>
      </c>
      <c r="AA172" s="2">
        <v>0.32819999999999999</v>
      </c>
      <c r="AB172" s="2">
        <v>67.008799999999994</v>
      </c>
    </row>
    <row r="173" spans="2:28" x14ac:dyDescent="0.4">
      <c r="B173" s="11">
        <v>156</v>
      </c>
      <c r="C173" s="16">
        <f t="shared" si="9"/>
        <v>59.203396445491506</v>
      </c>
      <c r="D173" s="17">
        <f t="shared" si="11"/>
        <v>65.781551606101672</v>
      </c>
      <c r="E173" s="17">
        <f t="shared" si="10"/>
        <v>72.359706766711838</v>
      </c>
      <c r="F173" s="2">
        <v>65.740099999999998</v>
      </c>
      <c r="G173" s="2" t="str">
        <f t="shared" si="8"/>
        <v>Pass</v>
      </c>
      <c r="Y173" s="2">
        <v>158</v>
      </c>
      <c r="Z173" s="2">
        <v>0.31180000000000002</v>
      </c>
      <c r="AA173" s="2">
        <v>0.32819999999999999</v>
      </c>
      <c r="AB173" s="2">
        <v>67.9298</v>
      </c>
    </row>
    <row r="174" spans="2:28" x14ac:dyDescent="0.4">
      <c r="B174" s="11">
        <v>157</v>
      </c>
      <c r="C174" s="16">
        <f t="shared" si="9"/>
        <v>60.193470346566009</v>
      </c>
      <c r="D174" s="17">
        <f t="shared" si="11"/>
        <v>66.881633718406675</v>
      </c>
      <c r="E174" s="17">
        <f t="shared" si="10"/>
        <v>73.569797090247349</v>
      </c>
      <c r="F174" s="2">
        <v>67.008799999999994</v>
      </c>
      <c r="G174" s="2" t="str">
        <f t="shared" si="8"/>
        <v>Pass</v>
      </c>
      <c r="Y174" s="2">
        <v>159</v>
      </c>
      <c r="Z174" s="2">
        <v>0.31169999999999998</v>
      </c>
      <c r="AA174" s="2">
        <v>0.32829999999999998</v>
      </c>
      <c r="AB174" s="2">
        <v>69.172899999999998</v>
      </c>
    </row>
    <row r="175" spans="2:28" x14ac:dyDescent="0.4">
      <c r="B175" s="11">
        <v>158</v>
      </c>
      <c r="C175" s="16">
        <f t="shared" si="9"/>
        <v>61.19366834029978</v>
      </c>
      <c r="D175" s="17">
        <f t="shared" si="11"/>
        <v>67.992964822555308</v>
      </c>
      <c r="E175" s="17">
        <f t="shared" si="10"/>
        <v>74.792261304810836</v>
      </c>
      <c r="F175" s="2">
        <v>67.9298</v>
      </c>
      <c r="G175" s="2" t="str">
        <f t="shared" si="8"/>
        <v>Pass</v>
      </c>
      <c r="Y175" s="2">
        <v>160</v>
      </c>
      <c r="Z175" s="2">
        <v>0.31180000000000002</v>
      </c>
      <c r="AA175" s="2">
        <v>0.32829999999999998</v>
      </c>
      <c r="AB175" s="2">
        <v>70.0852</v>
      </c>
    </row>
    <row r="176" spans="2:28" x14ac:dyDescent="0.4">
      <c r="B176" s="11">
        <v>159</v>
      </c>
      <c r="C176" s="16">
        <f t="shared" si="9"/>
        <v>62.204029002443868</v>
      </c>
      <c r="D176" s="17">
        <f t="shared" si="11"/>
        <v>69.115587780493186</v>
      </c>
      <c r="E176" s="17">
        <f t="shared" si="10"/>
        <v>76.027146558542512</v>
      </c>
      <c r="F176" s="2">
        <v>69.172899999999998</v>
      </c>
      <c r="G176" s="2" t="str">
        <f t="shared" si="8"/>
        <v>Pass</v>
      </c>
      <c r="Y176" s="2">
        <v>161</v>
      </c>
      <c r="Z176" s="2">
        <v>0.31190000000000001</v>
      </c>
      <c r="AA176" s="2">
        <v>0.32819999999999999</v>
      </c>
      <c r="AB176" s="2">
        <v>71.313100000000006</v>
      </c>
    </row>
    <row r="177" spans="2:28" x14ac:dyDescent="0.4">
      <c r="B177" s="11">
        <v>160</v>
      </c>
      <c r="C177" s="16">
        <f t="shared" si="9"/>
        <v>63.224590811376586</v>
      </c>
      <c r="D177" s="17">
        <f t="shared" si="11"/>
        <v>70.249545345973985</v>
      </c>
      <c r="E177" s="17">
        <f t="shared" si="10"/>
        <v>77.274499880571383</v>
      </c>
      <c r="F177" s="2">
        <v>70.0852</v>
      </c>
      <c r="G177" s="2" t="str">
        <f t="shared" si="8"/>
        <v>Pass</v>
      </c>
      <c r="Y177" s="2">
        <v>162</v>
      </c>
      <c r="Z177" s="2">
        <v>0.31190000000000001</v>
      </c>
      <c r="AA177" s="2">
        <v>0.3281</v>
      </c>
      <c r="AB177" s="2">
        <v>72.360299999999995</v>
      </c>
    </row>
    <row r="178" spans="2:28" x14ac:dyDescent="0.4">
      <c r="B178" s="11">
        <v>161</v>
      </c>
      <c r="C178" s="16">
        <f t="shared" si="9"/>
        <v>64.255392148958293</v>
      </c>
      <c r="D178" s="17">
        <f t="shared" si="11"/>
        <v>71.394880165509207</v>
      </c>
      <c r="E178" s="17">
        <f t="shared" si="10"/>
        <v>78.53436818206012</v>
      </c>
      <c r="F178" s="2">
        <v>71.313100000000006</v>
      </c>
      <c r="G178" s="2" t="str">
        <f t="shared" si="8"/>
        <v>Pass</v>
      </c>
      <c r="Y178" s="2">
        <v>163</v>
      </c>
      <c r="Z178" s="2">
        <v>0.31180000000000002</v>
      </c>
      <c r="AA178" s="2">
        <v>0.32800000000000001</v>
      </c>
      <c r="AB178" s="2">
        <v>73.329400000000007</v>
      </c>
    </row>
    <row r="179" spans="2:28" x14ac:dyDescent="0.4">
      <c r="B179" s="11">
        <v>162</v>
      </c>
      <c r="C179" s="16">
        <f t="shared" si="9"/>
        <v>65.296471301373685</v>
      </c>
      <c r="D179" s="17">
        <f t="shared" si="11"/>
        <v>72.551634779304095</v>
      </c>
      <c r="E179" s="17">
        <f t="shared" si="10"/>
        <v>79.806798257234504</v>
      </c>
      <c r="F179" s="2">
        <v>72.360299999999995</v>
      </c>
      <c r="G179" s="2" t="str">
        <f t="shared" si="8"/>
        <v>Pass</v>
      </c>
      <c r="Y179" s="2">
        <v>164</v>
      </c>
      <c r="Z179" s="2">
        <v>0.31169999999999998</v>
      </c>
      <c r="AA179" s="2">
        <v>0.32800000000000001</v>
      </c>
      <c r="AB179" s="2">
        <v>74.667599999999993</v>
      </c>
    </row>
    <row r="180" spans="2:28" x14ac:dyDescent="0.4">
      <c r="B180" s="11">
        <v>163</v>
      </c>
      <c r="C180" s="16">
        <f t="shared" si="9"/>
        <v>66.347866459961239</v>
      </c>
      <c r="D180" s="17">
        <f t="shared" si="11"/>
        <v>73.719851622179149</v>
      </c>
      <c r="E180" s="17">
        <f t="shared" si="10"/>
        <v>81.09183678439706</v>
      </c>
      <c r="F180" s="2">
        <v>73.329400000000007</v>
      </c>
      <c r="G180" s="2" t="str">
        <f t="shared" si="8"/>
        <v>Pass</v>
      </c>
      <c r="Y180" s="2">
        <v>165</v>
      </c>
      <c r="Z180" s="2">
        <v>0.31159999999999999</v>
      </c>
      <c r="AA180" s="2">
        <v>0.32800000000000001</v>
      </c>
      <c r="AB180" s="2">
        <v>75.695700000000002</v>
      </c>
    </row>
    <row r="181" spans="2:28" x14ac:dyDescent="0.4">
      <c r="B181" s="11">
        <v>164</v>
      </c>
      <c r="C181" s="16">
        <f t="shared" si="9"/>
        <v>67.409615722030523</v>
      </c>
      <c r="D181" s="17">
        <f t="shared" si="11"/>
        <v>74.899573024478357</v>
      </c>
      <c r="E181" s="17">
        <f t="shared" si="10"/>
        <v>82.389530326926192</v>
      </c>
      <c r="F181" s="2">
        <v>74.667599999999993</v>
      </c>
      <c r="G181" s="2" t="str">
        <f t="shared" si="8"/>
        <v>Pass</v>
      </c>
      <c r="Y181" s="2">
        <v>166</v>
      </c>
      <c r="Z181" s="2">
        <v>0.31159999999999999</v>
      </c>
      <c r="AA181" s="2">
        <v>0.32800000000000001</v>
      </c>
      <c r="AB181" s="2">
        <v>77.0458</v>
      </c>
    </row>
    <row r="182" spans="2:28" x14ac:dyDescent="0.4">
      <c r="B182" s="11">
        <v>165</v>
      </c>
      <c r="C182" s="16">
        <f t="shared" si="9"/>
        <v>68.481757091667575</v>
      </c>
      <c r="D182" s="17">
        <f t="shared" si="11"/>
        <v>76.090841212963966</v>
      </c>
      <c r="E182" s="17">
        <f t="shared" si="10"/>
        <v>83.699925334260357</v>
      </c>
      <c r="F182" s="2">
        <v>75.695700000000002</v>
      </c>
      <c r="G182" s="2" t="str">
        <f t="shared" si="8"/>
        <v>Pass</v>
      </c>
      <c r="Y182" s="2">
        <v>167</v>
      </c>
      <c r="Z182" s="2">
        <v>0.31180000000000002</v>
      </c>
      <c r="AA182" s="2">
        <v>0.32800000000000001</v>
      </c>
      <c r="AB182" s="2">
        <v>78.0809</v>
      </c>
    </row>
    <row r="183" spans="2:28" x14ac:dyDescent="0.4">
      <c r="B183" s="11">
        <v>166</v>
      </c>
      <c r="C183" s="16">
        <f t="shared" si="9"/>
        <v>69.564328480528374</v>
      </c>
      <c r="D183" s="17">
        <f t="shared" si="11"/>
        <v>77.293698311698193</v>
      </c>
      <c r="E183" s="17">
        <f t="shared" si="10"/>
        <v>85.023068142868013</v>
      </c>
      <c r="F183" s="2">
        <v>77.0458</v>
      </c>
      <c r="G183" s="2" t="str">
        <f t="shared" si="8"/>
        <v>Pass</v>
      </c>
      <c r="Y183" s="2">
        <v>168</v>
      </c>
      <c r="Z183" s="2">
        <v>0.31180000000000002</v>
      </c>
      <c r="AA183" s="2">
        <v>0.32940000000000003</v>
      </c>
      <c r="AB183" s="2">
        <v>80.183999999999997</v>
      </c>
    </row>
    <row r="184" spans="2:28" x14ac:dyDescent="0.4">
      <c r="B184" s="11">
        <v>167</v>
      </c>
      <c r="C184" s="16">
        <f t="shared" si="9"/>
        <v>70.657367708620995</v>
      </c>
      <c r="D184" s="17">
        <f t="shared" si="11"/>
        <v>78.508186342912211</v>
      </c>
      <c r="E184" s="17">
        <f t="shared" si="10"/>
        <v>86.359004977203426</v>
      </c>
      <c r="F184" s="2">
        <v>78.0809</v>
      </c>
      <c r="G184" s="2" t="str">
        <f t="shared" si="8"/>
        <v>Pass</v>
      </c>
      <c r="Y184" s="2">
        <v>169</v>
      </c>
      <c r="Z184" s="2">
        <v>0.31169999999999998</v>
      </c>
      <c r="AA184" s="2">
        <v>0.32929999999999998</v>
      </c>
      <c r="AB184" s="2">
        <v>81.5381</v>
      </c>
    </row>
    <row r="185" spans="2:28" x14ac:dyDescent="0.4">
      <c r="B185" s="11">
        <v>168</v>
      </c>
      <c r="C185" s="16">
        <f t="shared" si="9"/>
        <v>71.76091250507632</v>
      </c>
      <c r="D185" s="17">
        <f t="shared" si="11"/>
        <v>79.734347227862571</v>
      </c>
      <c r="E185" s="17">
        <f t="shared" si="10"/>
        <v>87.707781950648823</v>
      </c>
      <c r="F185" s="2">
        <v>80.183999999999997</v>
      </c>
      <c r="G185" s="2" t="str">
        <f t="shared" si="8"/>
        <v>Pass</v>
      </c>
      <c r="Y185" s="2">
        <v>170</v>
      </c>
      <c r="Z185" s="2">
        <v>0.31169999999999998</v>
      </c>
      <c r="AA185" s="2">
        <v>0.32919999999999999</v>
      </c>
      <c r="AB185" s="2">
        <v>82.538399999999996</v>
      </c>
    </row>
    <row r="186" spans="2:28" x14ac:dyDescent="0.4">
      <c r="B186" s="11">
        <v>169</v>
      </c>
      <c r="C186" s="16">
        <f t="shared" si="9"/>
        <v>72.875000508907732</v>
      </c>
      <c r="D186" s="17">
        <f t="shared" si="11"/>
        <v>80.972222787675264</v>
      </c>
      <c r="E186" s="17">
        <f t="shared" si="10"/>
        <v>89.069445066442796</v>
      </c>
      <c r="F186" s="2">
        <v>81.5381</v>
      </c>
      <c r="G186" s="2" t="str">
        <f t="shared" si="8"/>
        <v>Pass</v>
      </c>
      <c r="Y186" s="2">
        <v>171</v>
      </c>
      <c r="Z186" s="2">
        <v>0.31169999999999998</v>
      </c>
      <c r="AA186" s="2">
        <v>0.32919999999999999</v>
      </c>
      <c r="AB186" s="2">
        <v>83.519800000000004</v>
      </c>
    </row>
    <row r="187" spans="2:28" x14ac:dyDescent="0.4">
      <c r="B187" s="11">
        <v>170</v>
      </c>
      <c r="C187" s="16">
        <f t="shared" si="9"/>
        <v>73.999669269760162</v>
      </c>
      <c r="D187" s="17">
        <f t="shared" si="11"/>
        <v>82.221854744177961</v>
      </c>
      <c r="E187" s="17">
        <f t="shared" si="10"/>
        <v>90.444040218595759</v>
      </c>
      <c r="F187" s="2">
        <v>82.538399999999996</v>
      </c>
      <c r="G187" s="2" t="str">
        <f t="shared" si="8"/>
        <v>Pass</v>
      </c>
      <c r="Y187" s="2">
        <v>172</v>
      </c>
      <c r="Z187" s="2">
        <v>0.31159999999999999</v>
      </c>
      <c r="AA187" s="2">
        <v>0.32919999999999999</v>
      </c>
      <c r="AB187" s="2">
        <v>84.962800000000001</v>
      </c>
    </row>
    <row r="188" spans="2:28" x14ac:dyDescent="0.4">
      <c r="B188" s="11">
        <v>171</v>
      </c>
      <c r="C188" s="16">
        <f t="shared" si="9"/>
        <v>75.134956248648223</v>
      </c>
      <c r="D188" s="17">
        <f t="shared" si="11"/>
        <v>83.483284720720249</v>
      </c>
      <c r="E188" s="17">
        <f t="shared" si="10"/>
        <v>91.831613192792275</v>
      </c>
      <c r="F188" s="2">
        <v>83.519800000000004</v>
      </c>
      <c r="G188" s="2" t="str">
        <f t="shared" si="8"/>
        <v>Pass</v>
      </c>
      <c r="Y188" s="2">
        <v>173</v>
      </c>
      <c r="Z188" s="2">
        <v>0.31119999999999998</v>
      </c>
      <c r="AA188" s="2">
        <v>0.32900000000000001</v>
      </c>
      <c r="AB188" s="2">
        <v>85.990799999999993</v>
      </c>
    </row>
    <row r="189" spans="2:28" x14ac:dyDescent="0.4">
      <c r="B189" s="11">
        <v>172</v>
      </c>
      <c r="C189" s="16">
        <f t="shared" si="9"/>
        <v>76.280898818684292</v>
      </c>
      <c r="D189" s="17">
        <f t="shared" si="11"/>
        <v>84.756554242982546</v>
      </c>
      <c r="E189" s="17">
        <f t="shared" si="10"/>
        <v>93.232209667280799</v>
      </c>
      <c r="F189" s="2">
        <v>84.962800000000001</v>
      </c>
      <c r="G189" s="2" t="str">
        <f t="shared" si="8"/>
        <v>Pass</v>
      </c>
      <c r="Y189" s="2">
        <v>174</v>
      </c>
      <c r="Z189" s="2">
        <v>0.31119999999999998</v>
      </c>
      <c r="AA189" s="2">
        <v>0.32900000000000001</v>
      </c>
      <c r="AB189" s="2">
        <v>87.463999999999999</v>
      </c>
    </row>
    <row r="190" spans="2:28" x14ac:dyDescent="0.4">
      <c r="B190" s="11">
        <v>173</v>
      </c>
      <c r="C190" s="16">
        <f t="shared" si="9"/>
        <v>77.437534265796003</v>
      </c>
      <c r="D190" s="17">
        <f t="shared" si="11"/>
        <v>86.041704739773337</v>
      </c>
      <c r="E190" s="17">
        <f t="shared" si="10"/>
        <v>94.645875213750671</v>
      </c>
      <c r="F190" s="2">
        <v>85.990799999999993</v>
      </c>
      <c r="G190" s="2" t="str">
        <f t="shared" si="8"/>
        <v>Pass</v>
      </c>
      <c r="Y190" s="2">
        <v>175</v>
      </c>
      <c r="Z190" s="2">
        <v>0.31109999999999999</v>
      </c>
      <c r="AA190" s="2">
        <v>0.32890000000000003</v>
      </c>
      <c r="AB190" s="2">
        <v>88.542500000000004</v>
      </c>
    </row>
    <row r="191" spans="2:28" x14ac:dyDescent="0.4">
      <c r="B191" s="11">
        <v>174</v>
      </c>
      <c r="C191" s="16">
        <f t="shared" si="9"/>
        <v>78.604899789434228</v>
      </c>
      <c r="D191" s="17">
        <f t="shared" si="11"/>
        <v>87.338777543815809</v>
      </c>
      <c r="E191" s="17">
        <f t="shared" si="10"/>
        <v>96.07265529819739</v>
      </c>
      <c r="F191" s="2">
        <v>87.463999999999999</v>
      </c>
      <c r="G191" s="2" t="str">
        <f t="shared" si="8"/>
        <v>Pass</v>
      </c>
      <c r="Y191" s="2">
        <v>176</v>
      </c>
      <c r="Z191" s="2">
        <v>0.31069999999999998</v>
      </c>
      <c r="AA191" s="2">
        <v>0.32829999999999998</v>
      </c>
      <c r="AB191" s="2">
        <v>89.983999999999995</v>
      </c>
    </row>
    <row r="192" spans="2:28" x14ac:dyDescent="0.4">
      <c r="B192" s="11">
        <v>175</v>
      </c>
      <c r="C192" s="16">
        <f t="shared" si="9"/>
        <v>79.783032503270832</v>
      </c>
      <c r="D192" s="17">
        <f t="shared" si="11"/>
        <v>88.647813892523146</v>
      </c>
      <c r="E192" s="17">
        <f t="shared" si="10"/>
        <v>97.512595281775461</v>
      </c>
      <c r="F192" s="2">
        <v>88.542500000000004</v>
      </c>
      <c r="G192" s="2" t="str">
        <f t="shared" si="8"/>
        <v>Pass</v>
      </c>
      <c r="Y192" s="2">
        <v>177</v>
      </c>
      <c r="Z192" s="2">
        <v>0.31069999999999998</v>
      </c>
      <c r="AA192" s="2">
        <v>0.3281</v>
      </c>
      <c r="AB192" s="2">
        <v>91.072500000000005</v>
      </c>
    </row>
    <row r="193" spans="2:28" x14ac:dyDescent="0.4">
      <c r="B193" s="11">
        <v>176</v>
      </c>
      <c r="C193" s="16">
        <f t="shared" si="9"/>
        <v>80.971969435887104</v>
      </c>
      <c r="D193" s="17">
        <f t="shared" si="11"/>
        <v>89.968854928763449</v>
      </c>
      <c r="E193" s="17">
        <f t="shared" si="10"/>
        <v>98.965740421639794</v>
      </c>
      <c r="F193" s="2">
        <v>89.983999999999995</v>
      </c>
      <c r="G193" s="2" t="str">
        <f t="shared" si="8"/>
        <v>Pass</v>
      </c>
      <c r="Y193" s="2">
        <v>178</v>
      </c>
      <c r="Z193" s="2">
        <v>0.3125</v>
      </c>
      <c r="AA193" s="2">
        <v>0.3296</v>
      </c>
      <c r="AB193" s="2">
        <v>92.120099999999994</v>
      </c>
    </row>
    <row r="194" spans="2:28" x14ac:dyDescent="0.4">
      <c r="B194" s="11">
        <v>177</v>
      </c>
      <c r="C194" s="16">
        <f t="shared" si="9"/>
        <v>82.17174753145251</v>
      </c>
      <c r="D194" s="17">
        <f t="shared" si="11"/>
        <v>91.301941701613899</v>
      </c>
      <c r="E194" s="17">
        <f t="shared" si="10"/>
        <v>100.43213587177529</v>
      </c>
      <c r="F194" s="2">
        <v>91.072500000000005</v>
      </c>
      <c r="G194" s="2" t="str">
        <f t="shared" si="8"/>
        <v>Pass</v>
      </c>
      <c r="Y194" s="2">
        <v>179</v>
      </c>
      <c r="Z194" s="2">
        <v>0.31240000000000001</v>
      </c>
      <c r="AA194" s="2">
        <v>0.32969999999999999</v>
      </c>
      <c r="AB194" s="2">
        <v>93.604100000000003</v>
      </c>
    </row>
    <row r="195" spans="2:28" x14ac:dyDescent="0.4">
      <c r="B195" s="11">
        <v>178</v>
      </c>
      <c r="C195" s="16">
        <f t="shared" si="9"/>
        <v>83.382403650394707</v>
      </c>
      <c r="D195" s="17">
        <f t="shared" si="11"/>
        <v>92.647115167105227</v>
      </c>
      <c r="E195" s="17">
        <f t="shared" si="10"/>
        <v>101.91182668381575</v>
      </c>
      <c r="F195" s="2">
        <v>92.120099999999994</v>
      </c>
      <c r="G195" s="2" t="str">
        <f t="shared" si="8"/>
        <v>Pass</v>
      </c>
      <c r="Y195" s="2">
        <v>180</v>
      </c>
      <c r="Z195" s="2">
        <v>0.31230000000000002</v>
      </c>
      <c r="AA195" s="2">
        <v>0.3296</v>
      </c>
      <c r="AB195" s="2">
        <v>94.850099999999998</v>
      </c>
    </row>
    <row r="196" spans="2:28" x14ac:dyDescent="0.4">
      <c r="B196" s="11">
        <v>179</v>
      </c>
      <c r="C196" s="16">
        <f t="shared" si="9"/>
        <v>84.603974570059847</v>
      </c>
      <c r="D196" s="17">
        <f t="shared" si="11"/>
        <v>94.004416188955389</v>
      </c>
      <c r="E196" s="17">
        <f t="shared" si="10"/>
        <v>103.40485780785093</v>
      </c>
      <c r="F196" s="2">
        <v>93.604100000000003</v>
      </c>
      <c r="G196" s="2" t="str">
        <f t="shared" si="8"/>
        <v>Pass</v>
      </c>
      <c r="Y196" s="2">
        <v>181</v>
      </c>
      <c r="Z196" s="2">
        <v>0.31240000000000001</v>
      </c>
      <c r="AA196" s="2">
        <v>0.32950000000000002</v>
      </c>
      <c r="AB196" s="2">
        <v>95.986199999999997</v>
      </c>
    </row>
    <row r="197" spans="2:28" x14ac:dyDescent="0.4">
      <c r="B197" s="11">
        <v>180</v>
      </c>
      <c r="C197" s="16">
        <f t="shared" si="9"/>
        <v>85.836496985364562</v>
      </c>
      <c r="D197" s="17">
        <f t="shared" si="11"/>
        <v>95.373885539293951</v>
      </c>
      <c r="E197" s="17">
        <f t="shared" si="10"/>
        <v>104.91127409322334</v>
      </c>
      <c r="F197" s="2">
        <v>94.850099999999998</v>
      </c>
      <c r="G197" s="2" t="str">
        <f t="shared" si="8"/>
        <v>Pass</v>
      </c>
      <c r="Y197" s="2">
        <v>182</v>
      </c>
      <c r="Z197" s="2">
        <v>0.31240000000000001</v>
      </c>
      <c r="AA197" s="2">
        <v>0.32950000000000002</v>
      </c>
      <c r="AB197" s="2">
        <v>97.557400000000001</v>
      </c>
    </row>
    <row r="198" spans="2:28" x14ac:dyDescent="0.4">
      <c r="B198" s="11">
        <v>181</v>
      </c>
      <c r="C198" s="16">
        <f t="shared" si="9"/>
        <v>87.080007509438758</v>
      </c>
      <c r="D198" s="17">
        <f t="shared" si="11"/>
        <v>96.755563899376398</v>
      </c>
      <c r="E198" s="17">
        <f t="shared" si="10"/>
        <v>106.43112028931404</v>
      </c>
      <c r="F198" s="2">
        <v>95.986199999999997</v>
      </c>
      <c r="G198" s="2" t="str">
        <f t="shared" si="8"/>
        <v>Pass</v>
      </c>
      <c r="Y198" s="2">
        <v>183</v>
      </c>
      <c r="Z198" s="2">
        <v>0.31240000000000001</v>
      </c>
      <c r="AA198" s="2">
        <v>0.32950000000000002</v>
      </c>
      <c r="AB198" s="2">
        <v>98.687399999999997</v>
      </c>
    </row>
    <row r="199" spans="2:28" x14ac:dyDescent="0.4">
      <c r="B199" s="11">
        <v>182</v>
      </c>
      <c r="C199" s="16">
        <f t="shared" si="9"/>
        <v>88.334542674260319</v>
      </c>
      <c r="D199" s="17">
        <f t="shared" si="11"/>
        <v>98.149491860289245</v>
      </c>
      <c r="E199" s="17">
        <f t="shared" si="10"/>
        <v>107.96444104631817</v>
      </c>
      <c r="F199" s="2">
        <v>97.557400000000001</v>
      </c>
      <c r="G199" s="2" t="str">
        <f t="shared" si="8"/>
        <v>Pass</v>
      </c>
      <c r="Y199" s="2">
        <v>184</v>
      </c>
      <c r="Z199" s="2">
        <v>0.31230000000000002</v>
      </c>
      <c r="AA199" s="2">
        <v>0.32940000000000003</v>
      </c>
      <c r="AB199" s="2">
        <v>100.13979999999999</v>
      </c>
    </row>
    <row r="200" spans="2:28" x14ac:dyDescent="0.4">
      <c r="B200" s="11">
        <v>183</v>
      </c>
      <c r="C200" s="16">
        <f t="shared" si="9"/>
        <v>89.600138931281123</v>
      </c>
      <c r="D200" s="17">
        <f t="shared" si="11"/>
        <v>99.555709923645693</v>
      </c>
      <c r="E200" s="17">
        <f t="shared" si="10"/>
        <v>109.51128091601026</v>
      </c>
      <c r="F200" s="2">
        <v>98.687399999999997</v>
      </c>
      <c r="G200" s="2" t="str">
        <f t="shared" si="8"/>
        <v>Pass</v>
      </c>
      <c r="Y200" s="2">
        <v>185</v>
      </c>
      <c r="Z200" s="2">
        <v>0.31219999999999998</v>
      </c>
      <c r="AA200" s="2">
        <v>0.32940000000000003</v>
      </c>
      <c r="AB200" s="2">
        <v>101.2546</v>
      </c>
    </row>
    <row r="201" spans="2:28" x14ac:dyDescent="0.4">
      <c r="B201" s="11">
        <v>184</v>
      </c>
      <c r="C201" s="16">
        <f t="shared" si="9"/>
        <v>90.87683265204484</v>
      </c>
      <c r="D201" s="17">
        <f t="shared" si="11"/>
        <v>100.97425850227204</v>
      </c>
      <c r="E201" s="17">
        <f t="shared" si="10"/>
        <v>111.07168435249923</v>
      </c>
      <c r="F201" s="2">
        <v>100.13979999999999</v>
      </c>
      <c r="G201" s="2" t="str">
        <f t="shared" si="8"/>
        <v>Pass</v>
      </c>
      <c r="Y201" s="2">
        <v>186</v>
      </c>
      <c r="Z201" s="2">
        <v>0.31209999999999999</v>
      </c>
      <c r="AA201" s="2">
        <v>0.32929999999999998</v>
      </c>
      <c r="AB201" s="2">
        <v>102.77200000000001</v>
      </c>
    </row>
    <row r="202" spans="2:28" x14ac:dyDescent="0.4">
      <c r="B202" s="11">
        <v>185</v>
      </c>
      <c r="C202" s="16">
        <f t="shared" si="9"/>
        <v>92.16466012879664</v>
      </c>
      <c r="D202" s="17">
        <f t="shared" si="11"/>
        <v>102.40517792088515</v>
      </c>
      <c r="E202" s="17">
        <f t="shared" si="10"/>
        <v>112.64569571297366</v>
      </c>
      <c r="F202" s="2">
        <v>101.2546</v>
      </c>
      <c r="G202" s="2" t="str">
        <f t="shared" si="8"/>
        <v>Pass</v>
      </c>
      <c r="Y202" s="2">
        <v>187</v>
      </c>
      <c r="Z202" s="2">
        <v>0.31219999999999998</v>
      </c>
      <c r="AA202" s="2">
        <v>0.32919999999999999</v>
      </c>
      <c r="AB202" s="2">
        <v>103.99509999999999</v>
      </c>
    </row>
    <row r="203" spans="2:28" x14ac:dyDescent="0.4">
      <c r="B203" s="11">
        <v>186</v>
      </c>
      <c r="C203" s="16">
        <f t="shared" si="9"/>
        <v>93.463657575085222</v>
      </c>
      <c r="D203" s="17">
        <f t="shared" si="11"/>
        <v>103.84850841676136</v>
      </c>
      <c r="E203" s="17">
        <f t="shared" si="10"/>
        <v>114.2333592584375</v>
      </c>
      <c r="F203" s="2">
        <v>102.77200000000001</v>
      </c>
      <c r="G203" s="2" t="str">
        <f t="shared" si="8"/>
        <v>Pass</v>
      </c>
      <c r="Y203" s="2">
        <v>188</v>
      </c>
      <c r="Z203" s="2">
        <v>0.31219999999999998</v>
      </c>
      <c r="AA203" s="2">
        <v>0.32940000000000003</v>
      </c>
      <c r="AB203" s="2">
        <v>105.66030000000001</v>
      </c>
    </row>
    <row r="204" spans="2:28" x14ac:dyDescent="0.4">
      <c r="B204" s="11">
        <v>187</v>
      </c>
      <c r="C204" s="16">
        <f t="shared" si="9"/>
        <v>94.77386112635682</v>
      </c>
      <c r="D204" s="17">
        <f t="shared" si="11"/>
        <v>105.30429014039646</v>
      </c>
      <c r="E204" s="17">
        <f t="shared" si="10"/>
        <v>115.8347191544361</v>
      </c>
      <c r="F204" s="2">
        <v>103.99509999999999</v>
      </c>
      <c r="G204" s="2" t="str">
        <f t="shared" si="8"/>
        <v>Pass</v>
      </c>
      <c r="Y204" s="2">
        <v>189</v>
      </c>
      <c r="Z204" s="2">
        <v>0.31219999999999998</v>
      </c>
      <c r="AA204" s="2">
        <v>0.32929999999999998</v>
      </c>
      <c r="AB204" s="2">
        <v>106.83499999999999</v>
      </c>
    </row>
    <row r="205" spans="2:28" x14ac:dyDescent="0.4">
      <c r="B205" s="11">
        <v>188</v>
      </c>
      <c r="C205" s="16">
        <f t="shared" si="9"/>
        <v>96.095306840541411</v>
      </c>
      <c r="D205" s="17">
        <f t="shared" si="11"/>
        <v>106.77256315615713</v>
      </c>
      <c r="E205" s="17">
        <f t="shared" si="10"/>
        <v>117.44981947177286</v>
      </c>
      <c r="F205" s="2">
        <v>105.66030000000001</v>
      </c>
      <c r="G205" s="2" t="str">
        <f t="shared" si="8"/>
        <v>Pass</v>
      </c>
      <c r="Y205" s="2">
        <v>190</v>
      </c>
      <c r="Z205" s="2">
        <v>0.31290000000000001</v>
      </c>
      <c r="AA205" s="2">
        <v>0.32969999999999999</v>
      </c>
      <c r="AB205" s="2">
        <v>108.3788</v>
      </c>
    </row>
    <row r="206" spans="2:28" x14ac:dyDescent="0.4">
      <c r="B206" s="11">
        <v>189</v>
      </c>
      <c r="C206" s="16">
        <f t="shared" si="9"/>
        <v>97.428030698631858</v>
      </c>
      <c r="D206" s="17">
        <f t="shared" si="11"/>
        <v>108.25336744292429</v>
      </c>
      <c r="E206" s="17">
        <f t="shared" si="10"/>
        <v>119.07870418721672</v>
      </c>
      <c r="F206" s="2">
        <v>106.83499999999999</v>
      </c>
      <c r="G206" s="2" t="str">
        <f t="shared" si="8"/>
        <v>Pass</v>
      </c>
      <c r="Y206" s="2">
        <v>191</v>
      </c>
      <c r="Z206" s="2">
        <v>0.31290000000000001</v>
      </c>
      <c r="AA206" s="2">
        <v>0.32979999999999998</v>
      </c>
      <c r="AB206" s="2">
        <v>109.95050000000001</v>
      </c>
    </row>
    <row r="207" spans="2:28" x14ac:dyDescent="0.4">
      <c r="B207" s="11">
        <v>190</v>
      </c>
      <c r="C207" s="16">
        <f t="shared" si="9"/>
        <v>98.772068605255271</v>
      </c>
      <c r="D207" s="17">
        <f t="shared" si="11"/>
        <v>109.74674289472807</v>
      </c>
      <c r="E207" s="17">
        <f t="shared" si="10"/>
        <v>120.72141718420087</v>
      </c>
      <c r="F207" s="2">
        <v>108.3788</v>
      </c>
      <c r="G207" s="2" t="str">
        <f t="shared" si="8"/>
        <v>Pass</v>
      </c>
      <c r="Y207" s="2">
        <v>192</v>
      </c>
      <c r="Z207" s="2">
        <v>0.31290000000000001</v>
      </c>
      <c r="AA207" s="2">
        <v>0.32979999999999998</v>
      </c>
      <c r="AB207" s="2">
        <v>111.1412</v>
      </c>
    </row>
    <row r="208" spans="2:28" x14ac:dyDescent="0.4">
      <c r="B208" s="11">
        <v>191</v>
      </c>
      <c r="C208" s="16">
        <f t="shared" si="9"/>
        <v>100.12745638923731</v>
      </c>
      <c r="D208" s="17">
        <f t="shared" si="11"/>
        <v>111.25272932137479</v>
      </c>
      <c r="E208" s="17">
        <f t="shared" si="10"/>
        <v>122.37800225351226</v>
      </c>
      <c r="F208" s="2">
        <v>109.95050000000001</v>
      </c>
      <c r="G208" s="2" t="str">
        <f t="shared" si="8"/>
        <v>Pass</v>
      </c>
      <c r="Y208" s="2">
        <v>193</v>
      </c>
      <c r="Z208" s="2">
        <v>0.31290000000000001</v>
      </c>
      <c r="AA208" s="2">
        <v>0.32969999999999999</v>
      </c>
      <c r="AB208" s="2">
        <v>112.32089999999999</v>
      </c>
    </row>
    <row r="209" spans="2:28" x14ac:dyDescent="0.4">
      <c r="B209" s="11">
        <v>192</v>
      </c>
      <c r="C209" s="16">
        <f t="shared" si="9"/>
        <v>101.49422980415949</v>
      </c>
      <c r="D209" s="17">
        <f t="shared" si="11"/>
        <v>112.77136644906611</v>
      </c>
      <c r="E209" s="17">
        <f t="shared" si="10"/>
        <v>124.04850309397273</v>
      </c>
      <c r="F209" s="2">
        <v>111.1412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0.31269999999999998</v>
      </c>
      <c r="AA209" s="2">
        <v>0.3296</v>
      </c>
      <c r="AB209" s="2">
        <v>114.01519999999999</v>
      </c>
    </row>
    <row r="210" spans="2:28" x14ac:dyDescent="0.4">
      <c r="B210" s="11">
        <v>193</v>
      </c>
      <c r="C210" s="16">
        <f t="shared" ref="C210:C272" si="13">D210-D210*(C$14/100)</f>
        <v>102.87242452890916</v>
      </c>
      <c r="D210" s="17">
        <f t="shared" si="11"/>
        <v>114.30269392101017</v>
      </c>
      <c r="E210" s="17">
        <f t="shared" ref="E210:E272" si="14">D210+D210*(C$14/100)</f>
        <v>125.73296331311118</v>
      </c>
      <c r="F210" s="2">
        <v>112.32089999999999</v>
      </c>
      <c r="G210" s="2" t="str">
        <f t="shared" si="12"/>
        <v>Pass</v>
      </c>
      <c r="Y210" s="2">
        <v>195</v>
      </c>
      <c r="Z210" s="2">
        <v>0.31269999999999998</v>
      </c>
      <c r="AA210" s="2">
        <v>0.3296</v>
      </c>
      <c r="AB210" s="2">
        <v>115.2544</v>
      </c>
    </row>
    <row r="211" spans="2:28" x14ac:dyDescent="0.4">
      <c r="B211" s="11">
        <v>194</v>
      </c>
      <c r="C211" s="16">
        <f t="shared" si="13"/>
        <v>104.26207616822296</v>
      </c>
      <c r="D211" s="17">
        <f t="shared" ref="D211:D271" si="15">D$272*((B211+F$17)/B$272)^C$13</f>
        <v>115.84675129802551</v>
      </c>
      <c r="E211" s="17">
        <f t="shared" si="14"/>
        <v>127.43142642782806</v>
      </c>
      <c r="F211" s="2">
        <v>114.01519999999999</v>
      </c>
      <c r="G211" s="2" t="str">
        <f t="shared" si="12"/>
        <v>Pass</v>
      </c>
      <c r="Y211" s="2">
        <v>196</v>
      </c>
      <c r="Z211" s="2">
        <v>0.31269999999999998</v>
      </c>
      <c r="AA211" s="2">
        <v>0.32950000000000002</v>
      </c>
      <c r="AB211" s="2">
        <v>116.9091</v>
      </c>
    </row>
    <row r="212" spans="2:28" x14ac:dyDescent="0.4">
      <c r="B212" s="11">
        <v>195</v>
      </c>
      <c r="C212" s="16">
        <f t="shared" si="13"/>
        <v>105.66322025322347</v>
      </c>
      <c r="D212" s="17">
        <f t="shared" si="15"/>
        <v>117.40357805913719</v>
      </c>
      <c r="E212" s="17">
        <f t="shared" si="14"/>
        <v>129.14393586505091</v>
      </c>
      <c r="F212" s="2">
        <v>115.2544</v>
      </c>
      <c r="G212" s="2" t="str">
        <f t="shared" si="12"/>
        <v>Pass</v>
      </c>
      <c r="Y212" s="2">
        <v>197</v>
      </c>
      <c r="Z212" s="2">
        <v>0.31269999999999998</v>
      </c>
      <c r="AA212" s="2">
        <v>0.32940000000000003</v>
      </c>
      <c r="AB212" s="2">
        <v>118.1382</v>
      </c>
    </row>
    <row r="213" spans="2:28" x14ac:dyDescent="0.4">
      <c r="B213" s="11">
        <v>196</v>
      </c>
      <c r="C213" s="16">
        <f t="shared" si="13"/>
        <v>107.07589224194898</v>
      </c>
      <c r="D213" s="17">
        <f t="shared" si="15"/>
        <v>118.97321360216553</v>
      </c>
      <c r="E213" s="17">
        <f t="shared" si="14"/>
        <v>130.8705349623821</v>
      </c>
      <c r="F213" s="2">
        <v>116.9091</v>
      </c>
      <c r="G213" s="2" t="str">
        <f t="shared" si="12"/>
        <v>Pass</v>
      </c>
      <c r="Y213" s="2">
        <v>198</v>
      </c>
      <c r="Z213" s="2">
        <v>0.31269999999999998</v>
      </c>
      <c r="AA213" s="2">
        <v>0.33040000000000003</v>
      </c>
      <c r="AB213" s="2">
        <v>120.5881</v>
      </c>
    </row>
    <row r="214" spans="2:28" x14ac:dyDescent="0.4">
      <c r="B214" s="11">
        <v>197</v>
      </c>
      <c r="C214" s="16">
        <f t="shared" si="13"/>
        <v>108.50012751987715</v>
      </c>
      <c r="D214" s="17">
        <f t="shared" si="15"/>
        <v>120.55569724430795</v>
      </c>
      <c r="E214" s="17">
        <f t="shared" si="14"/>
        <v>132.61126696873873</v>
      </c>
      <c r="F214" s="2">
        <v>118.1382</v>
      </c>
      <c r="G214" s="2" t="str">
        <f t="shared" si="12"/>
        <v>Pass</v>
      </c>
      <c r="Y214" s="2">
        <v>199</v>
      </c>
      <c r="Z214" s="2">
        <v>0.313</v>
      </c>
      <c r="AA214" s="2">
        <v>0.32990000000000003</v>
      </c>
      <c r="AB214" s="2">
        <v>122.2891</v>
      </c>
    </row>
    <row r="215" spans="2:28" x14ac:dyDescent="0.4">
      <c r="B215" s="11">
        <v>198</v>
      </c>
      <c r="C215" s="16">
        <f t="shared" si="13"/>
        <v>109.93596140044195</v>
      </c>
      <c r="D215" s="17">
        <f t="shared" si="15"/>
        <v>122.15106822271329</v>
      </c>
      <c r="E215" s="17">
        <f t="shared" si="14"/>
        <v>134.36617504498463</v>
      </c>
      <c r="F215" s="2">
        <v>120.5881</v>
      </c>
      <c r="G215" s="2" t="str">
        <f t="shared" si="12"/>
        <v>Pass</v>
      </c>
      <c r="Y215" s="2">
        <v>200</v>
      </c>
      <c r="Z215" s="2">
        <v>0.313</v>
      </c>
      <c r="AA215" s="2">
        <v>0.32990000000000003</v>
      </c>
      <c r="AB215" s="2">
        <v>123.95140000000001</v>
      </c>
    </row>
    <row r="216" spans="2:28" x14ac:dyDescent="0.4">
      <c r="B216" s="11">
        <v>199</v>
      </c>
      <c r="C216" s="16">
        <f t="shared" si="13"/>
        <v>111.38342912554444</v>
      </c>
      <c r="D216" s="17">
        <f t="shared" si="15"/>
        <v>123.75936569504938</v>
      </c>
      <c r="E216" s="17">
        <f t="shared" si="14"/>
        <v>136.13530226455433</v>
      </c>
      <c r="F216" s="2">
        <v>122.2891</v>
      </c>
      <c r="G216" s="2" t="str">
        <f t="shared" si="12"/>
        <v>Pass</v>
      </c>
      <c r="Y216" s="2">
        <v>201</v>
      </c>
      <c r="Z216" s="2">
        <v>0.31290000000000001</v>
      </c>
      <c r="AA216" s="2">
        <v>0.32979999999999998</v>
      </c>
      <c r="AB216" s="2">
        <v>125.1722</v>
      </c>
    </row>
    <row r="217" spans="2:28" x14ac:dyDescent="0.4">
      <c r="B217" s="11">
        <v>200</v>
      </c>
      <c r="C217" s="16">
        <f t="shared" si="13"/>
        <v>112.84256586605748</v>
      </c>
      <c r="D217" s="17">
        <f t="shared" si="15"/>
        <v>125.38062874006387</v>
      </c>
      <c r="E217" s="17">
        <f t="shared" si="14"/>
        <v>137.91869161407027</v>
      </c>
      <c r="F217" s="2">
        <v>123.95140000000001</v>
      </c>
      <c r="G217" s="2" t="str">
        <f t="shared" si="12"/>
        <v>Pass</v>
      </c>
      <c r="Y217" s="2">
        <v>202</v>
      </c>
      <c r="Z217" s="2">
        <v>0.31240000000000001</v>
      </c>
      <c r="AA217" s="2">
        <v>0.32900000000000001</v>
      </c>
      <c r="AB217" s="2">
        <v>126.8181</v>
      </c>
    </row>
    <row r="218" spans="2:28" x14ac:dyDescent="0.4">
      <c r="B218" s="11">
        <v>201</v>
      </c>
      <c r="C218" s="16">
        <f t="shared" si="13"/>
        <v>114.31340672232407</v>
      </c>
      <c r="D218" s="17">
        <f t="shared" si="15"/>
        <v>127.01489635813786</v>
      </c>
      <c r="E218" s="17">
        <f t="shared" si="14"/>
        <v>139.71638599395163</v>
      </c>
      <c r="F218" s="2">
        <v>125.1722</v>
      </c>
      <c r="G218" s="2" t="str">
        <f t="shared" si="12"/>
        <v>Pass</v>
      </c>
      <c r="Y218" s="2">
        <v>203</v>
      </c>
      <c r="Z218" s="2">
        <v>0.31240000000000001</v>
      </c>
      <c r="AA218" s="2">
        <v>0.32900000000000001</v>
      </c>
      <c r="AB218" s="2">
        <v>128.06120000000001</v>
      </c>
    </row>
    <row r="219" spans="2:28" x14ac:dyDescent="0.4">
      <c r="B219" s="11">
        <v>202</v>
      </c>
      <c r="C219" s="16">
        <f t="shared" si="13"/>
        <v>115.79598672465008</v>
      </c>
      <c r="D219" s="17">
        <f t="shared" si="15"/>
        <v>128.66220747183343</v>
      </c>
      <c r="E219" s="17">
        <f t="shared" si="14"/>
        <v>141.52842821901677</v>
      </c>
      <c r="F219" s="2">
        <v>126.8181</v>
      </c>
      <c r="G219" s="2" t="str">
        <f t="shared" si="12"/>
        <v>Pass</v>
      </c>
      <c r="Y219" s="2">
        <v>204</v>
      </c>
      <c r="Z219" s="2">
        <v>0.31240000000000001</v>
      </c>
      <c r="AA219" s="2">
        <v>0.32890000000000003</v>
      </c>
      <c r="AB219" s="2">
        <v>129.69560000000001</v>
      </c>
    </row>
    <row r="220" spans="2:28" x14ac:dyDescent="0.4">
      <c r="B220" s="11">
        <v>203</v>
      </c>
      <c r="C220" s="16">
        <f t="shared" si="13"/>
        <v>117.29034083379099</v>
      </c>
      <c r="D220" s="17">
        <f t="shared" si="15"/>
        <v>130.32260092643443</v>
      </c>
      <c r="E220" s="17">
        <f t="shared" si="14"/>
        <v>143.35486101907787</v>
      </c>
      <c r="F220" s="2">
        <v>128.06120000000001</v>
      </c>
      <c r="G220" s="2" t="str">
        <f t="shared" si="12"/>
        <v>Pass</v>
      </c>
      <c r="Y220" s="2">
        <v>205</v>
      </c>
      <c r="Z220" s="2">
        <v>0.313</v>
      </c>
      <c r="AA220" s="2">
        <v>0.3286</v>
      </c>
      <c r="AB220" s="2">
        <v>131.37200000000001</v>
      </c>
    </row>
    <row r="221" spans="2:28" x14ac:dyDescent="0.4">
      <c r="B221" s="11">
        <v>204</v>
      </c>
      <c r="C221" s="16">
        <f t="shared" si="13"/>
        <v>118.79650394143258</v>
      </c>
      <c r="D221" s="17">
        <f t="shared" si="15"/>
        <v>131.99611549048063</v>
      </c>
      <c r="E221" s="17">
        <f t="shared" si="14"/>
        <v>145.19572703952869</v>
      </c>
      <c r="F221" s="2">
        <v>129.69560000000001</v>
      </c>
      <c r="G221" s="2" t="str">
        <f t="shared" si="12"/>
        <v>Pass</v>
      </c>
      <c r="Y221" s="2">
        <v>206</v>
      </c>
      <c r="Z221" s="2">
        <v>0.31280000000000002</v>
      </c>
      <c r="AA221" s="2">
        <v>0.3296</v>
      </c>
      <c r="AB221" s="2">
        <v>134.03970000000001</v>
      </c>
    </row>
    <row r="222" spans="2:28" x14ac:dyDescent="0.4">
      <c r="B222" s="11">
        <v>205</v>
      </c>
      <c r="C222" s="16">
        <f t="shared" si="13"/>
        <v>120.31451087066634</v>
      </c>
      <c r="D222" s="17">
        <f t="shared" si="15"/>
        <v>133.68278985629593</v>
      </c>
      <c r="E222" s="17">
        <f t="shared" si="14"/>
        <v>147.05106884192551</v>
      </c>
      <c r="F222" s="2">
        <v>131.37200000000001</v>
      </c>
      <c r="G222" s="2" t="str">
        <f t="shared" si="12"/>
        <v>Pass</v>
      </c>
      <c r="Y222" s="2">
        <v>207</v>
      </c>
      <c r="Z222" s="2">
        <v>0.31269999999999998</v>
      </c>
      <c r="AA222" s="2">
        <v>0.3296</v>
      </c>
      <c r="AB222" s="2">
        <v>135.37100000000001</v>
      </c>
    </row>
    <row r="223" spans="2:28" x14ac:dyDescent="0.4">
      <c r="B223" s="11">
        <v>206</v>
      </c>
      <c r="C223" s="16">
        <f t="shared" si="13"/>
        <v>121.84439637645919</v>
      </c>
      <c r="D223" s="17">
        <f t="shared" si="15"/>
        <v>135.3826626405102</v>
      </c>
      <c r="E223" s="17">
        <f t="shared" si="14"/>
        <v>148.92092890456124</v>
      </c>
      <c r="F223" s="2">
        <v>134.03970000000001</v>
      </c>
      <c r="G223" s="2" t="str">
        <f t="shared" si="12"/>
        <v>Pass</v>
      </c>
      <c r="Y223" s="2">
        <v>208</v>
      </c>
      <c r="Z223" s="2">
        <v>0.31269999999999998</v>
      </c>
      <c r="AA223" s="2">
        <v>0.3296</v>
      </c>
      <c r="AB223" s="2">
        <v>137.1491</v>
      </c>
    </row>
    <row r="224" spans="2:28" x14ac:dyDescent="0.4">
      <c r="B224" s="11">
        <v>207</v>
      </c>
      <c r="C224" s="16">
        <f t="shared" si="13"/>
        <v>123.38619514611753</v>
      </c>
      <c r="D224" s="17">
        <f t="shared" si="15"/>
        <v>137.09577238457504</v>
      </c>
      <c r="E224" s="17">
        <f t="shared" si="14"/>
        <v>150.80534962303255</v>
      </c>
      <c r="F224" s="2">
        <v>135.37100000000001</v>
      </c>
      <c r="G224" s="2" t="str">
        <f t="shared" si="12"/>
        <v>Pass</v>
      </c>
      <c r="Y224" s="2">
        <v>209</v>
      </c>
      <c r="Z224" s="2">
        <v>0.31259999999999999</v>
      </c>
      <c r="AA224" s="2">
        <v>0.32950000000000002</v>
      </c>
      <c r="AB224" s="2">
        <v>138.49119999999999</v>
      </c>
    </row>
    <row r="225" spans="2:28" x14ac:dyDescent="0.4">
      <c r="B225" s="11">
        <v>208</v>
      </c>
      <c r="C225" s="16">
        <f t="shared" si="13"/>
        <v>124.93994179974622</v>
      </c>
      <c r="D225" s="17">
        <f t="shared" si="15"/>
        <v>138.82215755527358</v>
      </c>
      <c r="E225" s="17">
        <f t="shared" si="14"/>
        <v>152.70437331080095</v>
      </c>
      <c r="F225" s="2">
        <v>137.1491</v>
      </c>
      <c r="G225" s="2" t="str">
        <f t="shared" si="12"/>
        <v>Pass</v>
      </c>
      <c r="Y225" s="2">
        <v>210</v>
      </c>
      <c r="Z225" s="2">
        <v>0.31259999999999999</v>
      </c>
      <c r="AA225" s="2">
        <v>0.32950000000000002</v>
      </c>
      <c r="AB225" s="2">
        <v>139.81809999999999</v>
      </c>
    </row>
    <row r="226" spans="2:28" x14ac:dyDescent="0.4">
      <c r="B226" s="11">
        <v>209</v>
      </c>
      <c r="C226" s="16">
        <f t="shared" si="13"/>
        <v>126.50567089070175</v>
      </c>
      <c r="D226" s="17">
        <f t="shared" si="15"/>
        <v>140.56185654522417</v>
      </c>
      <c r="E226" s="17">
        <f t="shared" si="14"/>
        <v>154.61804219974658</v>
      </c>
      <c r="F226" s="2">
        <v>138.49119999999999</v>
      </c>
      <c r="G226" s="2" t="str">
        <f t="shared" si="12"/>
        <v>Pass</v>
      </c>
      <c r="Y226" s="2">
        <v>211</v>
      </c>
      <c r="Z226" s="2">
        <v>0.3135</v>
      </c>
      <c r="AA226" s="2">
        <v>0.32979999999999998</v>
      </c>
      <c r="AB226" s="2">
        <v>141.9648</v>
      </c>
    </row>
    <row r="227" spans="2:28" x14ac:dyDescent="0.4">
      <c r="B227" s="11">
        <v>210</v>
      </c>
      <c r="C227" s="16">
        <f t="shared" si="13"/>
        <v>128.08341690604078</v>
      </c>
      <c r="D227" s="17">
        <f t="shared" si="15"/>
        <v>142.31490767337866</v>
      </c>
      <c r="E227" s="17">
        <f t="shared" si="14"/>
        <v>156.54639844071653</v>
      </c>
      <c r="F227" s="2">
        <v>139.81809999999999</v>
      </c>
      <c r="G227" s="2" t="str">
        <f t="shared" si="12"/>
        <v>Pass</v>
      </c>
      <c r="Y227" s="2">
        <v>212</v>
      </c>
      <c r="Z227" s="2">
        <v>0.3135</v>
      </c>
      <c r="AA227" s="2">
        <v>0.32979999999999998</v>
      </c>
      <c r="AB227" s="2">
        <v>143.38300000000001</v>
      </c>
    </row>
    <row r="228" spans="2:28" x14ac:dyDescent="0.4">
      <c r="B228" s="11">
        <v>211</v>
      </c>
      <c r="C228" s="16">
        <f t="shared" si="13"/>
        <v>129.6732142669633</v>
      </c>
      <c r="D228" s="17">
        <f t="shared" si="15"/>
        <v>144.08134918551477</v>
      </c>
      <c r="E228" s="17">
        <f t="shared" si="14"/>
        <v>158.48948410406624</v>
      </c>
      <c r="F228" s="2">
        <v>141.9648</v>
      </c>
      <c r="G228" s="2" t="str">
        <f t="shared" si="12"/>
        <v>Pass</v>
      </c>
      <c r="Y228" s="2">
        <v>213</v>
      </c>
      <c r="Z228" s="2">
        <v>0.3135</v>
      </c>
      <c r="AA228" s="2">
        <v>0.3306</v>
      </c>
      <c r="AB228" s="2">
        <v>146.16929999999999</v>
      </c>
    </row>
    <row r="229" spans="2:28" x14ac:dyDescent="0.4">
      <c r="B229" s="11">
        <v>212</v>
      </c>
      <c r="C229" s="16">
        <f t="shared" si="13"/>
        <v>131.27509732925046</v>
      </c>
      <c r="D229" s="17">
        <f t="shared" si="15"/>
        <v>145.86121925472273</v>
      </c>
      <c r="E229" s="17">
        <f t="shared" si="14"/>
        <v>160.447341180195</v>
      </c>
      <c r="F229" s="2">
        <v>143.38300000000001</v>
      </c>
      <c r="G229" s="2" t="str">
        <f t="shared" si="12"/>
        <v>Pass</v>
      </c>
      <c r="Y229" s="2">
        <v>214</v>
      </c>
      <c r="Z229" s="2">
        <v>0.3135</v>
      </c>
      <c r="AA229" s="2">
        <v>0.3306</v>
      </c>
      <c r="AB229" s="2">
        <v>147.5565</v>
      </c>
    </row>
    <row r="230" spans="2:28" x14ac:dyDescent="0.4">
      <c r="B230" s="11">
        <v>213</v>
      </c>
      <c r="C230" s="16">
        <f t="shared" si="13"/>
        <v>132.88910038369778</v>
      </c>
      <c r="D230" s="17">
        <f t="shared" si="15"/>
        <v>147.65455598188643</v>
      </c>
      <c r="E230" s="17">
        <f t="shared" si="14"/>
        <v>162.42001158007508</v>
      </c>
      <c r="F230" s="2">
        <v>146.16929999999999</v>
      </c>
      <c r="G230" s="2" t="str">
        <f t="shared" si="12"/>
        <v>Pass</v>
      </c>
      <c r="Y230" s="2">
        <v>215</v>
      </c>
      <c r="Z230" s="2">
        <v>0.31240000000000001</v>
      </c>
      <c r="AA230" s="2">
        <v>0.3291</v>
      </c>
      <c r="AB230" s="2">
        <v>149.4402</v>
      </c>
    </row>
    <row r="231" spans="2:28" x14ac:dyDescent="0.4">
      <c r="B231" s="11">
        <v>214</v>
      </c>
      <c r="C231" s="16">
        <f t="shared" si="13"/>
        <v>134.51525765654355</v>
      </c>
      <c r="D231" s="17">
        <f t="shared" si="15"/>
        <v>149.4613973961595</v>
      </c>
      <c r="E231" s="17">
        <f t="shared" si="14"/>
        <v>164.40753713577544</v>
      </c>
      <c r="F231" s="2">
        <v>147.5565</v>
      </c>
      <c r="G231" s="2" t="str">
        <f t="shared" si="12"/>
        <v>Pass</v>
      </c>
      <c r="Y231" s="2">
        <v>216</v>
      </c>
      <c r="Z231" s="2">
        <v>0.31330000000000002</v>
      </c>
      <c r="AA231" s="2">
        <v>0.32950000000000002</v>
      </c>
      <c r="AB231" s="2">
        <v>151.25290000000001</v>
      </c>
    </row>
    <row r="232" spans="2:28" x14ac:dyDescent="0.4">
      <c r="B232" s="11">
        <v>215</v>
      </c>
      <c r="C232" s="16">
        <f t="shared" si="13"/>
        <v>136.15360330989185</v>
      </c>
      <c r="D232" s="17">
        <f t="shared" si="15"/>
        <v>151.28178145543538</v>
      </c>
      <c r="E232" s="17">
        <f t="shared" si="14"/>
        <v>166.40995960097891</v>
      </c>
      <c r="F232" s="2">
        <v>149.4402</v>
      </c>
      <c r="G232" s="2" t="str">
        <f t="shared" si="12"/>
        <v>Pass</v>
      </c>
      <c r="Y232" s="2">
        <v>217</v>
      </c>
      <c r="Z232" s="2">
        <v>0.31319999999999998</v>
      </c>
      <c r="AA232" s="2">
        <v>0.32940000000000003</v>
      </c>
      <c r="AB232" s="2">
        <v>153.1403</v>
      </c>
    </row>
    <row r="233" spans="2:28" x14ac:dyDescent="0.4">
      <c r="B233" s="11">
        <v>216</v>
      </c>
      <c r="C233" s="16">
        <f t="shared" si="13"/>
        <v>137.80417144213163</v>
      </c>
      <c r="D233" s="17">
        <f t="shared" si="15"/>
        <v>153.11574604681292</v>
      </c>
      <c r="E233" s="17">
        <f t="shared" si="14"/>
        <v>168.4273206514942</v>
      </c>
      <c r="F233" s="2">
        <v>151.25290000000001</v>
      </c>
      <c r="G233" s="2" t="str">
        <f t="shared" si="12"/>
        <v>Pass</v>
      </c>
      <c r="Y233" s="2">
        <v>218</v>
      </c>
      <c r="Z233" s="2">
        <v>0.31319999999999998</v>
      </c>
      <c r="AA233" s="2">
        <v>0.32940000000000003</v>
      </c>
      <c r="AB233" s="2">
        <v>154.55510000000001</v>
      </c>
    </row>
    <row r="234" spans="2:28" x14ac:dyDescent="0.4">
      <c r="B234" s="11">
        <v>217</v>
      </c>
      <c r="C234" s="16">
        <f t="shared" si="13"/>
        <v>139.46699608835019</v>
      </c>
      <c r="D234" s="17">
        <f t="shared" si="15"/>
        <v>154.96332898705577</v>
      </c>
      <c r="E234" s="17">
        <f t="shared" si="14"/>
        <v>170.45966188576136</v>
      </c>
      <c r="F234" s="2">
        <v>153.1403</v>
      </c>
      <c r="G234" s="2" t="str">
        <f t="shared" si="12"/>
        <v>Pass</v>
      </c>
      <c r="Y234" s="2">
        <v>219</v>
      </c>
      <c r="Z234" s="2">
        <v>0.31319999999999998</v>
      </c>
      <c r="AA234" s="2">
        <v>0.33019999999999999</v>
      </c>
      <c r="AB234" s="2">
        <v>157.37100000000001</v>
      </c>
    </row>
    <row r="235" spans="2:28" x14ac:dyDescent="0.4">
      <c r="B235" s="11">
        <v>218</v>
      </c>
      <c r="C235" s="16">
        <f t="shared" si="13"/>
        <v>141.14211122074315</v>
      </c>
      <c r="D235" s="17">
        <f t="shared" si="15"/>
        <v>156.82456802304793</v>
      </c>
      <c r="E235" s="17">
        <f t="shared" si="14"/>
        <v>172.50702482535272</v>
      </c>
      <c r="F235" s="2">
        <v>154.55510000000001</v>
      </c>
      <c r="G235" s="2" t="str">
        <f t="shared" si="12"/>
        <v>Pass</v>
      </c>
      <c r="Y235" s="2">
        <v>220</v>
      </c>
      <c r="Z235" s="2">
        <v>0.31319999999999998</v>
      </c>
      <c r="AA235" s="2">
        <v>0.3301</v>
      </c>
      <c r="AB235" s="2">
        <v>158.79949999999999</v>
      </c>
    </row>
    <row r="236" spans="2:28" x14ac:dyDescent="0.4">
      <c r="B236" s="11">
        <v>219</v>
      </c>
      <c r="C236" s="16">
        <f t="shared" si="13"/>
        <v>142.82955074901901</v>
      </c>
      <c r="D236" s="17">
        <f t="shared" si="15"/>
        <v>158.69950083224333</v>
      </c>
      <c r="E236" s="17">
        <f t="shared" si="14"/>
        <v>174.56945091546766</v>
      </c>
      <c r="F236" s="2">
        <v>157.37100000000001</v>
      </c>
      <c r="G236" s="2" t="str">
        <f t="shared" si="12"/>
        <v>Pass</v>
      </c>
      <c r="Y236" s="2">
        <v>221</v>
      </c>
      <c r="Z236" s="2">
        <v>0.31340000000000001</v>
      </c>
      <c r="AA236" s="2">
        <v>0.32990000000000003</v>
      </c>
      <c r="AB236" s="2">
        <v>161.14689999999999</v>
      </c>
    </row>
    <row r="237" spans="2:28" x14ac:dyDescent="0.4">
      <c r="B237" s="11">
        <v>220</v>
      </c>
      <c r="C237" s="16">
        <f t="shared" si="13"/>
        <v>144.52934852079954</v>
      </c>
      <c r="D237" s="17">
        <f t="shared" si="15"/>
        <v>160.58816502311061</v>
      </c>
      <c r="E237" s="17">
        <f t="shared" si="14"/>
        <v>176.64698152542167</v>
      </c>
      <c r="F237" s="2">
        <v>158.79949999999999</v>
      </c>
      <c r="G237" s="2" t="str">
        <f t="shared" si="12"/>
        <v>Pass</v>
      </c>
      <c r="Y237" s="2">
        <v>222</v>
      </c>
      <c r="Z237" s="2">
        <v>0.31319999999999998</v>
      </c>
      <c r="AA237" s="2">
        <v>0.32990000000000003</v>
      </c>
      <c r="AB237" s="2">
        <v>162.49369999999999</v>
      </c>
    </row>
    <row r="238" spans="2:28" x14ac:dyDescent="0.4">
      <c r="B238" s="11">
        <v>221</v>
      </c>
      <c r="C238" s="16">
        <f t="shared" si="13"/>
        <v>146.24153832201605</v>
      </c>
      <c r="D238" s="17">
        <f t="shared" si="15"/>
        <v>162.49059813557341</v>
      </c>
      <c r="E238" s="17">
        <f t="shared" si="14"/>
        <v>178.73965794913076</v>
      </c>
      <c r="F238" s="2">
        <v>161.14689999999999</v>
      </c>
      <c r="G238" s="2" t="str">
        <f t="shared" si="12"/>
        <v>Pass</v>
      </c>
      <c r="Y238" s="2">
        <v>223</v>
      </c>
      <c r="Z238" s="2">
        <v>0.31269999999999998</v>
      </c>
      <c r="AA238" s="2">
        <v>0.32990000000000003</v>
      </c>
      <c r="AB238" s="2">
        <v>165.279</v>
      </c>
    </row>
    <row r="239" spans="2:28" x14ac:dyDescent="0.4">
      <c r="B239" s="11">
        <v>222</v>
      </c>
      <c r="C239" s="16">
        <f t="shared" si="13"/>
        <v>147.96615387730105</v>
      </c>
      <c r="D239" s="17">
        <f t="shared" si="15"/>
        <v>164.40683764144561</v>
      </c>
      <c r="E239" s="17">
        <f t="shared" si="14"/>
        <v>180.84752140559016</v>
      </c>
      <c r="F239" s="2">
        <v>162.49369999999999</v>
      </c>
      <c r="G239" s="2" t="str">
        <f t="shared" si="12"/>
        <v>Pass</v>
      </c>
      <c r="Y239" s="2">
        <v>224</v>
      </c>
      <c r="Z239" s="2">
        <v>0.31259999999999999</v>
      </c>
      <c r="AA239" s="2">
        <v>0.32979999999999998</v>
      </c>
      <c r="AB239" s="2">
        <v>167.2413</v>
      </c>
    </row>
    <row r="240" spans="2:28" x14ac:dyDescent="0.4">
      <c r="B240" s="11">
        <v>223</v>
      </c>
      <c r="C240" s="16">
        <f t="shared" si="13"/>
        <v>149.70322885037561</v>
      </c>
      <c r="D240" s="17">
        <f t="shared" si="15"/>
        <v>166.33692094486179</v>
      </c>
      <c r="E240" s="17">
        <f t="shared" si="14"/>
        <v>182.97061303934797</v>
      </c>
      <c r="F240" s="2">
        <v>165.279</v>
      </c>
      <c r="G240" s="2" t="str">
        <f t="shared" si="12"/>
        <v>Pass</v>
      </c>
      <c r="Y240" s="2">
        <v>225</v>
      </c>
      <c r="Z240" s="2">
        <v>0.31280000000000002</v>
      </c>
      <c r="AA240" s="2">
        <v>0.3296</v>
      </c>
      <c r="AB240" s="2">
        <v>169.09979999999999</v>
      </c>
    </row>
    <row r="241" spans="2:28" x14ac:dyDescent="0.4">
      <c r="B241" s="11">
        <v>224</v>
      </c>
      <c r="C241" s="16">
        <f t="shared" si="13"/>
        <v>151.4527968444329</v>
      </c>
      <c r="D241" s="17">
        <f t="shared" si="15"/>
        <v>168.28088538270322</v>
      </c>
      <c r="E241" s="17">
        <f t="shared" si="14"/>
        <v>185.10897392097354</v>
      </c>
      <c r="F241" s="2">
        <v>167.2413</v>
      </c>
      <c r="G241" s="2" t="str">
        <f t="shared" si="12"/>
        <v>Pass</v>
      </c>
      <c r="Y241" s="2">
        <v>226</v>
      </c>
      <c r="Z241" s="2">
        <v>0.31269999999999998</v>
      </c>
      <c r="AA241" s="2">
        <v>0.32950000000000002</v>
      </c>
      <c r="AB241" s="2">
        <v>170.5693</v>
      </c>
    </row>
    <row r="242" spans="2:28" x14ac:dyDescent="0.4">
      <c r="B242" s="11">
        <v>225</v>
      </c>
      <c r="C242" s="16">
        <f t="shared" si="13"/>
        <v>153.21489140251725</v>
      </c>
      <c r="D242" s="17">
        <f t="shared" si="15"/>
        <v>170.23876822501916</v>
      </c>
      <c r="E242" s="17">
        <f t="shared" si="14"/>
        <v>187.26264504752106</v>
      </c>
      <c r="F242" s="2">
        <v>169.09979999999999</v>
      </c>
      <c r="G242" s="2" t="str">
        <f t="shared" si="12"/>
        <v>Pass</v>
      </c>
      <c r="Y242" s="2">
        <v>227</v>
      </c>
      <c r="Z242" s="2">
        <v>0.31269999999999998</v>
      </c>
      <c r="AA242" s="2">
        <v>0.32940000000000003</v>
      </c>
      <c r="AB242" s="2">
        <v>172.5395</v>
      </c>
    </row>
    <row r="243" spans="2:28" x14ac:dyDescent="0.4">
      <c r="B243" s="11">
        <v>226</v>
      </c>
      <c r="C243" s="16">
        <f t="shared" si="13"/>
        <v>154.98954600789935</v>
      </c>
      <c r="D243" s="17">
        <f t="shared" si="15"/>
        <v>172.21060667544373</v>
      </c>
      <c r="E243" s="17">
        <f t="shared" si="14"/>
        <v>189.43166734298811</v>
      </c>
      <c r="F243" s="2">
        <v>170.5693</v>
      </c>
      <c r="G243" s="2" t="str">
        <f t="shared" si="12"/>
        <v>Pass</v>
      </c>
      <c r="Y243" s="2">
        <v>228</v>
      </c>
      <c r="Z243" s="2">
        <v>0.313</v>
      </c>
      <c r="AA243" s="2">
        <v>0.3306</v>
      </c>
      <c r="AB243" s="2">
        <v>174.94900000000001</v>
      </c>
    </row>
    <row r="244" spans="2:28" x14ac:dyDescent="0.4">
      <c r="B244" s="11">
        <v>227</v>
      </c>
      <c r="C244" s="16">
        <f t="shared" si="13"/>
        <v>156.77679408444746</v>
      </c>
      <c r="D244" s="17">
        <f t="shared" si="15"/>
        <v>174.19643787160828</v>
      </c>
      <c r="E244" s="17">
        <f t="shared" si="14"/>
        <v>191.6160816587691</v>
      </c>
      <c r="F244" s="2">
        <v>172.5395</v>
      </c>
      <c r="G244" s="2" t="str">
        <f t="shared" si="12"/>
        <v>Pass</v>
      </c>
      <c r="Y244" s="2">
        <v>229</v>
      </c>
      <c r="Z244" s="2">
        <v>0.31319999999999998</v>
      </c>
      <c r="AA244" s="2">
        <v>0.32990000000000003</v>
      </c>
      <c r="AB244" s="2">
        <v>177.39590000000001</v>
      </c>
    </row>
    <row r="245" spans="2:28" x14ac:dyDescent="0.4">
      <c r="B245" s="11">
        <v>228</v>
      </c>
      <c r="C245" s="16">
        <f t="shared" si="13"/>
        <v>158.57666899699453</v>
      </c>
      <c r="D245" s="17">
        <f t="shared" si="15"/>
        <v>176.19629888554948</v>
      </c>
      <c r="E245" s="17">
        <f t="shared" si="14"/>
        <v>193.81592877410444</v>
      </c>
      <c r="F245" s="2">
        <v>174.94900000000001</v>
      </c>
      <c r="G245" s="2" t="str">
        <f t="shared" si="12"/>
        <v>Pass</v>
      </c>
      <c r="Y245" s="2">
        <v>230</v>
      </c>
      <c r="Z245" s="2">
        <v>0.31219999999999998</v>
      </c>
      <c r="AA245" s="2">
        <v>0.32869999999999999</v>
      </c>
      <c r="AB245" s="2">
        <v>178.94499999999999</v>
      </c>
    </row>
    <row r="246" spans="2:28" x14ac:dyDescent="0.4">
      <c r="B246" s="11">
        <v>229</v>
      </c>
      <c r="C246" s="16">
        <f t="shared" si="13"/>
        <v>160.38920405170157</v>
      </c>
      <c r="D246" s="17">
        <f t="shared" si="15"/>
        <v>178.21022672411286</v>
      </c>
      <c r="E246" s="17">
        <f t="shared" si="14"/>
        <v>196.03124939652415</v>
      </c>
      <c r="F246" s="2">
        <v>177.39590000000001</v>
      </c>
      <c r="G246" s="2" t="str">
        <f t="shared" si="12"/>
        <v>Pass</v>
      </c>
      <c r="Y246" s="2">
        <v>231</v>
      </c>
      <c r="Z246" s="2">
        <v>0.31209999999999999</v>
      </c>
      <c r="AA246" s="2">
        <v>0.3286</v>
      </c>
      <c r="AB246" s="2">
        <v>180.8723</v>
      </c>
    </row>
    <row r="247" spans="2:28" x14ac:dyDescent="0.4">
      <c r="B247" s="11">
        <v>230</v>
      </c>
      <c r="C247" s="16">
        <f t="shared" si="13"/>
        <v>162.21443249641732</v>
      </c>
      <c r="D247" s="17">
        <f t="shared" si="15"/>
        <v>180.23825832935256</v>
      </c>
      <c r="E247" s="17">
        <f t="shared" si="14"/>
        <v>198.26208416228781</v>
      </c>
      <c r="F247" s="2">
        <v>178.94499999999999</v>
      </c>
      <c r="G247" s="2" t="str">
        <f t="shared" si="12"/>
        <v>Pass</v>
      </c>
      <c r="Y247" s="2">
        <v>232</v>
      </c>
      <c r="Z247" s="2">
        <v>0.312</v>
      </c>
      <c r="AA247" s="2">
        <v>0.32850000000000001</v>
      </c>
      <c r="AB247" s="2">
        <v>182.33179999999999</v>
      </c>
    </row>
    <row r="248" spans="2:28" x14ac:dyDescent="0.4">
      <c r="B248" s="11">
        <v>231</v>
      </c>
      <c r="C248" s="16">
        <f t="shared" si="13"/>
        <v>164.05238752103375</v>
      </c>
      <c r="D248" s="17">
        <f t="shared" si="15"/>
        <v>182.2804305789264</v>
      </c>
      <c r="E248" s="17">
        <f t="shared" si="14"/>
        <v>200.50847363681905</v>
      </c>
      <c r="F248" s="2">
        <v>180.8723</v>
      </c>
      <c r="G248" s="2" t="str">
        <f t="shared" si="12"/>
        <v>Pass</v>
      </c>
      <c r="Y248" s="2">
        <v>233</v>
      </c>
      <c r="Z248" s="2">
        <v>0.31269999999999998</v>
      </c>
      <c r="AA248" s="2">
        <v>0.3296</v>
      </c>
      <c r="AB248" s="2">
        <v>185.84270000000001</v>
      </c>
    </row>
    <row r="249" spans="2:28" x14ac:dyDescent="0.4">
      <c r="B249" s="11">
        <v>232</v>
      </c>
      <c r="C249" s="16">
        <f t="shared" si="13"/>
        <v>165.9031022578385</v>
      </c>
      <c r="D249" s="17">
        <f t="shared" si="15"/>
        <v>184.33678028648723</v>
      </c>
      <c r="E249" s="17">
        <f t="shared" si="14"/>
        <v>202.77045831513595</v>
      </c>
      <c r="F249" s="2">
        <v>182.33179999999999</v>
      </c>
      <c r="G249" s="2" t="str">
        <f t="shared" si="12"/>
        <v>Pass</v>
      </c>
      <c r="Y249" s="2">
        <v>234</v>
      </c>
      <c r="Z249" s="2">
        <v>0.31269999999999998</v>
      </c>
      <c r="AA249" s="2">
        <v>0.3296</v>
      </c>
      <c r="AB249" s="2">
        <v>187.43450000000001</v>
      </c>
    </row>
    <row r="250" spans="2:28" x14ac:dyDescent="0.4">
      <c r="B250" s="11">
        <v>233</v>
      </c>
      <c r="C250" s="16">
        <f t="shared" si="13"/>
        <v>167.76660978186277</v>
      </c>
      <c r="D250" s="17">
        <f t="shared" si="15"/>
        <v>186.40734420206974</v>
      </c>
      <c r="E250" s="17">
        <f t="shared" si="14"/>
        <v>205.04807862227671</v>
      </c>
      <c r="F250" s="2">
        <v>185.84270000000001</v>
      </c>
      <c r="G250" s="2" t="str">
        <f t="shared" si="12"/>
        <v>Pass</v>
      </c>
      <c r="Y250" s="2">
        <v>235</v>
      </c>
      <c r="Z250" s="2">
        <v>0.31169999999999998</v>
      </c>
      <c r="AA250" s="2">
        <v>0.32840000000000003</v>
      </c>
      <c r="AB250" s="2">
        <v>189.55779999999999</v>
      </c>
    </row>
    <row r="251" spans="2:28" x14ac:dyDescent="0.4">
      <c r="B251" s="11">
        <v>234</v>
      </c>
      <c r="C251" s="16">
        <f t="shared" si="13"/>
        <v>169.64294311122669</v>
      </c>
      <c r="D251" s="17">
        <f t="shared" si="15"/>
        <v>188.4921590124741</v>
      </c>
      <c r="E251" s="17">
        <f t="shared" si="14"/>
        <v>207.34137491372152</v>
      </c>
      <c r="F251" s="2">
        <v>187.43450000000001</v>
      </c>
      <c r="G251" s="2" t="str">
        <f t="shared" si="12"/>
        <v>Pass</v>
      </c>
      <c r="Y251" s="2">
        <v>236</v>
      </c>
      <c r="Z251" s="2">
        <v>0.31159999999999999</v>
      </c>
      <c r="AA251" s="2">
        <v>0.32840000000000003</v>
      </c>
      <c r="AB251" s="2">
        <v>191.15049999999999</v>
      </c>
    </row>
    <row r="252" spans="2:28" x14ac:dyDescent="0.4">
      <c r="B252" s="11">
        <v>235</v>
      </c>
      <c r="C252" s="16">
        <f t="shared" si="13"/>
        <v>171.53213520748034</v>
      </c>
      <c r="D252" s="17">
        <f t="shared" si="15"/>
        <v>190.59126134164481</v>
      </c>
      <c r="E252" s="17">
        <f t="shared" si="14"/>
        <v>209.65038747580928</v>
      </c>
      <c r="F252" s="2">
        <v>189.55779999999999</v>
      </c>
      <c r="G252" s="2" t="str">
        <f t="shared" si="12"/>
        <v>Pass</v>
      </c>
      <c r="Y252" s="2">
        <v>237</v>
      </c>
      <c r="Z252" s="2">
        <v>0.3125</v>
      </c>
      <c r="AA252" s="2">
        <v>0.32940000000000003</v>
      </c>
      <c r="AB252" s="2">
        <v>194.90029999999999</v>
      </c>
    </row>
    <row r="253" spans="2:28" x14ac:dyDescent="0.4">
      <c r="B253" s="11">
        <v>236</v>
      </c>
      <c r="C253" s="16">
        <f t="shared" si="13"/>
        <v>173.43421897594143</v>
      </c>
      <c r="D253" s="17">
        <f t="shared" si="15"/>
        <v>192.70468775104604</v>
      </c>
      <c r="E253" s="17">
        <f t="shared" si="14"/>
        <v>211.97515652615064</v>
      </c>
      <c r="F253" s="2">
        <v>191.15049999999999</v>
      </c>
      <c r="G253" s="2" t="str">
        <f t="shared" si="12"/>
        <v>Pass</v>
      </c>
      <c r="Y253" s="2">
        <v>238</v>
      </c>
      <c r="Z253" s="2">
        <v>0.31259999999999999</v>
      </c>
      <c r="AA253" s="2">
        <v>0.32969999999999999</v>
      </c>
      <c r="AB253" s="2">
        <v>196.4572</v>
      </c>
    </row>
    <row r="254" spans="2:28" x14ac:dyDescent="0.4">
      <c r="B254" s="11">
        <v>237</v>
      </c>
      <c r="C254" s="16">
        <f t="shared" si="13"/>
        <v>175.34922726602989</v>
      </c>
      <c r="D254" s="17">
        <f t="shared" si="15"/>
        <v>194.83247474003321</v>
      </c>
      <c r="E254" s="17">
        <f t="shared" si="14"/>
        <v>214.31572221403653</v>
      </c>
      <c r="F254" s="2">
        <v>194.90029999999999</v>
      </c>
      <c r="G254" s="2" t="str">
        <f t="shared" si="12"/>
        <v>Pass</v>
      </c>
      <c r="Y254" s="2">
        <v>239</v>
      </c>
      <c r="Z254" s="2">
        <v>0.31259999999999999</v>
      </c>
      <c r="AA254" s="2">
        <v>0.32979999999999998</v>
      </c>
      <c r="AB254" s="2">
        <v>198.56620000000001</v>
      </c>
    </row>
    <row r="255" spans="2:28" x14ac:dyDescent="0.4">
      <c r="B255" s="11">
        <v>238</v>
      </c>
      <c r="C255" s="16">
        <f t="shared" si="13"/>
        <v>177.27719287159852</v>
      </c>
      <c r="D255" s="17">
        <f t="shared" si="15"/>
        <v>196.97465874622057</v>
      </c>
      <c r="E255" s="17">
        <f t="shared" si="14"/>
        <v>216.67212462084262</v>
      </c>
      <c r="F255" s="2">
        <v>196.4572</v>
      </c>
      <c r="G255" s="2" t="str">
        <f t="shared" si="12"/>
        <v>Pass</v>
      </c>
      <c r="Y255" s="2">
        <v>240</v>
      </c>
      <c r="Z255" s="2">
        <v>0.3125</v>
      </c>
      <c r="AA255" s="2">
        <v>0.3296</v>
      </c>
      <c r="AB255" s="2">
        <v>200.11940000000001</v>
      </c>
    </row>
    <row r="256" spans="2:28" x14ac:dyDescent="0.4">
      <c r="B256" s="11">
        <v>239</v>
      </c>
      <c r="C256" s="16">
        <f t="shared" si="13"/>
        <v>179.21814853126088</v>
      </c>
      <c r="D256" s="17">
        <f t="shared" si="15"/>
        <v>199.13127614584542</v>
      </c>
      <c r="E256" s="17">
        <f t="shared" si="14"/>
        <v>219.04440376042996</v>
      </c>
      <c r="F256" s="2">
        <v>198.56620000000001</v>
      </c>
      <c r="G256" s="2" t="str">
        <f t="shared" si="12"/>
        <v>Pass</v>
      </c>
      <c r="Y256" s="2">
        <v>241</v>
      </c>
      <c r="Z256" s="2">
        <v>0.31230000000000002</v>
      </c>
      <c r="AA256" s="2">
        <v>0.32940000000000003</v>
      </c>
      <c r="AB256" s="2">
        <v>203.822</v>
      </c>
    </row>
    <row r="257" spans="2:28" x14ac:dyDescent="0.4">
      <c r="B257" s="11">
        <v>240</v>
      </c>
      <c r="C257" s="16">
        <f t="shared" si="13"/>
        <v>181.17212692871544</v>
      </c>
      <c r="D257" s="17">
        <f t="shared" si="15"/>
        <v>201.30236325412827</v>
      </c>
      <c r="E257" s="17">
        <f t="shared" si="14"/>
        <v>221.43259957954109</v>
      </c>
      <c r="F257" s="2">
        <v>200.11940000000001</v>
      </c>
      <c r="G257" s="2" t="str">
        <f t="shared" si="12"/>
        <v>Pass</v>
      </c>
      <c r="Y257" s="2">
        <v>242</v>
      </c>
      <c r="Z257" s="2">
        <v>0.31230000000000002</v>
      </c>
      <c r="AA257" s="2">
        <v>0.32919999999999999</v>
      </c>
      <c r="AB257" s="2">
        <v>205.8306</v>
      </c>
    </row>
    <row r="258" spans="2:28" x14ac:dyDescent="0.4">
      <c r="B258" s="11">
        <v>241</v>
      </c>
      <c r="C258" s="16">
        <f t="shared" si="13"/>
        <v>183.13916069306651</v>
      </c>
      <c r="D258" s="17">
        <f t="shared" si="15"/>
        <v>203.48795632562945</v>
      </c>
      <c r="E258" s="17">
        <f t="shared" si="14"/>
        <v>223.83675195819239</v>
      </c>
      <c r="F258" s="2">
        <v>203.822</v>
      </c>
      <c r="G258" s="2" t="str">
        <f t="shared" si="12"/>
        <v>Pass</v>
      </c>
      <c r="Y258" s="2">
        <v>243</v>
      </c>
      <c r="Z258" s="2">
        <v>0.31240000000000001</v>
      </c>
      <c r="AA258" s="2">
        <v>0.32919999999999999</v>
      </c>
      <c r="AB258" s="2">
        <v>207.5643</v>
      </c>
    </row>
    <row r="259" spans="2:28" x14ac:dyDescent="0.4">
      <c r="B259" s="11">
        <v>242</v>
      </c>
      <c r="C259" s="16">
        <f t="shared" si="13"/>
        <v>185.11928239914241</v>
      </c>
      <c r="D259" s="17">
        <f t="shared" si="15"/>
        <v>205.68809155460266</v>
      </c>
      <c r="E259" s="17">
        <f t="shared" si="14"/>
        <v>226.25690071006292</v>
      </c>
      <c r="F259" s="2">
        <v>205.8306</v>
      </c>
      <c r="G259" s="2" t="str">
        <f t="shared" si="12"/>
        <v>Pass</v>
      </c>
      <c r="Y259" s="2">
        <v>244</v>
      </c>
      <c r="Z259" s="2">
        <v>0.3125</v>
      </c>
      <c r="AA259" s="2">
        <v>0.33040000000000003</v>
      </c>
      <c r="AB259" s="2">
        <v>210.6885</v>
      </c>
    </row>
    <row r="260" spans="2:28" x14ac:dyDescent="0.4">
      <c r="B260" s="11">
        <v>243</v>
      </c>
      <c r="C260" s="16">
        <f t="shared" si="13"/>
        <v>187.11252456780988</v>
      </c>
      <c r="D260" s="17">
        <f t="shared" si="15"/>
        <v>207.9028050753443</v>
      </c>
      <c r="E260" s="17">
        <f t="shared" si="14"/>
        <v>228.69308558287872</v>
      </c>
      <c r="F260" s="2">
        <v>207.5643</v>
      </c>
      <c r="G260" s="2" t="str">
        <f t="shared" si="12"/>
        <v>Pass</v>
      </c>
      <c r="Y260" s="2">
        <v>245</v>
      </c>
      <c r="Z260" s="2">
        <v>0.31259999999999999</v>
      </c>
      <c r="AA260" s="2">
        <v>0.3301</v>
      </c>
      <c r="AB260" s="2">
        <v>212.65379999999999</v>
      </c>
    </row>
    <row r="261" spans="2:28" x14ac:dyDescent="0.4">
      <c r="B261" s="11">
        <v>244</v>
      </c>
      <c r="C261" s="16">
        <f t="shared" si="13"/>
        <v>189.11891966628576</v>
      </c>
      <c r="D261" s="17">
        <f t="shared" si="15"/>
        <v>210.13213296253974</v>
      </c>
      <c r="E261" s="17">
        <f t="shared" si="14"/>
        <v>231.14534625879372</v>
      </c>
      <c r="F261" s="2">
        <v>210.6885</v>
      </c>
      <c r="G261" s="2" t="str">
        <f t="shared" si="12"/>
        <v>Pass</v>
      </c>
      <c r="Y261" s="2">
        <v>246</v>
      </c>
      <c r="Z261" s="2">
        <v>0.31119999999999998</v>
      </c>
      <c r="AA261" s="2">
        <v>0.32819999999999999</v>
      </c>
      <c r="AB261" s="2">
        <v>214.60820000000001</v>
      </c>
    </row>
    <row r="262" spans="2:28" x14ac:dyDescent="0.4">
      <c r="B262" s="11">
        <v>245</v>
      </c>
      <c r="C262" s="16">
        <f t="shared" si="13"/>
        <v>191.13850010844556</v>
      </c>
      <c r="D262" s="17">
        <f t="shared" si="15"/>
        <v>212.37611123160619</v>
      </c>
      <c r="E262" s="17">
        <f t="shared" si="14"/>
        <v>233.61372235476682</v>
      </c>
      <c r="F262" s="2">
        <v>212.65379999999999</v>
      </c>
      <c r="G262" s="2" t="str">
        <f t="shared" si="12"/>
        <v>Pass</v>
      </c>
      <c r="Y262" s="2">
        <v>247</v>
      </c>
      <c r="Z262" s="2">
        <v>0.31090000000000001</v>
      </c>
      <c r="AA262" s="2">
        <v>0.32800000000000001</v>
      </c>
      <c r="AB262" s="2">
        <v>216.03129999999999</v>
      </c>
    </row>
    <row r="263" spans="2:28" x14ac:dyDescent="0.4">
      <c r="B263" s="11">
        <v>246</v>
      </c>
      <c r="C263" s="16">
        <f t="shared" si="13"/>
        <v>193.17129825512873</v>
      </c>
      <c r="D263" s="17">
        <f t="shared" si="15"/>
        <v>214.63477583903193</v>
      </c>
      <c r="E263" s="17">
        <f t="shared" si="14"/>
        <v>236.09825342293513</v>
      </c>
      <c r="F263" s="2">
        <v>214.60820000000001</v>
      </c>
      <c r="G263" s="2" t="str">
        <f t="shared" si="12"/>
        <v>Pass</v>
      </c>
      <c r="Y263" s="2">
        <v>248</v>
      </c>
      <c r="Z263" s="2">
        <v>0.31090000000000001</v>
      </c>
      <c r="AA263" s="2">
        <v>0.32890000000000003</v>
      </c>
      <c r="AB263" s="2">
        <v>219.04220000000001</v>
      </c>
    </row>
    <row r="264" spans="2:28" x14ac:dyDescent="0.4">
      <c r="B264" s="11">
        <v>247</v>
      </c>
      <c r="C264" s="16">
        <f t="shared" si="13"/>
        <v>195.21734641444141</v>
      </c>
      <c r="D264" s="17">
        <f t="shared" si="15"/>
        <v>216.90816268271269</v>
      </c>
      <c r="E264" s="17">
        <f t="shared" si="14"/>
        <v>238.59897895098396</v>
      </c>
      <c r="F264" s="2">
        <v>216.03129999999999</v>
      </c>
      <c r="G264" s="2" t="str">
        <f t="shared" si="12"/>
        <v>Pass</v>
      </c>
      <c r="Y264" s="2">
        <v>249</v>
      </c>
      <c r="Z264" s="2">
        <v>0.31069999999999998</v>
      </c>
      <c r="AA264" s="2">
        <v>0.3286</v>
      </c>
      <c r="AB264" s="2">
        <v>220.3683</v>
      </c>
    </row>
    <row r="265" spans="2:28" x14ac:dyDescent="0.4">
      <c r="B265" s="11">
        <v>248</v>
      </c>
      <c r="C265" s="16">
        <f t="shared" si="13"/>
        <v>197.27667684205576</v>
      </c>
      <c r="D265" s="17">
        <f t="shared" si="15"/>
        <v>219.19630760228418</v>
      </c>
      <c r="E265" s="17">
        <f t="shared" si="14"/>
        <v>241.11593836251259</v>
      </c>
      <c r="F265" s="2">
        <v>219.04220000000001</v>
      </c>
      <c r="G265" s="2" t="str">
        <f t="shared" si="12"/>
        <v>Pass</v>
      </c>
      <c r="Y265" s="2">
        <v>250</v>
      </c>
      <c r="Z265" s="2">
        <v>0.31030000000000002</v>
      </c>
      <c r="AA265" s="2">
        <v>0.3271</v>
      </c>
      <c r="AB265" s="2">
        <v>222.37020000000001</v>
      </c>
    </row>
    <row r="266" spans="2:28" x14ac:dyDescent="0.4">
      <c r="B266" s="11">
        <v>249</v>
      </c>
      <c r="C266" s="16">
        <f t="shared" si="13"/>
        <v>199.34932174150657</v>
      </c>
      <c r="D266" s="17">
        <f t="shared" si="15"/>
        <v>221.49924637945176</v>
      </c>
      <c r="E266" s="17">
        <f t="shared" si="14"/>
        <v>243.64917101739695</v>
      </c>
      <c r="F266" s="2">
        <v>220.3683</v>
      </c>
      <c r="G266" s="2" t="str">
        <f t="shared" si="12"/>
        <v>Pass</v>
      </c>
      <c r="Y266" s="2">
        <v>251</v>
      </c>
      <c r="Z266" s="2">
        <v>0.31119999999999998</v>
      </c>
      <c r="AA266" s="2">
        <v>0.32719999999999999</v>
      </c>
      <c r="AB266" s="2">
        <v>224.5814</v>
      </c>
    </row>
    <row r="267" spans="2:28" x14ac:dyDescent="0.4">
      <c r="B267" s="11">
        <v>250</v>
      </c>
      <c r="C267" s="16">
        <f t="shared" si="13"/>
        <v>201.43531326448536</v>
      </c>
      <c r="D267" s="17">
        <f t="shared" si="15"/>
        <v>223.81701473831706</v>
      </c>
      <c r="E267" s="17">
        <f t="shared" si="14"/>
        <v>246.19871621214875</v>
      </c>
      <c r="F267" s="2">
        <v>222.37020000000001</v>
      </c>
      <c r="G267" s="2" t="str">
        <f t="shared" si="12"/>
        <v>Pass</v>
      </c>
      <c r="Y267" s="2">
        <v>252</v>
      </c>
      <c r="Z267" s="2">
        <v>0.31159999999999999</v>
      </c>
      <c r="AA267" s="2">
        <v>0.3271</v>
      </c>
      <c r="AB267" s="2">
        <v>227.57769999999999</v>
      </c>
    </row>
    <row r="268" spans="2:28" x14ac:dyDescent="0.4">
      <c r="B268" s="11">
        <v>251</v>
      </c>
      <c r="C268" s="16">
        <f t="shared" si="13"/>
        <v>203.53468351113088</v>
      </c>
      <c r="D268" s="17">
        <f t="shared" si="15"/>
        <v>226.14964834570097</v>
      </c>
      <c r="E268" s="17">
        <f t="shared" si="14"/>
        <v>248.76461318027106</v>
      </c>
      <c r="F268" s="2">
        <v>224.5814</v>
      </c>
      <c r="G268" s="2" t="str">
        <f t="shared" si="12"/>
        <v>Pass</v>
      </c>
      <c r="Y268" s="2">
        <v>253</v>
      </c>
      <c r="Z268" s="2">
        <v>0.31130000000000002</v>
      </c>
      <c r="AA268" s="2">
        <v>0.32629999999999998</v>
      </c>
      <c r="AB268" s="2">
        <v>230.12289999999999</v>
      </c>
    </row>
    <row r="269" spans="2:28" x14ac:dyDescent="0.4">
      <c r="B269" s="11">
        <v>252</v>
      </c>
      <c r="C269" s="16">
        <f t="shared" si="13"/>
        <v>205.64746453031768</v>
      </c>
      <c r="D269" s="17">
        <f t="shared" si="15"/>
        <v>228.49718281146409</v>
      </c>
      <c r="E269" s="17">
        <f t="shared" si="14"/>
        <v>251.34690109261049</v>
      </c>
      <c r="F269" s="2">
        <v>227.57769999999999</v>
      </c>
      <c r="G269" s="2" t="str">
        <f t="shared" si="12"/>
        <v>Pass</v>
      </c>
      <c r="Y269" s="2">
        <v>254</v>
      </c>
      <c r="Z269" s="2">
        <v>0.31140000000000001</v>
      </c>
      <c r="AA269" s="2">
        <v>0.3266</v>
      </c>
      <c r="AB269" s="2">
        <v>232.00540000000001</v>
      </c>
    </row>
    <row r="270" spans="2:28" x14ac:dyDescent="0.4">
      <c r="B270" s="11">
        <v>253</v>
      </c>
      <c r="C270" s="16">
        <f t="shared" si="13"/>
        <v>207.77368831994119</v>
      </c>
      <c r="D270" s="17">
        <f t="shared" si="15"/>
        <v>230.85965368882353</v>
      </c>
      <c r="E270" s="17">
        <f t="shared" si="14"/>
        <v>253.94561905770587</v>
      </c>
      <c r="F270" s="2">
        <v>230.12289999999999</v>
      </c>
      <c r="G270" s="2" t="str">
        <f t="shared" si="12"/>
        <v>Pass</v>
      </c>
      <c r="Y270" s="2">
        <v>255</v>
      </c>
      <c r="Z270" s="2">
        <v>0.31109999999999999</v>
      </c>
      <c r="AA270" s="2">
        <v>0.32779999999999998</v>
      </c>
      <c r="AB270" s="2">
        <v>234.9845</v>
      </c>
    </row>
    <row r="271" spans="2:28" x14ac:dyDescent="0.4">
      <c r="B271" s="11">
        <v>254</v>
      </c>
      <c r="C271" s="16">
        <f t="shared" si="13"/>
        <v>209.91338682720055</v>
      </c>
      <c r="D271" s="17">
        <f t="shared" si="15"/>
        <v>233.23709647466728</v>
      </c>
      <c r="E271" s="17">
        <f t="shared" si="14"/>
        <v>256.56080612213401</v>
      </c>
      <c r="F271" s="2">
        <v>232.00540000000001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32</v>
      </c>
    </row>
    <row r="272" spans="2:28" x14ac:dyDescent="0.4">
      <c r="B272" s="11">
        <v>255</v>
      </c>
      <c r="C272" s="16">
        <f t="shared" si="13"/>
        <v>211.48605000000001</v>
      </c>
      <c r="D272" s="18">
        <f>C12</f>
        <v>234.9845</v>
      </c>
      <c r="E272" s="17">
        <f t="shared" si="14"/>
        <v>258.48295000000002</v>
      </c>
      <c r="F272" s="2">
        <v>234.9845</v>
      </c>
      <c r="G272" s="2" t="str">
        <f t="shared" si="12"/>
        <v>Pass</v>
      </c>
    </row>
  </sheetData>
  <protectedRanges>
    <protectedRange password="EBF1" sqref="C2:D2 C4:D4" name="範圍1_2"/>
    <protectedRange password="EBF1" sqref="C11:C13" name="範圍1_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13" priority="1" operator="equal">
      <formula>"Fail"</formula>
    </cfRule>
    <cfRule type="cellIs" dxfId="12" priority="2" operator="equal">
      <formula>"Pass"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8980-0EFA-408C-9BC3-6ABAAC1A61CF}">
  <dimension ref="B2:AB272"/>
  <sheetViews>
    <sheetView zoomScale="70" zoomScaleNormal="70" workbookViewId="0">
      <selection activeCell="AA11" sqref="AA11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45736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0.2666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207.55359999999999</v>
      </c>
      <c r="D12" s="4" t="s">
        <v>9</v>
      </c>
      <c r="E12" s="4"/>
      <c r="Y12" s="9" t="s">
        <v>34</v>
      </c>
    </row>
    <row r="13" spans="2:28" x14ac:dyDescent="0.4">
      <c r="B13" s="1" t="s">
        <v>11</v>
      </c>
      <c r="C13" s="8">
        <v>1.8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0.27139999999999997</v>
      </c>
      <c r="AA15" s="2">
        <v>0.28149999999999997</v>
      </c>
      <c r="AB15" s="2">
        <v>0.2666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0.2797</v>
      </c>
      <c r="AA16" s="2">
        <v>0.28720000000000001</v>
      </c>
      <c r="AB16" s="2">
        <v>0.28120000000000001</v>
      </c>
    </row>
    <row r="17" spans="2:28" ht="17.5" thickTop="1" x14ac:dyDescent="0.4">
      <c r="B17" s="11">
        <v>0</v>
      </c>
      <c r="C17" s="16">
        <f>D17-D17*(C$14/100)</f>
        <v>8.0565427587045478E-4</v>
      </c>
      <c r="D17" s="17">
        <f>D$272*((B17+F$17)/B$272)^C$13</f>
        <v>8.951714176338387E-4</v>
      </c>
      <c r="E17" s="17">
        <f>D17+D17*(C$14/100)</f>
        <v>9.8468855939722261E-4</v>
      </c>
      <c r="F17" s="2">
        <v>0.2666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0.28110000000000002</v>
      </c>
      <c r="AA17" s="2">
        <v>0.29349999999999998</v>
      </c>
      <c r="AB17" s="2">
        <v>0.29399999999999998</v>
      </c>
    </row>
    <row r="18" spans="2:28" x14ac:dyDescent="0.4">
      <c r="B18" s="11">
        <v>1</v>
      </c>
      <c r="C18" s="16">
        <f t="shared" ref="C18:C81" si="1">D18-D18*(C$14/100)</f>
        <v>1.3315317480256841E-2</v>
      </c>
      <c r="D18" s="17">
        <f>D$272*((B18+F$17)/B$272)^C$13</f>
        <v>1.479479720028538E-2</v>
      </c>
      <c r="E18" s="17">
        <f t="shared" ref="E18:E81" si="2">D18+D18*(C$14/100)</f>
        <v>1.627427692031392E-2</v>
      </c>
      <c r="F18" s="2">
        <v>0.28120000000000001</v>
      </c>
      <c r="G18" s="2" t="str">
        <f t="shared" si="0"/>
        <v>Fail</v>
      </c>
      <c r="Y18" s="2">
        <v>3</v>
      </c>
      <c r="Z18" s="2">
        <v>0.2833</v>
      </c>
      <c r="AA18" s="2">
        <v>0.2979</v>
      </c>
      <c r="AB18" s="2">
        <v>0.31259999999999999</v>
      </c>
    </row>
    <row r="19" spans="2:28" x14ac:dyDescent="0.4">
      <c r="B19" s="11">
        <v>2</v>
      </c>
      <c r="C19" s="16">
        <f t="shared" si="1"/>
        <v>3.7955546347450436E-2</v>
      </c>
      <c r="D19" s="17">
        <f t="shared" ref="D19:D82" si="3">D$272*((B19+F$17)/B$272)^C$13</f>
        <v>4.217282927494493E-2</v>
      </c>
      <c r="E19" s="17">
        <f t="shared" si="2"/>
        <v>4.6390112202439424E-2</v>
      </c>
      <c r="F19" s="2">
        <v>0.29399999999999998</v>
      </c>
      <c r="G19" s="2" t="str">
        <f t="shared" si="0"/>
        <v>Fail</v>
      </c>
      <c r="Y19" s="2">
        <v>4</v>
      </c>
      <c r="Z19" s="2">
        <v>0.28399999999999997</v>
      </c>
      <c r="AA19" s="2">
        <v>0.29749999999999999</v>
      </c>
      <c r="AB19" s="2">
        <v>0.32690000000000002</v>
      </c>
    </row>
    <row r="20" spans="2:28" x14ac:dyDescent="0.4">
      <c r="B20" s="11">
        <v>3</v>
      </c>
      <c r="C20" s="16">
        <f t="shared" si="1"/>
        <v>7.3277927728523623E-2</v>
      </c>
      <c r="D20" s="17">
        <f t="shared" si="3"/>
        <v>8.1419919698359586E-2</v>
      </c>
      <c r="E20" s="17">
        <f t="shared" si="2"/>
        <v>8.9561911668195548E-2</v>
      </c>
      <c r="F20" s="2">
        <v>0.31259999999999999</v>
      </c>
      <c r="G20" s="2" t="str">
        <f t="shared" si="0"/>
        <v>Fail</v>
      </c>
      <c r="Y20" s="2">
        <v>5</v>
      </c>
      <c r="Z20" s="2">
        <v>0.2838</v>
      </c>
      <c r="AA20" s="2">
        <v>0.30249999999999999</v>
      </c>
      <c r="AB20" s="2">
        <v>0.3604</v>
      </c>
    </row>
    <row r="21" spans="2:28" x14ac:dyDescent="0.4">
      <c r="B21" s="11">
        <v>4</v>
      </c>
      <c r="C21" s="16">
        <f t="shared" si="1"/>
        <v>0.11850807058392057</v>
      </c>
      <c r="D21" s="17">
        <f t="shared" si="3"/>
        <v>0.13167563398213397</v>
      </c>
      <c r="E21" s="17">
        <f t="shared" si="2"/>
        <v>0.14484319738034737</v>
      </c>
      <c r="F21" s="2">
        <v>0.32690000000000002</v>
      </c>
      <c r="G21" s="2" t="str">
        <f t="shared" si="0"/>
        <v>Fail</v>
      </c>
      <c r="Y21" s="2">
        <v>6</v>
      </c>
      <c r="Z21" s="2">
        <v>0.29099999999999998</v>
      </c>
      <c r="AA21" s="2">
        <v>0.3034</v>
      </c>
      <c r="AB21" s="2">
        <v>0.3997</v>
      </c>
    </row>
    <row r="22" spans="2:28" x14ac:dyDescent="0.4">
      <c r="B22" s="11">
        <v>5</v>
      </c>
      <c r="C22" s="16">
        <f t="shared" si="1"/>
        <v>0.17312311505408792</v>
      </c>
      <c r="D22" s="17">
        <f t="shared" si="3"/>
        <v>0.19235901672676436</v>
      </c>
      <c r="E22" s="17">
        <f t="shared" si="2"/>
        <v>0.21159491839944081</v>
      </c>
      <c r="F22" s="2">
        <v>0.3604</v>
      </c>
      <c r="G22" s="2" t="str">
        <f t="shared" si="0"/>
        <v>Fail</v>
      </c>
      <c r="Y22" s="2">
        <v>7</v>
      </c>
      <c r="Z22" s="2">
        <v>0.29249999999999998</v>
      </c>
      <c r="AA22" s="2">
        <v>0.31569999999999998</v>
      </c>
      <c r="AB22" s="2">
        <v>0.46800000000000003</v>
      </c>
    </row>
    <row r="23" spans="2:28" x14ac:dyDescent="0.4">
      <c r="B23" s="11">
        <v>6</v>
      </c>
      <c r="C23" s="16">
        <f t="shared" si="1"/>
        <v>0.23673256793520103</v>
      </c>
      <c r="D23" s="17">
        <f t="shared" si="3"/>
        <v>0.26303618659466782</v>
      </c>
      <c r="E23" s="17">
        <f t="shared" si="2"/>
        <v>0.28933980525413461</v>
      </c>
      <c r="F23" s="2">
        <v>0.3997</v>
      </c>
      <c r="G23" s="2" t="str">
        <f t="shared" si="0"/>
        <v>Fail</v>
      </c>
      <c r="Y23" s="2">
        <v>8</v>
      </c>
      <c r="Z23" s="2">
        <v>0.29430000000000001</v>
      </c>
      <c r="AA23" s="2">
        <v>0.3211</v>
      </c>
      <c r="AB23" s="2">
        <v>0.51570000000000005</v>
      </c>
    </row>
    <row r="24" spans="2:28" x14ac:dyDescent="0.4">
      <c r="B24" s="11">
        <v>7</v>
      </c>
      <c r="C24" s="16">
        <f t="shared" si="1"/>
        <v>0.30902720459937061</v>
      </c>
      <c r="D24" s="17">
        <f t="shared" si="3"/>
        <v>0.34336356066596735</v>
      </c>
      <c r="E24" s="17">
        <f t="shared" si="2"/>
        <v>0.37769991673256409</v>
      </c>
      <c r="F24" s="2">
        <v>0.46800000000000003</v>
      </c>
      <c r="G24" s="2" t="str">
        <f t="shared" si="0"/>
        <v>Fail</v>
      </c>
      <c r="Y24" s="2">
        <v>9</v>
      </c>
      <c r="Z24" s="2">
        <v>0.30059999999999998</v>
      </c>
      <c r="AA24" s="2">
        <v>0.3175</v>
      </c>
      <c r="AB24" s="2">
        <v>0.60629999999999995</v>
      </c>
    </row>
    <row r="25" spans="2:28" x14ac:dyDescent="0.4">
      <c r="B25" s="11">
        <v>8</v>
      </c>
      <c r="C25" s="16">
        <f t="shared" si="1"/>
        <v>0.38975250749798418</v>
      </c>
      <c r="D25" s="17">
        <f t="shared" si="3"/>
        <v>0.43305834166442686</v>
      </c>
      <c r="E25" s="17">
        <f t="shared" si="2"/>
        <v>0.47636417583086954</v>
      </c>
      <c r="F25" s="2">
        <v>0.51570000000000005</v>
      </c>
      <c r="G25" s="2" t="str">
        <f t="shared" si="0"/>
        <v>Fail</v>
      </c>
      <c r="Y25" s="2">
        <v>10</v>
      </c>
      <c r="Z25" s="2">
        <v>0.30180000000000001</v>
      </c>
      <c r="AA25" s="2">
        <v>0.32850000000000001</v>
      </c>
      <c r="AB25" s="2">
        <v>0.70799999999999996</v>
      </c>
    </row>
    <row r="26" spans="2:28" x14ac:dyDescent="0.4">
      <c r="B26" s="11">
        <v>9</v>
      </c>
      <c r="C26" s="16">
        <f t="shared" si="1"/>
        <v>0.47869314179643002</v>
      </c>
      <c r="D26" s="17">
        <f t="shared" si="3"/>
        <v>0.53188126866270002</v>
      </c>
      <c r="E26" s="17">
        <f t="shared" si="2"/>
        <v>0.58506939552897008</v>
      </c>
      <c r="F26" s="2">
        <v>0.60629999999999995</v>
      </c>
      <c r="G26" s="2" t="str">
        <f t="shared" si="0"/>
        <v>Fail</v>
      </c>
      <c r="Y26" s="2">
        <v>11</v>
      </c>
      <c r="Z26" s="2">
        <v>0.31290000000000001</v>
      </c>
      <c r="AA26" s="2">
        <v>0.33539999999999998</v>
      </c>
      <c r="AB26" s="2">
        <v>0.83079999999999998</v>
      </c>
    </row>
    <row r="27" spans="2:28" x14ac:dyDescent="0.4">
      <c r="B27" s="11">
        <v>10</v>
      </c>
      <c r="C27" s="16">
        <f t="shared" si="1"/>
        <v>0.57566312410441889</v>
      </c>
      <c r="D27" s="17">
        <f t="shared" si="3"/>
        <v>0.63962569344935427</v>
      </c>
      <c r="E27" s="17">
        <f t="shared" si="2"/>
        <v>0.70358826279428965</v>
      </c>
      <c r="F27" s="2">
        <v>0.70799999999999996</v>
      </c>
      <c r="G27" s="2" t="str">
        <f t="shared" si="0"/>
        <v>Fail</v>
      </c>
      <c r="Y27" s="2">
        <v>12</v>
      </c>
      <c r="Z27" s="2">
        <v>0.31340000000000001</v>
      </c>
      <c r="AA27" s="2">
        <v>0.33750000000000002</v>
      </c>
      <c r="AB27" s="2">
        <v>0.90959999999999996</v>
      </c>
    </row>
    <row r="28" spans="2:28" x14ac:dyDescent="0.4">
      <c r="B28" s="11">
        <v>11</v>
      </c>
      <c r="C28" s="16">
        <f t="shared" si="1"/>
        <v>0.68049921978864192</v>
      </c>
      <c r="D28" s="17">
        <f t="shared" si="3"/>
        <v>0.75611024420960216</v>
      </c>
      <c r="E28" s="17">
        <f t="shared" si="2"/>
        <v>0.83172126863056239</v>
      </c>
      <c r="F28" s="2">
        <v>0.83079999999999998</v>
      </c>
      <c r="G28" s="2" t="str">
        <f t="shared" si="0"/>
        <v>Pass</v>
      </c>
      <c r="Y28" s="2">
        <v>13</v>
      </c>
      <c r="Z28" s="2">
        <v>0.31369999999999998</v>
      </c>
      <c r="AA28" s="2">
        <v>0.3372</v>
      </c>
      <c r="AB28" s="2">
        <v>1.1049</v>
      </c>
    </row>
    <row r="29" spans="2:28" x14ac:dyDescent="0.4">
      <c r="B29" s="11">
        <v>12</v>
      </c>
      <c r="C29" s="16">
        <f t="shared" si="1"/>
        <v>0.79305630424369766</v>
      </c>
      <c r="D29" s="17">
        <f t="shared" si="3"/>
        <v>0.88117367138188629</v>
      </c>
      <c r="E29" s="17">
        <f t="shared" si="2"/>
        <v>0.96929103852007492</v>
      </c>
      <c r="F29" s="2">
        <v>0.90959999999999996</v>
      </c>
      <c r="G29" s="2" t="str">
        <f t="shared" si="0"/>
        <v>Pass</v>
      </c>
      <c r="Y29" s="2">
        <v>14</v>
      </c>
      <c r="Z29" s="2">
        <v>0.31280000000000002</v>
      </c>
      <c r="AA29" s="2">
        <v>0.33639999999999998</v>
      </c>
      <c r="AB29" s="2">
        <v>1.1813</v>
      </c>
    </row>
    <row r="30" spans="2:28" x14ac:dyDescent="0.4">
      <c r="B30" s="11">
        <v>13</v>
      </c>
      <c r="C30" s="16">
        <f t="shared" si="1"/>
        <v>0.91320398541567405</v>
      </c>
      <c r="D30" s="17">
        <f t="shared" si="3"/>
        <v>1.0146710949063045</v>
      </c>
      <c r="E30" s="17">
        <f t="shared" si="2"/>
        <v>1.116138204396935</v>
      </c>
      <c r="F30" s="2">
        <v>1.1049</v>
      </c>
      <c r="G30" s="2" t="str">
        <f t="shared" si="0"/>
        <v>Pass</v>
      </c>
      <c r="Y30" s="2">
        <v>15</v>
      </c>
      <c r="Z30" s="2">
        <v>0.31719999999999998</v>
      </c>
      <c r="AA30" s="2">
        <v>0.3392</v>
      </c>
      <c r="AB30" s="2">
        <v>1.3738999999999999</v>
      </c>
    </row>
    <row r="31" spans="2:28" x14ac:dyDescent="0.4">
      <c r="B31" s="11">
        <v>14</v>
      </c>
      <c r="C31" s="16">
        <f t="shared" si="1"/>
        <v>1.0408240721383217</v>
      </c>
      <c r="D31" s="17">
        <f t="shared" si="3"/>
        <v>1.156471191264802</v>
      </c>
      <c r="E31" s="17">
        <f t="shared" si="2"/>
        <v>1.2721183103912823</v>
      </c>
      <c r="F31" s="2">
        <v>1.1813</v>
      </c>
      <c r="G31" s="2" t="str">
        <f t="shared" si="0"/>
        <v>Pass</v>
      </c>
      <c r="Y31" s="2">
        <v>16</v>
      </c>
      <c r="Z31" s="2">
        <v>0.32340000000000002</v>
      </c>
      <c r="AA31" s="2">
        <v>0.34150000000000003</v>
      </c>
      <c r="AB31" s="2">
        <v>1.4823999999999999</v>
      </c>
    </row>
    <row r="32" spans="2:28" x14ac:dyDescent="0.4">
      <c r="B32" s="11">
        <v>15</v>
      </c>
      <c r="C32" s="16">
        <f t="shared" si="1"/>
        <v>1.1758086301357202</v>
      </c>
      <c r="D32" s="17">
        <f t="shared" si="3"/>
        <v>1.3064540334841337</v>
      </c>
      <c r="E32" s="17">
        <f t="shared" si="2"/>
        <v>1.4370994368325472</v>
      </c>
      <c r="F32" s="2">
        <v>1.3738999999999999</v>
      </c>
      <c r="G32" s="2" t="str">
        <f t="shared" si="0"/>
        <v>Pass</v>
      </c>
      <c r="Y32" s="2">
        <v>17</v>
      </c>
      <c r="Z32" s="2">
        <v>0.31690000000000002</v>
      </c>
      <c r="AA32" s="2">
        <v>0.33929999999999999</v>
      </c>
      <c r="AB32" s="2">
        <v>1.6594</v>
      </c>
    </row>
    <row r="33" spans="2:28" x14ac:dyDescent="0.4">
      <c r="B33" s="11">
        <v>16</v>
      </c>
      <c r="C33" s="16">
        <f t="shared" si="1"/>
        <v>1.3180584585804744</v>
      </c>
      <c r="D33" s="17">
        <f t="shared" si="3"/>
        <v>1.4645093984227493</v>
      </c>
      <c r="E33" s="17">
        <f t="shared" si="2"/>
        <v>1.6109603382650242</v>
      </c>
      <c r="F33" s="2">
        <v>1.4823999999999999</v>
      </c>
      <c r="G33" s="2" t="str">
        <f t="shared" si="0"/>
        <v>Pass</v>
      </c>
      <c r="Y33" s="2">
        <v>18</v>
      </c>
      <c r="Z33" s="2">
        <v>0.32269999999999999</v>
      </c>
      <c r="AA33" s="2">
        <v>0.34089999999999998</v>
      </c>
      <c r="AB33" s="2">
        <v>1.7672000000000001</v>
      </c>
    </row>
    <row r="34" spans="2:28" x14ac:dyDescent="0.4">
      <c r="B34" s="11">
        <v>17</v>
      </c>
      <c r="C34" s="16">
        <f t="shared" si="1"/>
        <v>1.4674818752518164</v>
      </c>
      <c r="D34" s="17">
        <f t="shared" si="3"/>
        <v>1.6305354169464628</v>
      </c>
      <c r="E34" s="17">
        <f t="shared" si="2"/>
        <v>1.7935889586411091</v>
      </c>
      <c r="F34" s="2">
        <v>1.6594</v>
      </c>
      <c r="G34" s="2" t="str">
        <f t="shared" si="0"/>
        <v>Pass</v>
      </c>
      <c r="Y34" s="2">
        <v>19</v>
      </c>
      <c r="Z34" s="2">
        <v>0.32229999999999998</v>
      </c>
      <c r="AA34" s="2">
        <v>0.34589999999999999</v>
      </c>
      <c r="AB34" s="2">
        <v>1.9650000000000001</v>
      </c>
    </row>
    <row r="35" spans="2:28" x14ac:dyDescent="0.4">
      <c r="B35" s="11">
        <v>18</v>
      </c>
      <c r="C35" s="16">
        <f t="shared" si="1"/>
        <v>1.623993733066988</v>
      </c>
      <c r="D35" s="17">
        <f t="shared" si="3"/>
        <v>1.8044374811855424</v>
      </c>
      <c r="E35" s="17">
        <f t="shared" si="2"/>
        <v>1.9848812293040967</v>
      </c>
      <c r="F35" s="2">
        <v>1.7672000000000001</v>
      </c>
      <c r="G35" s="2" t="str">
        <f t="shared" si="0"/>
        <v>Pass</v>
      </c>
      <c r="Y35" s="2">
        <v>20</v>
      </c>
      <c r="Z35" s="2">
        <v>0.32019999999999998</v>
      </c>
      <c r="AA35" s="2">
        <v>0.35370000000000001</v>
      </c>
      <c r="AB35" s="2">
        <v>2.1566999999999998</v>
      </c>
    </row>
    <row r="36" spans="2:28" x14ac:dyDescent="0.4">
      <c r="B36" s="11">
        <v>19</v>
      </c>
      <c r="C36" s="16">
        <f t="shared" si="1"/>
        <v>1.7875146133576172</v>
      </c>
      <c r="D36" s="17">
        <f t="shared" si="3"/>
        <v>1.9861273481751303</v>
      </c>
      <c r="E36" s="17">
        <f t="shared" si="2"/>
        <v>2.1847400829926431</v>
      </c>
      <c r="F36" s="2">
        <v>1.9650000000000001</v>
      </c>
      <c r="G36" s="2" t="str">
        <f t="shared" si="0"/>
        <v>Pass</v>
      </c>
      <c r="Y36" s="2">
        <v>21</v>
      </c>
      <c r="Z36" s="2">
        <v>0.32390000000000002</v>
      </c>
      <c r="AA36" s="2">
        <v>0.34360000000000002</v>
      </c>
      <c r="AB36" s="2">
        <v>2.2599</v>
      </c>
    </row>
    <row r="37" spans="2:28" x14ac:dyDescent="0.4">
      <c r="B37" s="11">
        <v>20</v>
      </c>
      <c r="C37" s="16">
        <f t="shared" si="1"/>
        <v>1.95797015639179</v>
      </c>
      <c r="D37" s="17">
        <f t="shared" si="3"/>
        <v>2.1755223959908778</v>
      </c>
      <c r="E37" s="17">
        <f t="shared" si="2"/>
        <v>2.3930746355899655</v>
      </c>
      <c r="F37" s="2">
        <v>2.1566999999999998</v>
      </c>
      <c r="G37" s="2" t="str">
        <f t="shared" si="0"/>
        <v>Pass</v>
      </c>
      <c r="Y37" s="2">
        <v>22</v>
      </c>
      <c r="Z37" s="2">
        <v>0.3241</v>
      </c>
      <c r="AA37" s="2">
        <v>0.34789999999999999</v>
      </c>
      <c r="AB37" s="2">
        <v>2.5156000000000001</v>
      </c>
    </row>
    <row r="38" spans="2:28" x14ac:dyDescent="0.4">
      <c r="B38" s="11">
        <v>21</v>
      </c>
      <c r="C38" s="16">
        <f t="shared" si="1"/>
        <v>2.1352905000257052</v>
      </c>
      <c r="D38" s="17">
        <f t="shared" si="3"/>
        <v>2.3725450000285613</v>
      </c>
      <c r="E38" s="17">
        <f t="shared" si="2"/>
        <v>2.6097995000314174</v>
      </c>
      <c r="F38" s="2">
        <v>2.2599</v>
      </c>
      <c r="G38" s="2" t="str">
        <f t="shared" si="0"/>
        <v>Pass</v>
      </c>
      <c r="Y38" s="2">
        <v>23</v>
      </c>
      <c r="Z38" s="2">
        <v>0.3206</v>
      </c>
      <c r="AA38" s="2">
        <v>0.35389999999999999</v>
      </c>
      <c r="AB38" s="2">
        <v>2.6802999999999999</v>
      </c>
    </row>
    <row r="39" spans="2:28" x14ac:dyDescent="0.4">
      <c r="B39" s="11">
        <v>22</v>
      </c>
      <c r="C39" s="16">
        <f t="shared" si="1"/>
        <v>2.319409804652512</v>
      </c>
      <c r="D39" s="17">
        <f t="shared" si="3"/>
        <v>2.5771220051694579</v>
      </c>
      <c r="E39" s="17">
        <f t="shared" si="2"/>
        <v>2.8348342056864038</v>
      </c>
      <c r="F39" s="2">
        <v>2.5156000000000001</v>
      </c>
      <c r="G39" s="2" t="str">
        <f t="shared" si="0"/>
        <v>Pass</v>
      </c>
      <c r="Y39" s="2">
        <v>24</v>
      </c>
      <c r="Z39" s="2">
        <v>0.3216</v>
      </c>
      <c r="AA39" s="2">
        <v>0.3548</v>
      </c>
      <c r="AB39" s="2">
        <v>2.8698000000000001</v>
      </c>
    </row>
    <row r="40" spans="2:28" x14ac:dyDescent="0.4">
      <c r="B40" s="11">
        <v>23</v>
      </c>
      <c r="C40" s="16">
        <f t="shared" si="1"/>
        <v>2.510265847825885</v>
      </c>
      <c r="D40" s="17">
        <f t="shared" si="3"/>
        <v>2.7891842753620946</v>
      </c>
      <c r="E40" s="17">
        <f t="shared" si="2"/>
        <v>3.0681027028983041</v>
      </c>
      <c r="F40" s="2">
        <v>2.6802999999999999</v>
      </c>
      <c r="G40" s="2" t="str">
        <f t="shared" si="0"/>
        <v>Pass</v>
      </c>
      <c r="Y40" s="2">
        <v>25</v>
      </c>
      <c r="Z40" s="2">
        <v>0.32300000000000001</v>
      </c>
      <c r="AA40" s="2">
        <v>0.3579</v>
      </c>
      <c r="AB40" s="2">
        <v>3.1625000000000001</v>
      </c>
    </row>
    <row r="41" spans="2:28" x14ac:dyDescent="0.4">
      <c r="B41" s="11">
        <v>24</v>
      </c>
      <c r="C41" s="16">
        <f t="shared" si="1"/>
        <v>2.7077996757279461</v>
      </c>
      <c r="D41" s="17">
        <f t="shared" si="3"/>
        <v>3.0086663063643848</v>
      </c>
      <c r="E41" s="17">
        <f t="shared" si="2"/>
        <v>3.3095329370008235</v>
      </c>
      <c r="F41" s="2">
        <v>2.8698000000000001</v>
      </c>
      <c r="G41" s="2" t="str">
        <f t="shared" si="0"/>
        <v>Pass</v>
      </c>
      <c r="Y41" s="2">
        <v>26</v>
      </c>
      <c r="Z41" s="2">
        <v>0.32400000000000001</v>
      </c>
      <c r="AA41" s="2">
        <v>0.35470000000000002</v>
      </c>
      <c r="AB41" s="2">
        <v>3.3738999999999999</v>
      </c>
    </row>
    <row r="42" spans="2:28" x14ac:dyDescent="0.4">
      <c r="B42" s="11">
        <v>25</v>
      </c>
      <c r="C42" s="16">
        <f t="shared" si="1"/>
        <v>2.9119553014545323</v>
      </c>
      <c r="D42" s="17">
        <f t="shared" si="3"/>
        <v>3.2355058905050358</v>
      </c>
      <c r="E42" s="17">
        <f t="shared" si="2"/>
        <v>3.5590564795555393</v>
      </c>
      <c r="F42" s="2">
        <v>3.1625000000000001</v>
      </c>
      <c r="G42" s="2" t="str">
        <f t="shared" si="0"/>
        <v>Pass</v>
      </c>
      <c r="Y42" s="2">
        <v>27</v>
      </c>
      <c r="Z42" s="2">
        <v>0.32340000000000002</v>
      </c>
      <c r="AA42" s="2">
        <v>0.35420000000000001</v>
      </c>
      <c r="AB42" s="2">
        <v>3.5303</v>
      </c>
    </row>
    <row r="43" spans="2:28" x14ac:dyDescent="0.4">
      <c r="B43" s="11">
        <v>26</v>
      </c>
      <c r="C43" s="16">
        <f t="shared" si="1"/>
        <v>3.12267944219328</v>
      </c>
      <c r="D43" s="17">
        <f t="shared" si="3"/>
        <v>3.4696438246592001</v>
      </c>
      <c r="E43" s="17">
        <f t="shared" si="2"/>
        <v>3.8166082071251202</v>
      </c>
      <c r="F43" s="2">
        <v>3.3738999999999999</v>
      </c>
      <c r="G43" s="2" t="str">
        <f t="shared" si="0"/>
        <v>Pass</v>
      </c>
      <c r="Y43" s="2">
        <v>28</v>
      </c>
      <c r="Z43" s="2">
        <v>0.32369999999999999</v>
      </c>
      <c r="AA43" s="2">
        <v>0.35310000000000002</v>
      </c>
      <c r="AB43" s="2">
        <v>3.7353000000000001</v>
      </c>
    </row>
    <row r="44" spans="2:28" x14ac:dyDescent="0.4">
      <c r="B44" s="11">
        <v>27</v>
      </c>
      <c r="C44" s="16">
        <f t="shared" si="1"/>
        <v>3.339921288966865</v>
      </c>
      <c r="D44" s="17">
        <f t="shared" si="3"/>
        <v>3.7110236544076276</v>
      </c>
      <c r="E44" s="17">
        <f t="shared" si="2"/>
        <v>4.0821260198483902</v>
      </c>
      <c r="F44" s="2">
        <v>3.5303</v>
      </c>
      <c r="G44" s="2" t="str">
        <f t="shared" si="0"/>
        <v>Pass</v>
      </c>
      <c r="Y44" s="2">
        <v>29</v>
      </c>
      <c r="Z44" s="2">
        <v>0.32529999999999998</v>
      </c>
      <c r="AA44" s="2">
        <v>0.35449999999999998</v>
      </c>
      <c r="AB44" s="2">
        <v>4.0715000000000003</v>
      </c>
    </row>
    <row r="45" spans="2:28" x14ac:dyDescent="0.4">
      <c r="B45" s="11">
        <v>28</v>
      </c>
      <c r="C45" s="16">
        <f t="shared" si="1"/>
        <v>3.5636323038412185</v>
      </c>
      <c r="D45" s="17">
        <f t="shared" si="3"/>
        <v>3.959591448712465</v>
      </c>
      <c r="E45" s="17">
        <f t="shared" si="2"/>
        <v>4.3555505935837111</v>
      </c>
      <c r="F45" s="2">
        <v>3.7353000000000001</v>
      </c>
      <c r="G45" s="2" t="str">
        <f t="shared" si="0"/>
        <v>Pass</v>
      </c>
      <c r="Y45" s="2">
        <v>30</v>
      </c>
      <c r="Z45" s="2">
        <v>0.32569999999999999</v>
      </c>
      <c r="AA45" s="2">
        <v>0.35539999999999999</v>
      </c>
      <c r="AB45" s="2">
        <v>4.3173000000000004</v>
      </c>
    </row>
    <row r="46" spans="2:28" x14ac:dyDescent="0.4">
      <c r="B46" s="11">
        <v>29</v>
      </c>
      <c r="C46" s="16">
        <f t="shared" si="1"/>
        <v>3.7937660404521933</v>
      </c>
      <c r="D46" s="17">
        <f t="shared" si="3"/>
        <v>4.2152956005024373</v>
      </c>
      <c r="E46" s="17">
        <f t="shared" si="2"/>
        <v>4.6368251605526813</v>
      </c>
      <c r="F46" s="2">
        <v>4.0715000000000003</v>
      </c>
      <c r="G46" s="2" t="str">
        <f t="shared" si="0"/>
        <v>Pass</v>
      </c>
      <c r="Y46" s="2">
        <v>31</v>
      </c>
      <c r="Z46" s="2">
        <v>0.32529999999999998</v>
      </c>
      <c r="AA46" s="2">
        <v>0.35410000000000003</v>
      </c>
      <c r="AB46" s="2">
        <v>4.4786000000000001</v>
      </c>
    </row>
    <row r="47" spans="2:28" x14ac:dyDescent="0.4">
      <c r="B47" s="11">
        <v>30</v>
      </c>
      <c r="C47" s="16">
        <f t="shared" si="1"/>
        <v>4.0302779844525878</v>
      </c>
      <c r="D47" s="17">
        <f t="shared" si="3"/>
        <v>4.4780866493917646</v>
      </c>
      <c r="E47" s="17">
        <f t="shared" si="2"/>
        <v>4.9258953143309414</v>
      </c>
      <c r="F47" s="2">
        <v>4.3173000000000004</v>
      </c>
      <c r="G47" s="2" t="str">
        <f t="shared" si="0"/>
        <v>Pass</v>
      </c>
      <c r="Y47" s="2">
        <v>32</v>
      </c>
      <c r="Z47" s="2">
        <v>0.32590000000000002</v>
      </c>
      <c r="AA47" s="2">
        <v>0.35920000000000002</v>
      </c>
      <c r="AB47" s="2">
        <v>4.9112</v>
      </c>
    </row>
    <row r="48" spans="2:28" x14ac:dyDescent="0.4">
      <c r="B48" s="11">
        <v>31</v>
      </c>
      <c r="C48" s="16">
        <f t="shared" si="1"/>
        <v>4.2731254110740799</v>
      </c>
      <c r="D48" s="17">
        <f t="shared" si="3"/>
        <v>4.7479171234156441</v>
      </c>
      <c r="E48" s="17">
        <f t="shared" si="2"/>
        <v>5.2227088357572082</v>
      </c>
      <c r="F48" s="2">
        <v>4.4786000000000001</v>
      </c>
      <c r="G48" s="2" t="str">
        <f t="shared" si="0"/>
        <v>Pass</v>
      </c>
      <c r="Y48" s="2">
        <v>33</v>
      </c>
      <c r="Z48" s="2">
        <v>0.32779999999999998</v>
      </c>
      <c r="AA48" s="2">
        <v>0.35830000000000001</v>
      </c>
      <c r="AB48" s="2">
        <v>5.2508999999999997</v>
      </c>
    </row>
    <row r="49" spans="2:28" x14ac:dyDescent="0.4">
      <c r="B49" s="11">
        <v>32</v>
      </c>
      <c r="C49" s="16">
        <f t="shared" si="1"/>
        <v>4.5222672574720688</v>
      </c>
      <c r="D49" s="17">
        <f t="shared" si="3"/>
        <v>5.0247413971911872</v>
      </c>
      <c r="E49" s="17">
        <f t="shared" si="2"/>
        <v>5.5272155369103055</v>
      </c>
      <c r="F49" s="2">
        <v>4.9112</v>
      </c>
      <c r="G49" s="2" t="str">
        <f t="shared" si="0"/>
        <v>Pass</v>
      </c>
      <c r="Y49" s="2">
        <v>34</v>
      </c>
      <c r="Z49" s="2">
        <v>0.3276</v>
      </c>
      <c r="AA49" s="2">
        <v>0.35770000000000002</v>
      </c>
      <c r="AB49" s="2">
        <v>5.4687000000000001</v>
      </c>
    </row>
    <row r="50" spans="2:28" x14ac:dyDescent="0.4">
      <c r="B50" s="11">
        <v>33</v>
      </c>
      <c r="C50" s="16">
        <f t="shared" si="1"/>
        <v>4.7776640079025512</v>
      </c>
      <c r="D50" s="17">
        <f t="shared" si="3"/>
        <v>5.3085155643361679</v>
      </c>
      <c r="E50" s="17">
        <f t="shared" si="2"/>
        <v>5.8393671207697846</v>
      </c>
      <c r="F50" s="2">
        <v>5.2508999999999997</v>
      </c>
      <c r="G50" s="2" t="str">
        <f t="shared" si="0"/>
        <v>Pass</v>
      </c>
      <c r="Y50" s="2">
        <v>35</v>
      </c>
      <c r="Z50" s="2">
        <v>0.32790000000000002</v>
      </c>
      <c r="AA50" s="2">
        <v>0.35770000000000002</v>
      </c>
      <c r="AB50" s="2">
        <v>5.6577000000000002</v>
      </c>
    </row>
    <row r="51" spans="2:28" x14ac:dyDescent="0.4">
      <c r="B51" s="11">
        <v>34</v>
      </c>
      <c r="C51" s="16">
        <f t="shared" si="1"/>
        <v>5.0392775900892257</v>
      </c>
      <c r="D51" s="17">
        <f t="shared" si="3"/>
        <v>5.5991973223213618</v>
      </c>
      <c r="E51" s="17">
        <f t="shared" si="2"/>
        <v>6.1591170545534979</v>
      </c>
      <c r="F51" s="2">
        <v>5.4687000000000001</v>
      </c>
      <c r="G51" s="2" t="str">
        <f t="shared" si="0"/>
        <v>Pass</v>
      </c>
      <c r="Y51" s="2">
        <v>36</v>
      </c>
      <c r="Z51" s="2">
        <v>0.32700000000000001</v>
      </c>
      <c r="AA51" s="2">
        <v>0.35699999999999998</v>
      </c>
      <c r="AB51" s="2">
        <v>6.2013999999999996</v>
      </c>
    </row>
    <row r="52" spans="2:28" x14ac:dyDescent="0.4">
      <c r="B52" s="11">
        <v>35</v>
      </c>
      <c r="C52" s="16">
        <f t="shared" si="1"/>
        <v>5.3070712813915248</v>
      </c>
      <c r="D52" s="17">
        <f t="shared" si="3"/>
        <v>5.8967458682128058</v>
      </c>
      <c r="E52" s="17">
        <f t="shared" si="2"/>
        <v>6.4864204550340867</v>
      </c>
      <c r="F52" s="2">
        <v>5.6577000000000002</v>
      </c>
      <c r="G52" s="2" t="str">
        <f t="shared" si="0"/>
        <v>Pass</v>
      </c>
      <c r="Y52" s="2">
        <v>37</v>
      </c>
      <c r="Z52" s="2">
        <v>0.3271</v>
      </c>
      <c r="AA52" s="2">
        <v>0.35639999999999999</v>
      </c>
      <c r="AB52" s="2">
        <v>6.5105000000000004</v>
      </c>
    </row>
    <row r="53" spans="2:28" x14ac:dyDescent="0.4">
      <c r="B53" s="11">
        <v>36</v>
      </c>
      <c r="C53" s="16">
        <f t="shared" si="1"/>
        <v>5.5810096235916893</v>
      </c>
      <c r="D53" s="17">
        <f t="shared" si="3"/>
        <v>6.2011218039907661</v>
      </c>
      <c r="E53" s="17">
        <f t="shared" si="2"/>
        <v>6.8212339843898429</v>
      </c>
      <c r="F53" s="2">
        <v>6.2013999999999996</v>
      </c>
      <c r="G53" s="2" t="str">
        <f t="shared" si="0"/>
        <v>Pass</v>
      </c>
      <c r="Y53" s="2">
        <v>38</v>
      </c>
      <c r="Z53" s="2">
        <v>0.33129999999999998</v>
      </c>
      <c r="AA53" s="2">
        <v>0.35720000000000002</v>
      </c>
      <c r="AB53" s="2">
        <v>6.8326000000000002</v>
      </c>
    </row>
    <row r="54" spans="2:28" x14ac:dyDescent="0.4">
      <c r="B54" s="11">
        <v>37</v>
      </c>
      <c r="C54" s="16">
        <f t="shared" si="1"/>
        <v>5.8610583452905498</v>
      </c>
      <c r="D54" s="17">
        <f t="shared" si="3"/>
        <v>6.5122870503228336</v>
      </c>
      <c r="E54" s="17">
        <f t="shared" si="2"/>
        <v>7.1635157553551174</v>
      </c>
      <c r="F54" s="2">
        <v>6.5105000000000004</v>
      </c>
      <c r="G54" s="2" t="str">
        <f t="shared" si="0"/>
        <v>Pass</v>
      </c>
      <c r="Y54" s="2">
        <v>39</v>
      </c>
      <c r="Z54" s="2">
        <v>0.33079999999999998</v>
      </c>
      <c r="AA54" s="2">
        <v>0.35770000000000002</v>
      </c>
      <c r="AB54" s="2">
        <v>7.0918999999999999</v>
      </c>
    </row>
    <row r="55" spans="2:28" x14ac:dyDescent="0.4">
      <c r="B55" s="11">
        <v>38</v>
      </c>
      <c r="C55" s="16">
        <f t="shared" si="1"/>
        <v>6.1471842910444447</v>
      </c>
      <c r="D55" s="17">
        <f t="shared" si="3"/>
        <v>6.8302047678271611</v>
      </c>
      <c r="E55" s="17">
        <f t="shared" si="2"/>
        <v>7.5132252446098775</v>
      </c>
      <c r="F55" s="2">
        <v>6.8326000000000002</v>
      </c>
      <c r="G55" s="2" t="str">
        <f t="shared" si="0"/>
        <v>Pass</v>
      </c>
      <c r="Y55" s="2">
        <v>40</v>
      </c>
      <c r="Z55" s="2">
        <v>0.32879999999999998</v>
      </c>
      <c r="AA55" s="2">
        <v>0.35420000000000001</v>
      </c>
      <c r="AB55" s="2">
        <v>7.3939000000000004</v>
      </c>
    </row>
    <row r="56" spans="2:28" x14ac:dyDescent="0.4">
      <c r="B56" s="11">
        <v>39</v>
      </c>
      <c r="C56" s="16">
        <f t="shared" si="1"/>
        <v>6.439355356494822</v>
      </c>
      <c r="D56" s="17">
        <f t="shared" si="3"/>
        <v>7.1548392849942468</v>
      </c>
      <c r="E56" s="17">
        <f t="shared" si="2"/>
        <v>7.8703232134936716</v>
      </c>
      <c r="F56" s="2">
        <v>7.0918999999999999</v>
      </c>
      <c r="G56" s="2" t="str">
        <f t="shared" si="0"/>
        <v>Pass</v>
      </c>
      <c r="Y56" s="2">
        <v>41</v>
      </c>
      <c r="Z56" s="2">
        <v>0.32979999999999998</v>
      </c>
      <c r="AA56" s="2">
        <v>0.35339999999999999</v>
      </c>
      <c r="AB56" s="2">
        <v>8.0195000000000007</v>
      </c>
    </row>
    <row r="57" spans="2:28" x14ac:dyDescent="0.4">
      <c r="B57" s="11">
        <v>40</v>
      </c>
      <c r="C57" s="16">
        <f t="shared" si="1"/>
        <v>6.7375404288424399</v>
      </c>
      <c r="D57" s="17">
        <f t="shared" si="3"/>
        <v>7.4861560320471554</v>
      </c>
      <c r="E57" s="17">
        <f t="shared" si="2"/>
        <v>8.2347716352518709</v>
      </c>
      <c r="F57" s="2">
        <v>7.3939000000000004</v>
      </c>
      <c r="G57" s="2" t="str">
        <f t="shared" si="0"/>
        <v>Pass</v>
      </c>
      <c r="Y57" s="2">
        <v>42</v>
      </c>
      <c r="Z57" s="2">
        <v>0.3301</v>
      </c>
      <c r="AA57" s="2">
        <v>0.35320000000000001</v>
      </c>
      <c r="AB57" s="2">
        <v>8.2986000000000004</v>
      </c>
    </row>
    <row r="58" spans="2:28" x14ac:dyDescent="0.4">
      <c r="B58" s="11">
        <v>41</v>
      </c>
      <c r="C58" s="16">
        <f t="shared" si="1"/>
        <v>7.0417093321026609</v>
      </c>
      <c r="D58" s="17">
        <f t="shared" si="3"/>
        <v>7.8241214801140675</v>
      </c>
      <c r="E58" s="17">
        <f t="shared" si="2"/>
        <v>8.6065336281254741</v>
      </c>
      <c r="F58" s="2">
        <v>8.0195000000000007</v>
      </c>
      <c r="G58" s="2" t="str">
        <f t="shared" si="0"/>
        <v>Pass</v>
      </c>
      <c r="Y58" s="2">
        <v>43</v>
      </c>
      <c r="Z58" s="2">
        <v>0.3281</v>
      </c>
      <c r="AA58" s="2">
        <v>0.3528</v>
      </c>
      <c r="AB58" s="2">
        <v>8.6845999999999997</v>
      </c>
    </row>
    <row r="59" spans="2:28" x14ac:dyDescent="0.4">
      <c r="B59" s="11">
        <v>42</v>
      </c>
      <c r="C59" s="16">
        <f t="shared" si="1"/>
        <v>7.3518327766500473</v>
      </c>
      <c r="D59" s="17">
        <f t="shared" si="3"/>
        <v>8.1687030851667188</v>
      </c>
      <c r="E59" s="17">
        <f t="shared" si="2"/>
        <v>8.9855733936833904</v>
      </c>
      <c r="F59" s="2">
        <v>8.2986000000000004</v>
      </c>
      <c r="G59" s="2" t="str">
        <f t="shared" si="0"/>
        <v>Pass</v>
      </c>
      <c r="Y59" s="2">
        <v>44</v>
      </c>
      <c r="Z59" s="2">
        <v>0.33</v>
      </c>
      <c r="AA59" s="2">
        <v>0.35070000000000001</v>
      </c>
      <c r="AB59" s="2">
        <v>9.0174000000000003</v>
      </c>
    </row>
    <row r="60" spans="2:28" x14ac:dyDescent="0.4">
      <c r="B60" s="11">
        <v>43</v>
      </c>
      <c r="C60" s="16">
        <f t="shared" si="1"/>
        <v>7.66788231262169</v>
      </c>
      <c r="D60" s="17">
        <f t="shared" si="3"/>
        <v>8.519869236246322</v>
      </c>
      <c r="E60" s="17">
        <f t="shared" si="2"/>
        <v>9.3718561598709549</v>
      </c>
      <c r="F60" s="2">
        <v>8.6845999999999997</v>
      </c>
      <c r="G60" s="2" t="str">
        <f t="shared" si="0"/>
        <v>Pass</v>
      </c>
      <c r="Y60" s="2">
        <v>45</v>
      </c>
      <c r="Z60" s="2">
        <v>0.32979999999999998</v>
      </c>
      <c r="AA60" s="2">
        <v>0.35099999999999998</v>
      </c>
      <c r="AB60" s="2">
        <v>9.3106000000000009</v>
      </c>
    </row>
    <row r="61" spans="2:28" x14ac:dyDescent="0.4">
      <c r="B61" s="11">
        <v>44</v>
      </c>
      <c r="C61" s="16">
        <f t="shared" si="1"/>
        <v>7.9898302868009141</v>
      </c>
      <c r="D61" s="17">
        <f t="shared" si="3"/>
        <v>8.8775892075565714</v>
      </c>
      <c r="E61" s="17">
        <f t="shared" si="2"/>
        <v>9.7653481283122279</v>
      </c>
      <c r="F61" s="2">
        <v>9.0174000000000003</v>
      </c>
      <c r="G61" s="2" t="str">
        <f t="shared" si="0"/>
        <v>Pass</v>
      </c>
      <c r="Y61" s="2">
        <v>46</v>
      </c>
      <c r="Z61" s="2">
        <v>0.33050000000000002</v>
      </c>
      <c r="AA61" s="2">
        <v>0.35070000000000001</v>
      </c>
      <c r="AB61" s="2">
        <v>9.7331000000000003</v>
      </c>
    </row>
    <row r="62" spans="2:28" x14ac:dyDescent="0.4">
      <c r="B62" s="11">
        <v>45</v>
      </c>
      <c r="C62" s="16">
        <f t="shared" si="1"/>
        <v>8.3176498026479262</v>
      </c>
      <c r="D62" s="17">
        <f t="shared" si="3"/>
        <v>9.2418331140532519</v>
      </c>
      <c r="E62" s="17">
        <f t="shared" si="2"/>
        <v>10.166016425458578</v>
      </c>
      <c r="F62" s="2">
        <v>9.3106000000000009</v>
      </c>
      <c r="G62" s="2" t="str">
        <f t="shared" si="0"/>
        <v>Pass</v>
      </c>
      <c r="Y62" s="2">
        <v>47</v>
      </c>
      <c r="Z62" s="2">
        <v>0.33260000000000001</v>
      </c>
      <c r="AA62" s="2">
        <v>0.35520000000000002</v>
      </c>
      <c r="AB62" s="2">
        <v>10.448399999999999</v>
      </c>
    </row>
    <row r="63" spans="2:28" x14ac:dyDescent="0.4">
      <c r="B63" s="11">
        <v>46</v>
      </c>
      <c r="C63" s="16">
        <f t="shared" si="1"/>
        <v>8.6513146831825765</v>
      </c>
      <c r="D63" s="17">
        <f t="shared" si="3"/>
        <v>9.6125718702028617</v>
      </c>
      <c r="E63" s="17">
        <f t="shared" si="2"/>
        <v>10.573829057223147</v>
      </c>
      <c r="F63" s="2">
        <v>9.7331000000000003</v>
      </c>
      <c r="G63" s="2" t="str">
        <f t="shared" si="0"/>
        <v>Pass</v>
      </c>
      <c r="Y63" s="2">
        <v>48</v>
      </c>
      <c r="Z63" s="2">
        <v>0.33210000000000001</v>
      </c>
      <c r="AA63" s="2">
        <v>0.35489999999999999</v>
      </c>
      <c r="AB63" s="2">
        <v>10.8508</v>
      </c>
    </row>
    <row r="64" spans="2:28" x14ac:dyDescent="0.4">
      <c r="B64" s="11">
        <v>47</v>
      </c>
      <c r="C64" s="16">
        <f t="shared" si="1"/>
        <v>8.9907994364580155</v>
      </c>
      <c r="D64" s="17">
        <f t="shared" si="3"/>
        <v>9.9897771516200162</v>
      </c>
      <c r="E64" s="17">
        <f t="shared" si="2"/>
        <v>10.988754866782017</v>
      </c>
      <c r="F64" s="2">
        <v>10.448399999999999</v>
      </c>
      <c r="G64" s="2" t="str">
        <f t="shared" si="0"/>
        <v>Pass</v>
      </c>
      <c r="Y64" s="2">
        <v>49</v>
      </c>
      <c r="Z64" s="2">
        <v>0.33179999999999998</v>
      </c>
      <c r="AA64" s="2">
        <v>0.35460000000000003</v>
      </c>
      <c r="AB64" s="2">
        <v>11.1561</v>
      </c>
    </row>
    <row r="65" spans="2:28" x14ac:dyDescent="0.4">
      <c r="B65" s="11">
        <v>48</v>
      </c>
      <c r="C65" s="16">
        <f t="shared" si="1"/>
        <v>9.3360792233928134</v>
      </c>
      <c r="D65" s="17">
        <f t="shared" si="3"/>
        <v>10.373421359325349</v>
      </c>
      <c r="E65" s="17">
        <f t="shared" si="2"/>
        <v>11.410763495257884</v>
      </c>
      <c r="F65" s="2">
        <v>10.8508</v>
      </c>
      <c r="G65" s="2" t="str">
        <f t="shared" si="0"/>
        <v>Pass</v>
      </c>
      <c r="Y65" s="2">
        <v>50</v>
      </c>
      <c r="Z65" s="2">
        <v>0.33019999999999999</v>
      </c>
      <c r="AA65" s="2">
        <v>0.3488</v>
      </c>
      <c r="AB65" s="2">
        <v>11.6107</v>
      </c>
    </row>
    <row r="66" spans="2:28" x14ac:dyDescent="0.4">
      <c r="B66" s="11">
        <v>49</v>
      </c>
      <c r="C66" s="16">
        <f t="shared" si="1"/>
        <v>9.6871298277545677</v>
      </c>
      <c r="D66" s="17">
        <f t="shared" si="3"/>
        <v>10.763477586393964</v>
      </c>
      <c r="E66" s="17">
        <f t="shared" si="2"/>
        <v>11.839825345033361</v>
      </c>
      <c r="F66" s="2">
        <v>11.1561</v>
      </c>
      <c r="G66" s="2" t="str">
        <f t="shared" si="0"/>
        <v>Pass</v>
      </c>
      <c r="Y66" s="2">
        <v>51</v>
      </c>
      <c r="Z66" s="2">
        <v>0.32979999999999998</v>
      </c>
      <c r="AA66" s="2">
        <v>0.34799999999999998</v>
      </c>
      <c r="AB66" s="2">
        <v>11.920500000000001</v>
      </c>
    </row>
    <row r="67" spans="2:28" x14ac:dyDescent="0.4">
      <c r="B67" s="11">
        <v>50</v>
      </c>
      <c r="C67" s="16">
        <f t="shared" si="1"/>
        <v>10.043927628109902</v>
      </c>
      <c r="D67" s="17">
        <f t="shared" si="3"/>
        <v>11.15991958678878</v>
      </c>
      <c r="E67" s="17">
        <f t="shared" si="2"/>
        <v>12.275911545467658</v>
      </c>
      <c r="F67" s="2">
        <v>11.6107</v>
      </c>
      <c r="G67" s="2" t="str">
        <f t="shared" si="0"/>
        <v>Pass</v>
      </c>
      <c r="Y67" s="2">
        <v>52</v>
      </c>
      <c r="Z67" s="2">
        <v>0.33189999999999997</v>
      </c>
      <c r="AA67" s="2">
        <v>0.35149999999999998</v>
      </c>
      <c r="AB67" s="2">
        <v>12.4079</v>
      </c>
    </row>
    <row r="68" spans="2:28" x14ac:dyDescent="0.4">
      <c r="B68" s="11">
        <v>51</v>
      </c>
      <c r="C68" s="16">
        <f t="shared" si="1"/>
        <v>10.406449571575269</v>
      </c>
      <c r="D68" s="17">
        <f t="shared" si="3"/>
        <v>11.562721746194743</v>
      </c>
      <c r="E68" s="17">
        <f t="shared" si="2"/>
        <v>12.718993920814217</v>
      </c>
      <c r="F68" s="2">
        <v>11.920500000000001</v>
      </c>
      <c r="G68" s="2" t="str">
        <f t="shared" si="0"/>
        <v>Pass</v>
      </c>
      <c r="Y68" s="2">
        <v>53</v>
      </c>
      <c r="Z68" s="2">
        <v>0.3322</v>
      </c>
      <c r="AA68" s="2">
        <v>0.35099999999999998</v>
      </c>
      <c r="AB68" s="2">
        <v>12.8384</v>
      </c>
    </row>
    <row r="69" spans="2:28" x14ac:dyDescent="0.4">
      <c r="B69" s="11">
        <v>52</v>
      </c>
      <c r="C69" s="16">
        <f t="shared" si="1"/>
        <v>10.774673149219666</v>
      </c>
      <c r="D69" s="17">
        <f t="shared" si="3"/>
        <v>11.971859054688517</v>
      </c>
      <c r="E69" s="17">
        <f t="shared" si="2"/>
        <v>13.169044960157368</v>
      </c>
      <c r="F69" s="2">
        <v>12.4079</v>
      </c>
      <c r="G69" s="2" t="str">
        <f t="shared" si="0"/>
        <v>Pass</v>
      </c>
      <c r="Y69" s="2">
        <v>54</v>
      </c>
      <c r="Z69" s="2">
        <v>0.33179999999999998</v>
      </c>
      <c r="AA69" s="2">
        <v>0.3513</v>
      </c>
      <c r="AB69" s="2">
        <v>13.271599999999999</v>
      </c>
    </row>
    <row r="70" spans="2:28" x14ac:dyDescent="0.4">
      <c r="B70" s="11">
        <v>53</v>
      </c>
      <c r="C70" s="16">
        <f t="shared" si="1"/>
        <v>11.148576372985545</v>
      </c>
      <c r="D70" s="17">
        <f t="shared" si="3"/>
        <v>12.387307081095051</v>
      </c>
      <c r="E70" s="17">
        <f t="shared" si="2"/>
        <v>13.626037789204556</v>
      </c>
      <c r="F70" s="2">
        <v>12.8384</v>
      </c>
      <c r="G70" s="2" t="str">
        <f t="shared" si="0"/>
        <v>Pass</v>
      </c>
      <c r="Y70" s="2">
        <v>55</v>
      </c>
      <c r="Z70" s="2">
        <v>0.33189999999999997</v>
      </c>
      <c r="AA70" s="2">
        <v>0.35170000000000001</v>
      </c>
      <c r="AB70" s="2">
        <v>13.589499999999999</v>
      </c>
    </row>
    <row r="71" spans="2:28" x14ac:dyDescent="0.4">
      <c r="B71" s="11">
        <v>54</v>
      </c>
      <c r="C71" s="16">
        <f t="shared" si="1"/>
        <v>11.528137754007146</v>
      </c>
      <c r="D71" s="17">
        <f t="shared" si="3"/>
        <v>12.809041948896828</v>
      </c>
      <c r="E71" s="17">
        <f t="shared" si="2"/>
        <v>14.089946143786511</v>
      </c>
      <c r="F71" s="2">
        <v>13.271599999999999</v>
      </c>
      <c r="G71" s="2" t="str">
        <f t="shared" si="0"/>
        <v>Pass</v>
      </c>
      <c r="Y71" s="2">
        <v>56</v>
      </c>
      <c r="Z71" s="2">
        <v>0.33139999999999997</v>
      </c>
      <c r="AA71" s="2">
        <v>0.35120000000000001</v>
      </c>
      <c r="AB71" s="2">
        <v>14.180099999999999</v>
      </c>
    </row>
    <row r="72" spans="2:28" x14ac:dyDescent="0.4">
      <c r="B72" s="11">
        <v>55</v>
      </c>
      <c r="C72" s="16">
        <f t="shared" si="1"/>
        <v>11.913336282217355</v>
      </c>
      <c r="D72" s="17">
        <f t="shared" si="3"/>
        <v>13.237040313574838</v>
      </c>
      <c r="E72" s="17">
        <f t="shared" si="2"/>
        <v>14.560744344932321</v>
      </c>
      <c r="F72" s="2">
        <v>13.589499999999999</v>
      </c>
      <c r="G72" s="2" t="str">
        <f t="shared" si="0"/>
        <v>Pass</v>
      </c>
      <c r="Y72" s="2">
        <v>57</v>
      </c>
      <c r="Z72" s="2">
        <v>0.3347</v>
      </c>
      <c r="AA72" s="2">
        <v>0.35010000000000002</v>
      </c>
      <c r="AB72" s="2">
        <v>14.6457</v>
      </c>
    </row>
    <row r="73" spans="2:28" x14ac:dyDescent="0.4">
      <c r="B73" s="11">
        <v>56</v>
      </c>
      <c r="C73" s="16">
        <f t="shared" si="1"/>
        <v>12.304151407144296</v>
      </c>
      <c r="D73" s="17">
        <f t="shared" si="3"/>
        <v>13.67127934127144</v>
      </c>
      <c r="E73" s="17">
        <f t="shared" si="2"/>
        <v>15.038407275398583</v>
      </c>
      <c r="F73" s="2">
        <v>14.180099999999999</v>
      </c>
      <c r="G73" s="2" t="str">
        <f t="shared" si="0"/>
        <v>Pass</v>
      </c>
      <c r="Y73" s="2">
        <v>58</v>
      </c>
      <c r="Z73" s="2">
        <v>0.33410000000000001</v>
      </c>
      <c r="AA73" s="2">
        <v>0.35</v>
      </c>
      <c r="AB73" s="2">
        <v>15.087</v>
      </c>
    </row>
    <row r="74" spans="2:28" x14ac:dyDescent="0.4">
      <c r="B74" s="11">
        <v>57</v>
      </c>
      <c r="C74" s="16">
        <f t="shared" si="1"/>
        <v>12.70056301980833</v>
      </c>
      <c r="D74" s="17">
        <f t="shared" si="3"/>
        <v>14.111736688675922</v>
      </c>
      <c r="E74" s="17">
        <f t="shared" si="2"/>
        <v>15.522910357543514</v>
      </c>
      <c r="F74" s="2">
        <v>14.6457</v>
      </c>
      <c r="G74" s="2" t="str">
        <f t="shared" si="0"/>
        <v>Pass</v>
      </c>
      <c r="Y74" s="2">
        <v>59</v>
      </c>
      <c r="Z74" s="2">
        <v>0.33410000000000001</v>
      </c>
      <c r="AA74" s="2">
        <v>0.34989999999999999</v>
      </c>
      <c r="AB74" s="2">
        <v>15.651</v>
      </c>
    </row>
    <row r="75" spans="2:28" x14ac:dyDescent="0.4">
      <c r="B75" s="11">
        <v>58</v>
      </c>
      <c r="C75" s="16">
        <f t="shared" si="1"/>
        <v>13.102551435637938</v>
      </c>
      <c r="D75" s="17">
        <f t="shared" si="3"/>
        <v>14.558390484042153</v>
      </c>
      <c r="E75" s="17">
        <f t="shared" si="2"/>
        <v>16.014229532446368</v>
      </c>
      <c r="F75" s="2">
        <v>15.087</v>
      </c>
      <c r="G75" s="2" t="str">
        <f t="shared" si="0"/>
        <v>Pass</v>
      </c>
      <c r="Y75" s="2">
        <v>60</v>
      </c>
      <c r="Z75" s="2">
        <v>0.3337</v>
      </c>
      <c r="AA75" s="2">
        <v>0.34970000000000001</v>
      </c>
      <c r="AB75" s="2">
        <v>16.008400000000002</v>
      </c>
    </row>
    <row r="76" spans="2:28" x14ac:dyDescent="0.4">
      <c r="B76" s="11">
        <v>59</v>
      </c>
      <c r="C76" s="16">
        <f t="shared" si="1"/>
        <v>13.510097378330743</v>
      </c>
      <c r="D76" s="17">
        <f t="shared" si="3"/>
        <v>15.011219309256381</v>
      </c>
      <c r="E76" s="17">
        <f t="shared" si="2"/>
        <v>16.512341240182018</v>
      </c>
      <c r="F76" s="2">
        <v>15.651</v>
      </c>
      <c r="G76" s="2" t="str">
        <f t="shared" si="0"/>
        <v>Pass</v>
      </c>
      <c r="Y76" s="2">
        <v>61</v>
      </c>
      <c r="Z76" s="2">
        <v>0.33300000000000002</v>
      </c>
      <c r="AA76" s="2">
        <v>0.3488</v>
      </c>
      <c r="AB76" s="2">
        <v>16.5929</v>
      </c>
    </row>
    <row r="77" spans="2:28" x14ac:dyDescent="0.4">
      <c r="B77" s="11">
        <v>60</v>
      </c>
      <c r="C77" s="16">
        <f t="shared" si="1"/>
        <v>13.923181964592041</v>
      </c>
      <c r="D77" s="17">
        <f t="shared" si="3"/>
        <v>15.470202182880046</v>
      </c>
      <c r="E77" s="17">
        <f t="shared" si="2"/>
        <v>17.017222401168052</v>
      </c>
      <c r="F77" s="2">
        <v>16.008400000000002</v>
      </c>
      <c r="G77" s="2" t="str">
        <f t="shared" si="0"/>
        <v>Pass</v>
      </c>
      <c r="Y77" s="2">
        <v>62</v>
      </c>
      <c r="Z77" s="2">
        <v>0.33310000000000001</v>
      </c>
      <c r="AA77" s="2">
        <v>0.3488</v>
      </c>
      <c r="AB77" s="2">
        <v>17.020499999999998</v>
      </c>
    </row>
    <row r="78" spans="2:28" x14ac:dyDescent="0.4">
      <c r="B78" s="11">
        <v>61</v>
      </c>
      <c r="C78" s="16">
        <f t="shared" si="1"/>
        <v>14.341786689689382</v>
      </c>
      <c r="D78" s="17">
        <f t="shared" si="3"/>
        <v>15.935318544099314</v>
      </c>
      <c r="E78" s="17">
        <f t="shared" si="2"/>
        <v>17.528850398509245</v>
      </c>
      <c r="F78" s="2">
        <v>16.5929</v>
      </c>
      <c r="G78" s="2" t="str">
        <f t="shared" si="0"/>
        <v>Pass</v>
      </c>
      <c r="Y78" s="2">
        <v>63</v>
      </c>
      <c r="Z78" s="2">
        <v>0.33339999999999997</v>
      </c>
      <c r="AA78" s="2">
        <v>0.3483</v>
      </c>
      <c r="AB78" s="2">
        <v>17.584099999999999</v>
      </c>
    </row>
    <row r="79" spans="2:28" x14ac:dyDescent="0.4">
      <c r="B79" s="11">
        <v>62</v>
      </c>
      <c r="C79" s="16">
        <f t="shared" si="1"/>
        <v>14.765893413766708</v>
      </c>
      <c r="D79" s="17">
        <f t="shared" si="3"/>
        <v>16.406548237518564</v>
      </c>
      <c r="E79" s="17">
        <f t="shared" si="2"/>
        <v>18.04720306127042</v>
      </c>
      <c r="F79" s="2">
        <v>17.020499999999998</v>
      </c>
      <c r="G79" s="2" t="str">
        <f t="shared" si="0"/>
        <v>Pass</v>
      </c>
      <c r="Y79" s="2">
        <v>64</v>
      </c>
      <c r="Z79" s="2">
        <v>0.33339999999999997</v>
      </c>
      <c r="AA79" s="2">
        <v>0.34810000000000002</v>
      </c>
      <c r="AB79" s="2">
        <v>18.2194</v>
      </c>
    </row>
    <row r="80" spans="2:28" x14ac:dyDescent="0.4">
      <c r="B80" s="11">
        <v>63</v>
      </c>
      <c r="C80" s="16">
        <f t="shared" si="1"/>
        <v>15.195484348866687</v>
      </c>
      <c r="D80" s="17">
        <f t="shared" si="3"/>
        <v>16.883871498740763</v>
      </c>
      <c r="E80" s="17">
        <f t="shared" si="2"/>
        <v>18.572258648614842</v>
      </c>
      <c r="F80" s="2">
        <v>17.584099999999999</v>
      </c>
      <c r="G80" s="2" t="str">
        <f t="shared" si="0"/>
        <v>Pass</v>
      </c>
      <c r="Y80" s="2">
        <v>65</v>
      </c>
      <c r="Z80" s="2">
        <v>0.33289999999999997</v>
      </c>
      <c r="AA80" s="2">
        <v>0.34749999999999998</v>
      </c>
      <c r="AB80" s="2">
        <v>18.669</v>
      </c>
    </row>
    <row r="81" spans="2:28" x14ac:dyDescent="0.4">
      <c r="B81" s="11">
        <v>64</v>
      </c>
      <c r="C81" s="16">
        <f t="shared" si="1"/>
        <v>15.630542046613709</v>
      </c>
      <c r="D81" s="17">
        <f t="shared" si="3"/>
        <v>17.3672689406819</v>
      </c>
      <c r="E81" s="17">
        <f t="shared" si="2"/>
        <v>19.103995834750091</v>
      </c>
      <c r="F81" s="2">
        <v>18.2194</v>
      </c>
      <c r="G81" s="2" t="str">
        <f t="shared" ref="G81:G144" si="4">IF(F81&lt;=C81,"Fail",IF(AND(C81&lt;F81,F81&lt;E81),"Pass",IF(E81&lt;=F81,"Fail")))</f>
        <v>Pass</v>
      </c>
      <c r="Y81" s="2">
        <v>66</v>
      </c>
      <c r="Z81" s="2">
        <v>0.33139999999999997</v>
      </c>
      <c r="AA81" s="2">
        <v>0.34560000000000002</v>
      </c>
      <c r="AB81" s="2">
        <v>19.157599999999999</v>
      </c>
    </row>
    <row r="82" spans="2:28" x14ac:dyDescent="0.4">
      <c r="B82" s="11">
        <v>65</v>
      </c>
      <c r="C82" s="16">
        <f t="shared" ref="C82:C145" si="5">D82-D82*(C$14/100)</f>
        <v>16.071049386514222</v>
      </c>
      <c r="D82" s="17">
        <f t="shared" si="3"/>
        <v>17.856721540571357</v>
      </c>
      <c r="E82" s="17">
        <f t="shared" ref="E82:E145" si="6">D82+D82*(C$14/100)</f>
        <v>19.642393694628492</v>
      </c>
      <c r="F82" s="2">
        <v>18.669</v>
      </c>
      <c r="G82" s="2" t="str">
        <f t="shared" si="4"/>
        <v>Pass</v>
      </c>
      <c r="Y82" s="2">
        <v>67</v>
      </c>
      <c r="Z82" s="2">
        <v>0.33339999999999997</v>
      </c>
      <c r="AA82" s="2">
        <v>0.34889999999999999</v>
      </c>
      <c r="AB82" s="2">
        <v>19.6692</v>
      </c>
    </row>
    <row r="83" spans="2:28" x14ac:dyDescent="0.4">
      <c r="B83" s="11">
        <v>66</v>
      </c>
      <c r="C83" s="16">
        <f t="shared" si="5"/>
        <v>16.516989564834361</v>
      </c>
      <c r="D83" s="17">
        <f t="shared" ref="D83:D146" si="7">D$272*((B83+F$17)/B$272)^C$13</f>
        <v>18.352210627593735</v>
      </c>
      <c r="E83" s="17">
        <f t="shared" si="6"/>
        <v>20.187431690353108</v>
      </c>
      <c r="F83" s="2">
        <v>19.157599999999999</v>
      </c>
      <c r="G83" s="2" t="str">
        <f t="shared" si="4"/>
        <v>Pass</v>
      </c>
      <c r="Y83" s="2">
        <v>68</v>
      </c>
      <c r="Z83" s="2">
        <v>0.33329999999999999</v>
      </c>
      <c r="AA83" s="2">
        <v>0.34870000000000001</v>
      </c>
      <c r="AB83" s="2">
        <v>20.106200000000001</v>
      </c>
    </row>
    <row r="84" spans="2:28" x14ac:dyDescent="0.4">
      <c r="B84" s="11">
        <v>67</v>
      </c>
      <c r="C84" s="16">
        <f t="shared" si="5"/>
        <v>16.968346084017984</v>
      </c>
      <c r="D84" s="17">
        <f t="shared" si="7"/>
        <v>18.853717871131092</v>
      </c>
      <c r="E84" s="17">
        <f t="shared" si="6"/>
        <v>20.7390896582442</v>
      </c>
      <c r="F84" s="2">
        <v>19.6692</v>
      </c>
      <c r="G84" s="2" t="str">
        <f t="shared" si="4"/>
        <v>Pass</v>
      </c>
      <c r="Y84" s="2">
        <v>69</v>
      </c>
      <c r="Z84" s="2">
        <v>0.33300000000000002</v>
      </c>
      <c r="AA84" s="2">
        <v>0.3483</v>
      </c>
      <c r="AB84" s="2">
        <v>20.745899999999999</v>
      </c>
    </row>
    <row r="85" spans="2:28" x14ac:dyDescent="0.4">
      <c r="B85" s="11">
        <v>68</v>
      </c>
      <c r="C85" s="16">
        <f t="shared" si="5"/>
        <v>17.425102742611415</v>
      </c>
      <c r="D85" s="17">
        <f t="shared" si="7"/>
        <v>19.361225269568241</v>
      </c>
      <c r="E85" s="17">
        <f t="shared" si="6"/>
        <v>21.297347796525067</v>
      </c>
      <c r="F85" s="2">
        <v>20.106200000000001</v>
      </c>
      <c r="G85" s="2" t="str">
        <f t="shared" si="4"/>
        <v>Pass</v>
      </c>
      <c r="Y85" s="2">
        <v>70</v>
      </c>
      <c r="Z85" s="2">
        <v>0.33310000000000001</v>
      </c>
      <c r="AA85" s="2">
        <v>0.3478</v>
      </c>
      <c r="AB85" s="2">
        <v>21.277999999999999</v>
      </c>
    </row>
    <row r="86" spans="2:28" x14ac:dyDescent="0.4">
      <c r="B86" s="11">
        <v>69</v>
      </c>
      <c r="C86" s="16">
        <f t="shared" si="5"/>
        <v>17.887243625663189</v>
      </c>
      <c r="D86" s="17">
        <f t="shared" si="7"/>
        <v>19.874715139625764</v>
      </c>
      <c r="E86" s="17">
        <f t="shared" si="6"/>
        <v>21.862186653588338</v>
      </c>
      <c r="F86" s="2">
        <v>20.745899999999999</v>
      </c>
      <c r="G86" s="2" t="str">
        <f t="shared" si="4"/>
        <v>Pass</v>
      </c>
      <c r="Y86" s="2">
        <v>71</v>
      </c>
      <c r="Z86" s="2">
        <v>0.33350000000000002</v>
      </c>
      <c r="AA86" s="2">
        <v>0.34749999999999998</v>
      </c>
      <c r="AB86" s="2">
        <v>21.8691</v>
      </c>
    </row>
    <row r="87" spans="2:28" x14ac:dyDescent="0.4">
      <c r="B87" s="11">
        <v>70</v>
      </c>
      <c r="C87" s="16">
        <f t="shared" si="5"/>
        <v>18.354753095570018</v>
      </c>
      <c r="D87" s="17">
        <f t="shared" si="7"/>
        <v>20.394170106188909</v>
      </c>
      <c r="E87" s="17">
        <f t="shared" si="6"/>
        <v>22.4335871168078</v>
      </c>
      <c r="F87" s="2">
        <v>21.277999999999999</v>
      </c>
      <c r="G87" s="2" t="str">
        <f t="shared" si="4"/>
        <v>Pass</v>
      </c>
      <c r="Y87" s="2">
        <v>72</v>
      </c>
      <c r="Z87" s="2">
        <v>0.3332</v>
      </c>
      <c r="AA87" s="2">
        <v>0.34760000000000002</v>
      </c>
      <c r="AB87" s="2">
        <v>22.383500000000002</v>
      </c>
    </row>
    <row r="88" spans="2:28" x14ac:dyDescent="0.4">
      <c r="B88" s="11">
        <v>71</v>
      </c>
      <c r="C88" s="16">
        <f t="shared" si="5"/>
        <v>18.827615783342168</v>
      </c>
      <c r="D88" s="17">
        <f t="shared" si="7"/>
        <v>20.919573092602409</v>
      </c>
      <c r="E88" s="17">
        <f t="shared" si="6"/>
        <v>23.01153040186265</v>
      </c>
      <c r="F88" s="2">
        <v>21.8691</v>
      </c>
      <c r="G88" s="2" t="str">
        <f t="shared" si="4"/>
        <v>Pass</v>
      </c>
      <c r="Y88" s="2">
        <v>73</v>
      </c>
      <c r="Z88" s="2">
        <v>0.3332</v>
      </c>
      <c r="AA88" s="2">
        <v>0.34749999999999998</v>
      </c>
      <c r="AB88" s="2">
        <v>22.935700000000001</v>
      </c>
    </row>
    <row r="89" spans="2:28" x14ac:dyDescent="0.4">
      <c r="B89" s="11">
        <v>72</v>
      </c>
      <c r="C89" s="16">
        <f t="shared" si="5"/>
        <v>19.305816580263276</v>
      </c>
      <c r="D89" s="17">
        <f t="shared" si="7"/>
        <v>21.45090731140364</v>
      </c>
      <c r="E89" s="17">
        <f t="shared" si="6"/>
        <v>23.595998042544004</v>
      </c>
      <c r="F89" s="2">
        <v>22.383500000000002</v>
      </c>
      <c r="G89" s="2" t="str">
        <f t="shared" si="4"/>
        <v>Pass</v>
      </c>
      <c r="Y89" s="2">
        <v>74</v>
      </c>
      <c r="Z89" s="2">
        <v>0.33439999999999998</v>
      </c>
      <c r="AA89" s="2">
        <v>0.35110000000000002</v>
      </c>
      <c r="AB89" s="2">
        <v>23.679500000000001</v>
      </c>
    </row>
    <row r="90" spans="2:28" x14ac:dyDescent="0.4">
      <c r="B90" s="11">
        <v>73</v>
      </c>
      <c r="C90" s="16">
        <f t="shared" si="5"/>
        <v>19.789340629921647</v>
      </c>
      <c r="D90" s="17">
        <f t="shared" si="7"/>
        <v>21.988156255468496</v>
      </c>
      <c r="E90" s="17">
        <f t="shared" si="6"/>
        <v>24.186971881015346</v>
      </c>
      <c r="F90" s="2">
        <v>22.935700000000001</v>
      </c>
      <c r="G90" s="2" t="str">
        <f t="shared" si="4"/>
        <v>Pass</v>
      </c>
      <c r="Y90" s="2">
        <v>75</v>
      </c>
      <c r="Z90" s="2">
        <v>0.33389999999999997</v>
      </c>
      <c r="AA90" s="2">
        <v>0.35070000000000001</v>
      </c>
      <c r="AB90" s="2">
        <v>24.182300000000001</v>
      </c>
    </row>
    <row r="91" spans="2:28" x14ac:dyDescent="0.4">
      <c r="B91" s="11">
        <v>74</v>
      </c>
      <c r="C91" s="16">
        <f t="shared" si="5"/>
        <v>20.27817332059151</v>
      </c>
      <c r="D91" s="17">
        <f t="shared" si="7"/>
        <v>22.531303689546121</v>
      </c>
      <c r="E91" s="17">
        <f t="shared" si="6"/>
        <v>24.784434058500732</v>
      </c>
      <c r="F91" s="2">
        <v>23.679500000000001</v>
      </c>
      <c r="G91" s="2" t="str">
        <f t="shared" si="4"/>
        <v>Pass</v>
      </c>
      <c r="Y91" s="2">
        <v>76</v>
      </c>
      <c r="Z91" s="2">
        <v>0.3332</v>
      </c>
      <c r="AA91" s="2">
        <v>0.3508</v>
      </c>
      <c r="AB91" s="2">
        <v>24.586099999999998</v>
      </c>
    </row>
    <row r="92" spans="2:28" x14ac:dyDescent="0.4">
      <c r="B92" s="11">
        <v>75</v>
      </c>
      <c r="C92" s="16">
        <f t="shared" si="5"/>
        <v>20.772300277944442</v>
      </c>
      <c r="D92" s="17">
        <f t="shared" si="7"/>
        <v>23.08033364216049</v>
      </c>
      <c r="E92" s="17">
        <f t="shared" si="6"/>
        <v>25.388367006376537</v>
      </c>
      <c r="F92" s="2">
        <v>24.182300000000001</v>
      </c>
      <c r="G92" s="2" t="str">
        <f t="shared" si="4"/>
        <v>Pass</v>
      </c>
      <c r="Y92" s="2">
        <v>77</v>
      </c>
      <c r="Z92" s="2">
        <v>0.33310000000000001</v>
      </c>
      <c r="AA92" s="2">
        <v>0.35039999999999999</v>
      </c>
      <c r="AB92" s="2">
        <v>25.306000000000001</v>
      </c>
    </row>
    <row r="93" spans="2:28" x14ac:dyDescent="0.4">
      <c r="B93" s="11">
        <v>76</v>
      </c>
      <c r="C93" s="16">
        <f t="shared" si="5"/>
        <v>21.271707358072351</v>
      </c>
      <c r="D93" s="17">
        <f t="shared" si="7"/>
        <v>23.635230397858169</v>
      </c>
      <c r="E93" s="17">
        <f t="shared" si="6"/>
        <v>25.998753437643987</v>
      </c>
      <c r="F93" s="2">
        <v>24.586099999999998</v>
      </c>
      <c r="G93" s="2" t="str">
        <f t="shared" si="4"/>
        <v>Pass</v>
      </c>
      <c r="Y93" s="2">
        <v>78</v>
      </c>
      <c r="Z93" s="2">
        <v>0.33289999999999997</v>
      </c>
      <c r="AA93" s="2">
        <v>0.35020000000000001</v>
      </c>
      <c r="AB93" s="2">
        <v>25.854900000000001</v>
      </c>
    </row>
    <row r="94" spans="2:28" x14ac:dyDescent="0.4">
      <c r="B94" s="11">
        <v>77</v>
      </c>
      <c r="C94" s="16">
        <f t="shared" si="5"/>
        <v>21.776380640804796</v>
      </c>
      <c r="D94" s="17">
        <f t="shared" si="7"/>
        <v>24.195978489783109</v>
      </c>
      <c r="E94" s="17">
        <f t="shared" si="6"/>
        <v>26.615576338761421</v>
      </c>
      <c r="F94" s="2">
        <v>25.306000000000001</v>
      </c>
      <c r="G94" s="2" t="str">
        <f t="shared" si="4"/>
        <v>Pass</v>
      </c>
      <c r="Y94" s="2">
        <v>79</v>
      </c>
      <c r="Z94" s="2">
        <v>0.33460000000000001</v>
      </c>
      <c r="AA94" s="2">
        <v>0.34910000000000002</v>
      </c>
      <c r="AB94" s="2">
        <v>26.055299999999999</v>
      </c>
    </row>
    <row r="95" spans="2:28" x14ac:dyDescent="0.4">
      <c r="B95" s="11">
        <v>78</v>
      </c>
      <c r="C95" s="16">
        <f t="shared" si="5"/>
        <v>22.28630642330463</v>
      </c>
      <c r="D95" s="17">
        <f t="shared" si="7"/>
        <v>24.762562692560699</v>
      </c>
      <c r="E95" s="17">
        <f t="shared" si="6"/>
        <v>27.238818961816769</v>
      </c>
      <c r="F95" s="2">
        <v>25.854900000000001</v>
      </c>
      <c r="G95" s="2" t="str">
        <f t="shared" si="4"/>
        <v>Pass</v>
      </c>
      <c r="Y95" s="2">
        <v>80</v>
      </c>
      <c r="Z95" s="2">
        <v>0.33410000000000001</v>
      </c>
      <c r="AA95" s="2">
        <v>0.34910000000000002</v>
      </c>
      <c r="AB95" s="2">
        <v>26.8231</v>
      </c>
    </row>
    <row r="96" spans="2:28" x14ac:dyDescent="0.4">
      <c r="B96" s="11">
        <v>79</v>
      </c>
      <c r="C96" s="16">
        <f t="shared" si="5"/>
        <v>22.801471213926703</v>
      </c>
      <c r="D96" s="17">
        <f t="shared" si="7"/>
        <v>25.334968015474114</v>
      </c>
      <c r="E96" s="17">
        <f t="shared" si="6"/>
        <v>27.868464817021525</v>
      </c>
      <c r="F96" s="2">
        <v>26.055299999999999</v>
      </c>
      <c r="G96" s="2" t="str">
        <f t="shared" si="4"/>
        <v>Pass</v>
      </c>
      <c r="Y96" s="2">
        <v>81</v>
      </c>
      <c r="Z96" s="2">
        <v>0.33400000000000002</v>
      </c>
      <c r="AA96" s="2">
        <v>0.34839999999999999</v>
      </c>
      <c r="AB96" s="2">
        <v>27.351299999999998</v>
      </c>
    </row>
    <row r="97" spans="2:28" x14ac:dyDescent="0.4">
      <c r="B97" s="11">
        <v>80</v>
      </c>
      <c r="C97" s="16">
        <f t="shared" si="5"/>
        <v>23.321861726325999</v>
      </c>
      <c r="D97" s="17">
        <f t="shared" si="7"/>
        <v>25.913179695917776</v>
      </c>
      <c r="E97" s="17">
        <f t="shared" si="6"/>
        <v>28.504497665509554</v>
      </c>
      <c r="F97" s="2">
        <v>26.8231</v>
      </c>
      <c r="G97" s="2" t="str">
        <f t="shared" si="4"/>
        <v>Pass</v>
      </c>
      <c r="Y97" s="2">
        <v>82</v>
      </c>
      <c r="Z97" s="2">
        <v>0.33239999999999997</v>
      </c>
      <c r="AA97" s="2">
        <v>0.34889999999999999</v>
      </c>
      <c r="AB97" s="2">
        <v>27.9023</v>
      </c>
    </row>
    <row r="98" spans="2:28" x14ac:dyDescent="0.4">
      <c r="B98" s="11">
        <v>81</v>
      </c>
      <c r="C98" s="16">
        <f t="shared" si="5"/>
        <v>23.847464873801755</v>
      </c>
      <c r="D98" s="17">
        <f t="shared" si="7"/>
        <v>26.497183193113059</v>
      </c>
      <c r="E98" s="17">
        <f t="shared" si="6"/>
        <v>29.146901512424364</v>
      </c>
      <c r="F98" s="2">
        <v>27.351299999999998</v>
      </c>
      <c r="G98" s="2" t="str">
        <f t="shared" si="4"/>
        <v>Pass</v>
      </c>
      <c r="Y98" s="2">
        <v>83</v>
      </c>
      <c r="Z98" s="2">
        <v>0.33260000000000001</v>
      </c>
      <c r="AA98" s="2">
        <v>0.35089999999999999</v>
      </c>
      <c r="AB98" s="2">
        <v>28.487200000000001</v>
      </c>
    </row>
    <row r="99" spans="2:28" x14ac:dyDescent="0.4">
      <c r="B99" s="11">
        <v>82</v>
      </c>
      <c r="C99" s="16">
        <f t="shared" si="5"/>
        <v>24.378267763865431</v>
      </c>
      <c r="D99" s="17">
        <f t="shared" si="7"/>
        <v>27.086964182072702</v>
      </c>
      <c r="E99" s="17">
        <f t="shared" si="6"/>
        <v>29.795660600279973</v>
      </c>
      <c r="F99" s="2">
        <v>27.9023</v>
      </c>
      <c r="G99" s="2" t="str">
        <f t="shared" si="4"/>
        <v>Pass</v>
      </c>
      <c r="Y99" s="2">
        <v>84</v>
      </c>
      <c r="Z99" s="2">
        <v>0.33260000000000001</v>
      </c>
      <c r="AA99" s="2">
        <v>0.35060000000000002</v>
      </c>
      <c r="AB99" s="2">
        <v>28.9634</v>
      </c>
    </row>
    <row r="100" spans="2:28" x14ac:dyDescent="0.4">
      <c r="B100" s="11">
        <v>83</v>
      </c>
      <c r="C100" s="16">
        <f t="shared" si="5"/>
        <v>24.914257693021064</v>
      </c>
      <c r="D100" s="17">
        <f t="shared" si="7"/>
        <v>27.682508547801184</v>
      </c>
      <c r="E100" s="17">
        <f t="shared" si="6"/>
        <v>30.450759402581305</v>
      </c>
      <c r="F100" s="2">
        <v>28.487200000000001</v>
      </c>
      <c r="G100" s="2" t="str">
        <f t="shared" si="4"/>
        <v>Pass</v>
      </c>
      <c r="Y100" s="2">
        <v>85</v>
      </c>
      <c r="Z100" s="2">
        <v>0.33329999999999999</v>
      </c>
      <c r="AA100" s="2">
        <v>0.34810000000000002</v>
      </c>
      <c r="AB100" s="2">
        <v>29.1341</v>
      </c>
    </row>
    <row r="101" spans="2:28" x14ac:dyDescent="0.4">
      <c r="B101" s="11">
        <v>84</v>
      </c>
      <c r="C101" s="16">
        <f t="shared" si="5"/>
        <v>25.45542214174721</v>
      </c>
      <c r="D101" s="17">
        <f t="shared" si="7"/>
        <v>28.283802379719123</v>
      </c>
      <c r="E101" s="17">
        <f t="shared" si="6"/>
        <v>31.112182617691037</v>
      </c>
      <c r="F101" s="2">
        <v>28.9634</v>
      </c>
      <c r="G101" s="2" t="str">
        <f t="shared" si="4"/>
        <v>Pass</v>
      </c>
      <c r="Y101" s="2">
        <v>86</v>
      </c>
      <c r="Z101" s="2">
        <v>0.33439999999999998</v>
      </c>
      <c r="AA101" s="2">
        <v>0.35110000000000002</v>
      </c>
      <c r="AB101" s="2">
        <v>29.770299999999999</v>
      </c>
    </row>
    <row r="102" spans="2:28" x14ac:dyDescent="0.4">
      <c r="B102" s="11">
        <v>85</v>
      </c>
      <c r="C102" s="16">
        <f t="shared" si="5"/>
        <v>26.001748769670428</v>
      </c>
      <c r="D102" s="17">
        <f t="shared" si="7"/>
        <v>28.890831966300475</v>
      </c>
      <c r="E102" s="17">
        <f t="shared" si="6"/>
        <v>31.779915162930521</v>
      </c>
      <c r="F102" s="2">
        <v>29.1341</v>
      </c>
      <c r="G102" s="2" t="str">
        <f t="shared" si="4"/>
        <v>Pass</v>
      </c>
      <c r="Y102" s="2">
        <v>87</v>
      </c>
      <c r="Z102" s="2">
        <v>0.33429999999999999</v>
      </c>
      <c r="AA102" s="2">
        <v>0.35070000000000001</v>
      </c>
      <c r="AB102" s="2">
        <v>30.564499999999999</v>
      </c>
    </row>
    <row r="103" spans="2:28" x14ac:dyDescent="0.4">
      <c r="B103" s="11">
        <v>86</v>
      </c>
      <c r="C103" s="16">
        <f t="shared" si="5"/>
        <v>26.553225410920646</v>
      </c>
      <c r="D103" s="17">
        <f t="shared" si="7"/>
        <v>29.503583789911829</v>
      </c>
      <c r="E103" s="17">
        <f t="shared" si="6"/>
        <v>32.453942168903012</v>
      </c>
      <c r="F103" s="2">
        <v>29.770299999999999</v>
      </c>
      <c r="G103" s="2" t="str">
        <f t="shared" si="4"/>
        <v>Pass</v>
      </c>
      <c r="Y103" s="2">
        <v>88</v>
      </c>
      <c r="Z103" s="2">
        <v>0.33400000000000002</v>
      </c>
      <c r="AA103" s="2">
        <v>0.35070000000000001</v>
      </c>
      <c r="AB103" s="2">
        <v>31.1846</v>
      </c>
    </row>
    <row r="104" spans="2:28" x14ac:dyDescent="0.4">
      <c r="B104" s="11">
        <v>87</v>
      </c>
      <c r="C104" s="16">
        <f t="shared" si="5"/>
        <v>27.109840069659757</v>
      </c>
      <c r="D104" s="17">
        <f t="shared" si="7"/>
        <v>30.122044521844174</v>
      </c>
      <c r="E104" s="17">
        <f t="shared" si="6"/>
        <v>33.134248974028594</v>
      </c>
      <c r="F104" s="2">
        <v>30.564499999999999</v>
      </c>
      <c r="G104" s="2" t="str">
        <f t="shared" si="4"/>
        <v>Pass</v>
      </c>
      <c r="Y104" s="2">
        <v>89</v>
      </c>
      <c r="Z104" s="2">
        <v>0.33189999999999997</v>
      </c>
      <c r="AA104" s="2">
        <v>0.34899999999999998</v>
      </c>
      <c r="AB104" s="2">
        <v>31.731999999999999</v>
      </c>
    </row>
    <row r="105" spans="2:28" x14ac:dyDescent="0.4">
      <c r="B105" s="11">
        <v>88</v>
      </c>
      <c r="C105" s="16">
        <f t="shared" si="5"/>
        <v>27.671580915774996</v>
      </c>
      <c r="D105" s="17">
        <f t="shared" si="7"/>
        <v>30.746201017527774</v>
      </c>
      <c r="E105" s="17">
        <f t="shared" si="6"/>
        <v>33.820821119280552</v>
      </c>
      <c r="F105" s="2">
        <v>31.1846</v>
      </c>
      <c r="G105" s="2" t="str">
        <f t="shared" si="4"/>
        <v>Pass</v>
      </c>
      <c r="Y105" s="2">
        <v>90</v>
      </c>
      <c r="Z105" s="2">
        <v>0.33389999999999997</v>
      </c>
      <c r="AA105" s="2">
        <v>0.35</v>
      </c>
      <c r="AB105" s="2">
        <v>31.9695</v>
      </c>
    </row>
    <row r="106" spans="2:28" x14ac:dyDescent="0.4">
      <c r="B106" s="11">
        <v>89</v>
      </c>
      <c r="C106" s="16">
        <f t="shared" si="5"/>
        <v>28.238436280729005</v>
      </c>
      <c r="D106" s="17">
        <f t="shared" si="7"/>
        <v>31.376040311921116</v>
      </c>
      <c r="E106" s="17">
        <f t="shared" si="6"/>
        <v>34.513644343113228</v>
      </c>
      <c r="F106" s="2">
        <v>31.731999999999999</v>
      </c>
      <c r="G106" s="2" t="str">
        <f t="shared" si="4"/>
        <v>Pass</v>
      </c>
      <c r="Y106" s="2">
        <v>91</v>
      </c>
      <c r="Z106" s="2">
        <v>0.33360000000000001</v>
      </c>
      <c r="AA106" s="2">
        <v>0.3498</v>
      </c>
      <c r="AB106" s="2">
        <v>32.596600000000002</v>
      </c>
    </row>
    <row r="107" spans="2:28" x14ac:dyDescent="0.4">
      <c r="B107" s="11">
        <v>90</v>
      </c>
      <c r="C107" s="16">
        <f t="shared" si="5"/>
        <v>28.810394653559548</v>
      </c>
      <c r="D107" s="17">
        <f t="shared" si="7"/>
        <v>32.011549615066166</v>
      </c>
      <c r="E107" s="17">
        <f t="shared" si="6"/>
        <v>35.212704576572783</v>
      </c>
      <c r="F107" s="2">
        <v>31.9695</v>
      </c>
      <c r="G107" s="2" t="str">
        <f t="shared" si="4"/>
        <v>Pass</v>
      </c>
      <c r="Y107" s="2">
        <v>92</v>
      </c>
      <c r="Z107" s="2">
        <v>0.33339999999999997</v>
      </c>
      <c r="AA107" s="2">
        <v>0.34970000000000001</v>
      </c>
      <c r="AB107" s="2">
        <v>33.398499999999999</v>
      </c>
    </row>
    <row r="108" spans="2:28" x14ac:dyDescent="0.4">
      <c r="B108" s="11">
        <v>91</v>
      </c>
      <c r="C108" s="16">
        <f t="shared" si="5"/>
        <v>29.38744467702147</v>
      </c>
      <c r="D108" s="17">
        <f t="shared" si="7"/>
        <v>32.652716307801633</v>
      </c>
      <c r="E108" s="17">
        <f t="shared" si="6"/>
        <v>35.917987938581796</v>
      </c>
      <c r="F108" s="2">
        <v>32.596600000000002</v>
      </c>
      <c r="G108" s="2" t="str">
        <f t="shared" si="4"/>
        <v>Pass</v>
      </c>
      <c r="Y108" s="2">
        <v>93</v>
      </c>
      <c r="Z108" s="2">
        <v>0.33329999999999999</v>
      </c>
      <c r="AA108" s="2">
        <v>0.34949999999999998</v>
      </c>
      <c r="AB108" s="2">
        <v>34.035400000000003</v>
      </c>
    </row>
    <row r="109" spans="2:28" x14ac:dyDescent="0.4">
      <c r="B109" s="11">
        <v>92</v>
      </c>
      <c r="C109" s="16">
        <f t="shared" si="5"/>
        <v>29.969575143864834</v>
      </c>
      <c r="D109" s="17">
        <f t="shared" si="7"/>
        <v>33.299527937627595</v>
      </c>
      <c r="E109" s="17">
        <f t="shared" si="6"/>
        <v>36.629480731390352</v>
      </c>
      <c r="F109" s="2">
        <v>33.398499999999999</v>
      </c>
      <c r="G109" s="2" t="str">
        <f t="shared" si="4"/>
        <v>Pass</v>
      </c>
      <c r="Y109" s="2">
        <v>94</v>
      </c>
      <c r="Z109" s="2">
        <v>0.33460000000000001</v>
      </c>
      <c r="AA109" s="2">
        <v>0.35199999999999998</v>
      </c>
      <c r="AB109" s="2">
        <v>34.669499999999999</v>
      </c>
    </row>
    <row r="110" spans="2:28" x14ac:dyDescent="0.4">
      <c r="B110" s="11">
        <v>93</v>
      </c>
      <c r="C110" s="16">
        <f t="shared" si="5"/>
        <v>30.556774993242406</v>
      </c>
      <c r="D110" s="17">
        <f t="shared" si="7"/>
        <v>33.951972214713784</v>
      </c>
      <c r="E110" s="17">
        <f t="shared" si="6"/>
        <v>37.347169436185162</v>
      </c>
      <c r="F110" s="2">
        <v>34.035400000000003</v>
      </c>
      <c r="G110" s="2" t="str">
        <f t="shared" si="4"/>
        <v>Pass</v>
      </c>
      <c r="Y110" s="2">
        <v>95</v>
      </c>
      <c r="Z110" s="2">
        <v>0.33439999999999998</v>
      </c>
      <c r="AA110" s="2">
        <v>0.35189999999999999</v>
      </c>
      <c r="AB110" s="2">
        <v>35.563600000000001</v>
      </c>
    </row>
    <row r="111" spans="2:28" x14ac:dyDescent="0.4">
      <c r="B111" s="11">
        <v>94</v>
      </c>
      <c r="C111" s="16">
        <f t="shared" si="5"/>
        <v>31.14903330724119</v>
      </c>
      <c r="D111" s="17">
        <f t="shared" si="7"/>
        <v>34.610037008045765</v>
      </c>
      <c r="E111" s="17">
        <f t="shared" si="6"/>
        <v>38.07104070885034</v>
      </c>
      <c r="F111" s="2">
        <v>34.669499999999999</v>
      </c>
      <c r="G111" s="2" t="str">
        <f t="shared" si="4"/>
        <v>Pass</v>
      </c>
      <c r="Y111" s="2">
        <v>96</v>
      </c>
      <c r="Z111" s="2">
        <v>0.33289999999999997</v>
      </c>
      <c r="AA111" s="2">
        <v>0.34739999999999999</v>
      </c>
      <c r="AB111" s="2">
        <v>35.759599999999999</v>
      </c>
    </row>
    <row r="112" spans="2:28" x14ac:dyDescent="0.4">
      <c r="B112" s="11">
        <v>95</v>
      </c>
      <c r="C112" s="16">
        <f t="shared" si="5"/>
        <v>31.746339307531972</v>
      </c>
      <c r="D112" s="17">
        <f t="shared" si="7"/>
        <v>35.273710341702191</v>
      </c>
      <c r="E112" s="17">
        <f t="shared" si="6"/>
        <v>38.801081375872414</v>
      </c>
      <c r="F112" s="2">
        <v>35.563600000000001</v>
      </c>
      <c r="G112" s="2" t="str">
        <f t="shared" si="4"/>
        <v>Pass</v>
      </c>
      <c r="Y112" s="2">
        <v>97</v>
      </c>
      <c r="Z112" s="2">
        <v>0.3347</v>
      </c>
      <c r="AA112" s="2">
        <v>0.35</v>
      </c>
      <c r="AB112" s="2">
        <v>36.454500000000003</v>
      </c>
    </row>
    <row r="113" spans="2:28" x14ac:dyDescent="0.4">
      <c r="B113" s="11">
        <v>96</v>
      </c>
      <c r="C113" s="16">
        <f t="shared" si="5"/>
        <v>32.348682352132215</v>
      </c>
      <c r="D113" s="17">
        <f t="shared" si="7"/>
        <v>35.942980391258018</v>
      </c>
      <c r="E113" s="17">
        <f t="shared" si="6"/>
        <v>39.537278430383822</v>
      </c>
      <c r="F113" s="2">
        <v>35.759599999999999</v>
      </c>
      <c r="G113" s="2" t="str">
        <f t="shared" si="4"/>
        <v>Pass</v>
      </c>
      <c r="Y113" s="2">
        <v>98</v>
      </c>
      <c r="Z113" s="2">
        <v>0.33339999999999997</v>
      </c>
      <c r="AA113" s="2">
        <v>0.35039999999999999</v>
      </c>
      <c r="AB113" s="2">
        <v>37.115400000000001</v>
      </c>
    </row>
    <row r="114" spans="2:28" x14ac:dyDescent="0.4">
      <c r="B114" s="11">
        <v>97</v>
      </c>
      <c r="C114" s="16">
        <f t="shared" si="5"/>
        <v>32.956051932276758</v>
      </c>
      <c r="D114" s="17">
        <f t="shared" si="7"/>
        <v>36.617835480307505</v>
      </c>
      <c r="E114" s="17">
        <f t="shared" si="6"/>
        <v>40.279619028338253</v>
      </c>
      <c r="F114" s="2">
        <v>36.454500000000003</v>
      </c>
      <c r="G114" s="2" t="str">
        <f t="shared" si="4"/>
        <v>Pass</v>
      </c>
      <c r="Y114" s="2">
        <v>99</v>
      </c>
      <c r="Z114" s="2">
        <v>0.33329999999999999</v>
      </c>
      <c r="AA114" s="2">
        <v>0.35039999999999999</v>
      </c>
      <c r="AB114" s="2">
        <v>37.757800000000003</v>
      </c>
    </row>
    <row r="115" spans="2:28" x14ac:dyDescent="0.4">
      <c r="B115" s="11">
        <v>98</v>
      </c>
      <c r="C115" s="16">
        <f t="shared" si="5"/>
        <v>33.568437669391933</v>
      </c>
      <c r="D115" s="17">
        <f t="shared" si="7"/>
        <v>37.298264077102147</v>
      </c>
      <c r="E115" s="17">
        <f t="shared" si="6"/>
        <v>41.02809048481236</v>
      </c>
      <c r="F115" s="2">
        <v>37.115400000000001</v>
      </c>
      <c r="G115" s="2" t="str">
        <f t="shared" si="4"/>
        <v>Pass</v>
      </c>
      <c r="Y115" s="2">
        <v>100</v>
      </c>
      <c r="Z115" s="2">
        <v>0.33300000000000002</v>
      </c>
      <c r="AA115" s="2">
        <v>0.35039999999999999</v>
      </c>
      <c r="AB115" s="2">
        <v>38.447899999999997</v>
      </c>
    </row>
    <row r="116" spans="2:28" x14ac:dyDescent="0.4">
      <c r="B116" s="11">
        <v>99</v>
      </c>
      <c r="C116" s="16">
        <f t="shared" si="5"/>
        <v>34.185829312168771</v>
      </c>
      <c r="D116" s="17">
        <f t="shared" si="7"/>
        <v>37.984254791298632</v>
      </c>
      <c r="E116" s="17">
        <f t="shared" si="6"/>
        <v>41.782680270428493</v>
      </c>
      <c r="F116" s="2">
        <v>37.757800000000003</v>
      </c>
      <c r="G116" s="2" t="str">
        <f t="shared" si="4"/>
        <v>Pass</v>
      </c>
      <c r="Y116" s="2">
        <v>101</v>
      </c>
      <c r="Z116" s="2">
        <v>0.33350000000000002</v>
      </c>
      <c r="AA116" s="2">
        <v>0.35149999999999998</v>
      </c>
      <c r="AB116" s="2">
        <v>39.259700000000002</v>
      </c>
    </row>
    <row r="117" spans="2:28" x14ac:dyDescent="0.4">
      <c r="B117" s="11">
        <v>100</v>
      </c>
      <c r="C117" s="16">
        <f t="shared" si="5"/>
        <v>34.808216733730816</v>
      </c>
      <c r="D117" s="17">
        <f t="shared" si="7"/>
        <v>38.675796370812016</v>
      </c>
      <c r="E117" s="17">
        <f t="shared" si="6"/>
        <v>42.543376007893215</v>
      </c>
      <c r="F117" s="2">
        <v>38.447899999999997</v>
      </c>
      <c r="G117" s="2" t="str">
        <f t="shared" si="4"/>
        <v>Pass</v>
      </c>
      <c r="Y117" s="2">
        <v>102</v>
      </c>
      <c r="Z117" s="2">
        <v>0.33339999999999997</v>
      </c>
      <c r="AA117" s="2">
        <v>0.35139999999999999</v>
      </c>
      <c r="AB117" s="2">
        <v>39.939</v>
      </c>
    </row>
    <row r="118" spans="2:28" x14ac:dyDescent="0.4">
      <c r="B118" s="11">
        <v>101</v>
      </c>
      <c r="C118" s="16">
        <f t="shared" si="5"/>
        <v>35.435589928892789</v>
      </c>
      <c r="D118" s="17">
        <f t="shared" si="7"/>
        <v>39.372877698769763</v>
      </c>
      <c r="E118" s="17">
        <f t="shared" si="6"/>
        <v>43.310165468646737</v>
      </c>
      <c r="F118" s="2">
        <v>39.259700000000002</v>
      </c>
      <c r="G118" s="2" t="str">
        <f t="shared" si="4"/>
        <v>Pass</v>
      </c>
      <c r="Y118" s="2">
        <v>103</v>
      </c>
      <c r="Z118" s="2">
        <v>0.33329999999999999</v>
      </c>
      <c r="AA118" s="2">
        <v>0.35110000000000002</v>
      </c>
      <c r="AB118" s="2">
        <v>40.608199999999997</v>
      </c>
    </row>
    <row r="119" spans="2:28" x14ac:dyDescent="0.4">
      <c r="B119" s="11">
        <v>102</v>
      </c>
      <c r="C119" s="16">
        <f t="shared" si="5"/>
        <v>36.067939011506134</v>
      </c>
      <c r="D119" s="17">
        <f t="shared" si="7"/>
        <v>40.07548779056237</v>
      </c>
      <c r="E119" s="17">
        <f t="shared" si="6"/>
        <v>44.083036569618606</v>
      </c>
      <c r="F119" s="2">
        <v>39.939</v>
      </c>
      <c r="G119" s="2" t="str">
        <f t="shared" si="4"/>
        <v>Pass</v>
      </c>
      <c r="Y119" s="2">
        <v>104</v>
      </c>
      <c r="Z119" s="2">
        <v>0.33379999999999999</v>
      </c>
      <c r="AA119" s="2">
        <v>0.34899999999999998</v>
      </c>
      <c r="AB119" s="2">
        <v>40.841799999999999</v>
      </c>
    </row>
    <row r="120" spans="2:28" x14ac:dyDescent="0.4">
      <c r="B120" s="11">
        <v>103</v>
      </c>
      <c r="C120" s="16">
        <f t="shared" si="5"/>
        <v>36.705254211887997</v>
      </c>
      <c r="D120" s="17">
        <f t="shared" si="7"/>
        <v>40.783615790986666</v>
      </c>
      <c r="E120" s="17">
        <f t="shared" si="6"/>
        <v>44.861977370085334</v>
      </c>
      <c r="F120" s="2">
        <v>40.608199999999997</v>
      </c>
      <c r="G120" s="2" t="str">
        <f t="shared" si="4"/>
        <v>Pass</v>
      </c>
      <c r="Y120" s="2">
        <v>105</v>
      </c>
      <c r="Z120" s="2">
        <v>0.33479999999999999</v>
      </c>
      <c r="AA120" s="2">
        <v>0.35149999999999998</v>
      </c>
      <c r="AB120" s="2">
        <v>41.831899999999997</v>
      </c>
    </row>
    <row r="121" spans="2:28" x14ac:dyDescent="0.4">
      <c r="B121" s="11">
        <v>104</v>
      </c>
      <c r="C121" s="16">
        <f t="shared" si="5"/>
        <v>37.347525874330323</v>
      </c>
      <c r="D121" s="17">
        <f t="shared" si="7"/>
        <v>41.497250971478138</v>
      </c>
      <c r="E121" s="17">
        <f t="shared" si="6"/>
        <v>45.646976068625953</v>
      </c>
      <c r="F121" s="2">
        <v>40.841799999999999</v>
      </c>
      <c r="G121" s="2" t="str">
        <f t="shared" si="4"/>
        <v>Pass</v>
      </c>
      <c r="Y121" s="2">
        <v>106</v>
      </c>
      <c r="Z121" s="2">
        <v>0.33450000000000002</v>
      </c>
      <c r="AA121" s="2">
        <v>0.3513</v>
      </c>
      <c r="AB121" s="2">
        <v>42.553699999999999</v>
      </c>
    </row>
    <row r="122" spans="2:28" x14ac:dyDescent="0.4">
      <c r="B122" s="11">
        <v>105</v>
      </c>
      <c r="C122" s="16">
        <f t="shared" si="5"/>
        <v>37.994744454685431</v>
      </c>
      <c r="D122" s="17">
        <f t="shared" si="7"/>
        <v>42.216382727428261</v>
      </c>
      <c r="E122" s="17">
        <f t="shared" si="6"/>
        <v>46.438021000171091</v>
      </c>
      <c r="F122" s="2">
        <v>41.831899999999997</v>
      </c>
      <c r="G122" s="2" t="str">
        <f t="shared" si="4"/>
        <v>Pass</v>
      </c>
      <c r="Y122" s="2">
        <v>107</v>
      </c>
      <c r="Z122" s="2">
        <v>0.3342</v>
      </c>
      <c r="AA122" s="2">
        <v>0.35110000000000002</v>
      </c>
      <c r="AB122" s="2">
        <v>43.253799999999998</v>
      </c>
    </row>
    <row r="123" spans="2:28" x14ac:dyDescent="0.4">
      <c r="B123" s="11">
        <v>106</v>
      </c>
      <c r="C123" s="16">
        <f t="shared" si="5"/>
        <v>38.646900518025568</v>
      </c>
      <c r="D123" s="17">
        <f t="shared" si="7"/>
        <v>42.941000575583963</v>
      </c>
      <c r="E123" s="17">
        <f t="shared" si="6"/>
        <v>47.235100633142359</v>
      </c>
      <c r="F123" s="2">
        <v>42.553699999999999</v>
      </c>
      <c r="G123" s="2" t="str">
        <f t="shared" si="4"/>
        <v>Pass</v>
      </c>
      <c r="Y123" s="2">
        <v>108</v>
      </c>
      <c r="Z123" s="2">
        <v>0.33389999999999997</v>
      </c>
      <c r="AA123" s="2">
        <v>0.35049999999999998</v>
      </c>
      <c r="AB123" s="2">
        <v>44.207999999999998</v>
      </c>
    </row>
    <row r="124" spans="2:28" x14ac:dyDescent="0.4">
      <c r="B124" s="11">
        <v>107</v>
      </c>
      <c r="C124" s="16">
        <f t="shared" si="5"/>
        <v>39.30398473637289</v>
      </c>
      <c r="D124" s="17">
        <f t="shared" si="7"/>
        <v>43.671094151525431</v>
      </c>
      <c r="E124" s="17">
        <f t="shared" si="6"/>
        <v>48.038203566677971</v>
      </c>
      <c r="F124" s="2">
        <v>43.253799999999998</v>
      </c>
      <c r="G124" s="2" t="str">
        <f t="shared" si="4"/>
        <v>Pass</v>
      </c>
      <c r="Y124" s="2">
        <v>109</v>
      </c>
      <c r="Z124" s="2">
        <v>0.33439999999999998</v>
      </c>
      <c r="AA124" s="2">
        <v>0.35139999999999999</v>
      </c>
      <c r="AB124" s="2">
        <v>44.9054</v>
      </c>
    </row>
    <row r="125" spans="2:28" x14ac:dyDescent="0.4">
      <c r="B125" s="11">
        <v>108</v>
      </c>
      <c r="C125" s="16">
        <f t="shared" si="5"/>
        <v>39.965987886497807</v>
      </c>
      <c r="D125" s="17">
        <f t="shared" si="7"/>
        <v>44.406653207219783</v>
      </c>
      <c r="E125" s="17">
        <f t="shared" si="6"/>
        <v>48.847318527941759</v>
      </c>
      <c r="F125" s="2">
        <v>44.207999999999998</v>
      </c>
      <c r="G125" s="2" t="str">
        <f t="shared" si="4"/>
        <v>Pass</v>
      </c>
      <c r="Y125" s="2">
        <v>110</v>
      </c>
      <c r="Z125" s="2">
        <v>0.33410000000000001</v>
      </c>
      <c r="AA125" s="2">
        <v>0.35120000000000001</v>
      </c>
      <c r="AB125" s="2">
        <v>45.910400000000003</v>
      </c>
    </row>
    <row r="126" spans="2:28" x14ac:dyDescent="0.4">
      <c r="B126" s="11">
        <v>109</v>
      </c>
      <c r="C126" s="16">
        <f t="shared" si="5"/>
        <v>40.632900847782317</v>
      </c>
      <c r="D126" s="17">
        <f t="shared" si="7"/>
        <v>45.147667608647019</v>
      </c>
      <c r="E126" s="17">
        <f t="shared" si="6"/>
        <v>49.662434369511722</v>
      </c>
      <c r="F126" s="2">
        <v>44.9054</v>
      </c>
      <c r="G126" s="2" t="str">
        <f t="shared" si="4"/>
        <v>Pass</v>
      </c>
      <c r="Y126" s="2">
        <v>111</v>
      </c>
      <c r="Z126" s="2">
        <v>0.33389999999999997</v>
      </c>
      <c r="AA126" s="2">
        <v>0.3508</v>
      </c>
      <c r="AB126" s="2">
        <v>46.638199999999998</v>
      </c>
    </row>
    <row r="127" spans="2:28" x14ac:dyDescent="0.4">
      <c r="B127" s="11">
        <v>110</v>
      </c>
      <c r="C127" s="16">
        <f t="shared" si="5"/>
        <v>41.304714600146319</v>
      </c>
      <c r="D127" s="17">
        <f t="shared" si="7"/>
        <v>45.894127333495909</v>
      </c>
      <c r="E127" s="17">
        <f t="shared" si="6"/>
        <v>50.483540066845499</v>
      </c>
      <c r="F127" s="2">
        <v>45.910400000000003</v>
      </c>
      <c r="G127" s="2" t="str">
        <f t="shared" si="4"/>
        <v>Pass</v>
      </c>
      <c r="Y127" s="2">
        <v>112</v>
      </c>
      <c r="Z127" s="2">
        <v>0.33450000000000002</v>
      </c>
      <c r="AA127" s="2">
        <v>0.3488</v>
      </c>
      <c r="AB127" s="2">
        <v>46.8596</v>
      </c>
    </row>
    <row r="128" spans="2:28" x14ac:dyDescent="0.4">
      <c r="B128" s="11">
        <v>111</v>
      </c>
      <c r="C128" s="16">
        <f t="shared" si="5"/>
        <v>41.981420222034245</v>
      </c>
      <c r="D128" s="17">
        <f t="shared" si="7"/>
        <v>46.646022468926937</v>
      </c>
      <c r="E128" s="17">
        <f t="shared" si="6"/>
        <v>51.310624715819628</v>
      </c>
      <c r="F128" s="2">
        <v>46.638199999999998</v>
      </c>
      <c r="G128" s="2" t="str">
        <f t="shared" si="4"/>
        <v>Pass</v>
      </c>
      <c r="Y128" s="2">
        <v>113</v>
      </c>
      <c r="Z128" s="2">
        <v>0.33429999999999999</v>
      </c>
      <c r="AA128" s="2">
        <v>0.3488</v>
      </c>
      <c r="AB128" s="2">
        <v>47.601199999999999</v>
      </c>
    </row>
    <row r="129" spans="2:28" x14ac:dyDescent="0.4">
      <c r="B129" s="11">
        <v>112</v>
      </c>
      <c r="C129" s="16">
        <f t="shared" si="5"/>
        <v>42.663008888459927</v>
      </c>
      <c r="D129" s="17">
        <f t="shared" si="7"/>
        <v>47.403343209399921</v>
      </c>
      <c r="E129" s="17">
        <f t="shared" si="6"/>
        <v>52.143677530339914</v>
      </c>
      <c r="F129" s="2">
        <v>46.8596</v>
      </c>
      <c r="G129" s="2" t="str">
        <f t="shared" si="4"/>
        <v>Pass</v>
      </c>
      <c r="Y129" s="2">
        <v>114</v>
      </c>
      <c r="Z129" s="2">
        <v>0.33510000000000001</v>
      </c>
      <c r="AA129" s="2">
        <v>0.35099999999999998</v>
      </c>
      <c r="AB129" s="2">
        <v>48.616999999999997</v>
      </c>
    </row>
    <row r="130" spans="2:28" x14ac:dyDescent="0.4">
      <c r="B130" s="11">
        <v>113</v>
      </c>
      <c r="C130" s="16">
        <f t="shared" si="5"/>
        <v>43.349471869107262</v>
      </c>
      <c r="D130" s="17">
        <f t="shared" si="7"/>
        <v>48.166079854563627</v>
      </c>
      <c r="E130" s="17">
        <f t="shared" si="6"/>
        <v>52.982687840019992</v>
      </c>
      <c r="F130" s="2">
        <v>47.601199999999999</v>
      </c>
      <c r="G130" s="2" t="str">
        <f t="shared" si="4"/>
        <v>Pass</v>
      </c>
      <c r="Y130" s="2">
        <v>115</v>
      </c>
      <c r="Z130" s="2">
        <v>0.33500000000000002</v>
      </c>
      <c r="AA130" s="2">
        <v>0.35089999999999999</v>
      </c>
      <c r="AB130" s="2">
        <v>49.383000000000003</v>
      </c>
    </row>
    <row r="131" spans="2:28" x14ac:dyDescent="0.4">
      <c r="B131" s="11">
        <v>114</v>
      </c>
      <c r="C131" s="16">
        <f t="shared" si="5"/>
        <v>44.040800526484787</v>
      </c>
      <c r="D131" s="17">
        <f t="shared" si="7"/>
        <v>48.934222807205316</v>
      </c>
      <c r="E131" s="17">
        <f t="shared" si="6"/>
        <v>53.827645087925845</v>
      </c>
      <c r="F131" s="2">
        <v>48.616999999999997</v>
      </c>
      <c r="G131" s="2" t="str">
        <f t="shared" si="4"/>
        <v>Pass</v>
      </c>
      <c r="Y131" s="2">
        <v>116</v>
      </c>
      <c r="Z131" s="2">
        <v>0.33479999999999999</v>
      </c>
      <c r="AA131" s="2">
        <v>0.3508</v>
      </c>
      <c r="AB131" s="2">
        <v>50.137099999999997</v>
      </c>
    </row>
    <row r="132" spans="2:28" x14ac:dyDescent="0.4">
      <c r="B132" s="11">
        <v>115</v>
      </c>
      <c r="C132" s="16">
        <f t="shared" si="5"/>
        <v>44.73698631413216</v>
      </c>
      <c r="D132" s="17">
        <f t="shared" si="7"/>
        <v>49.707762571257959</v>
      </c>
      <c r="E132" s="17">
        <f t="shared" si="6"/>
        <v>54.678538828383758</v>
      </c>
      <c r="F132" s="2">
        <v>49.383000000000003</v>
      </c>
      <c r="G132" s="2" t="str">
        <f t="shared" si="4"/>
        <v>Pass</v>
      </c>
      <c r="Y132" s="2">
        <v>117</v>
      </c>
      <c r="Z132" s="2">
        <v>0.33460000000000001</v>
      </c>
      <c r="AA132" s="2">
        <v>0.35039999999999999</v>
      </c>
      <c r="AB132" s="2">
        <v>51.163400000000003</v>
      </c>
    </row>
    <row r="133" spans="2:28" x14ac:dyDescent="0.4">
      <c r="B133" s="11">
        <v>116</v>
      </c>
      <c r="C133" s="16">
        <f t="shared" si="5"/>
        <v>45.438020774876577</v>
      </c>
      <c r="D133" s="17">
        <f t="shared" si="7"/>
        <v>50.486689749862862</v>
      </c>
      <c r="E133" s="17">
        <f t="shared" si="6"/>
        <v>55.535358724849146</v>
      </c>
      <c r="F133" s="2">
        <v>50.137099999999997</v>
      </c>
      <c r="G133" s="2" t="str">
        <f t="shared" si="4"/>
        <v>Pass</v>
      </c>
      <c r="Y133" s="2">
        <v>118</v>
      </c>
      <c r="Z133" s="2">
        <v>0.33279999999999998</v>
      </c>
      <c r="AA133" s="2">
        <v>0.34970000000000001</v>
      </c>
      <c r="AB133" s="2">
        <v>51.927399999999999</v>
      </c>
    </row>
    <row r="134" spans="2:28" x14ac:dyDescent="0.4">
      <c r="B134" s="11">
        <v>117</v>
      </c>
      <c r="C134" s="16">
        <f t="shared" si="5"/>
        <v>46.143895539137283</v>
      </c>
      <c r="D134" s="17">
        <f t="shared" si="7"/>
        <v>51.270995043485868</v>
      </c>
      <c r="E134" s="17">
        <f t="shared" si="6"/>
        <v>56.398094547834454</v>
      </c>
      <c r="F134" s="2">
        <v>51.163400000000003</v>
      </c>
      <c r="G134" s="2" t="str">
        <f t="shared" si="4"/>
        <v>Pass</v>
      </c>
      <c r="Y134" s="2">
        <v>119</v>
      </c>
      <c r="Z134" s="2">
        <v>0.3327</v>
      </c>
      <c r="AA134" s="2">
        <v>0.34939999999999999</v>
      </c>
      <c r="AB134" s="2">
        <v>52.709099999999999</v>
      </c>
    </row>
    <row r="135" spans="2:28" x14ac:dyDescent="0.4">
      <c r="B135" s="11">
        <v>118</v>
      </c>
      <c r="C135" s="16">
        <f t="shared" si="5"/>
        <v>46.854602323276644</v>
      </c>
      <c r="D135" s="17">
        <f t="shared" si="7"/>
        <v>52.060669248085162</v>
      </c>
      <c r="E135" s="17">
        <f t="shared" si="6"/>
        <v>57.26673617289368</v>
      </c>
      <c r="F135" s="2">
        <v>51.927399999999999</v>
      </c>
      <c r="G135" s="2" t="str">
        <f t="shared" si="4"/>
        <v>Pass</v>
      </c>
      <c r="Y135" s="2">
        <v>120</v>
      </c>
      <c r="Z135" s="2">
        <v>0.33389999999999997</v>
      </c>
      <c r="AA135" s="2">
        <v>0.35160000000000002</v>
      </c>
      <c r="AB135" s="2">
        <v>53.484999999999999</v>
      </c>
    </row>
    <row r="136" spans="2:28" x14ac:dyDescent="0.4">
      <c r="B136" s="11">
        <v>119</v>
      </c>
      <c r="C136" s="16">
        <f t="shared" si="5"/>
        <v>47.570132927995857</v>
      </c>
      <c r="D136" s="17">
        <f t="shared" si="7"/>
        <v>52.855703253328727</v>
      </c>
      <c r="E136" s="17">
        <f t="shared" si="6"/>
        <v>58.141273578661597</v>
      </c>
      <c r="F136" s="2">
        <v>52.709099999999999</v>
      </c>
      <c r="G136" s="2" t="str">
        <f t="shared" si="4"/>
        <v>Pass</v>
      </c>
      <c r="Y136" s="2">
        <v>121</v>
      </c>
      <c r="Z136" s="2">
        <v>0.33429999999999999</v>
      </c>
      <c r="AA136" s="2">
        <v>0.3498</v>
      </c>
      <c r="AB136" s="2">
        <v>53.731299999999997</v>
      </c>
    </row>
    <row r="137" spans="2:28" x14ac:dyDescent="0.4">
      <c r="B137" s="11">
        <v>120</v>
      </c>
      <c r="C137" s="16">
        <f t="shared" si="5"/>
        <v>48.290479236773969</v>
      </c>
      <c r="D137" s="17">
        <f t="shared" si="7"/>
        <v>53.656088040859963</v>
      </c>
      <c r="E137" s="17">
        <f t="shared" si="6"/>
        <v>59.021696844945957</v>
      </c>
      <c r="F137" s="2">
        <v>53.484999999999999</v>
      </c>
      <c r="G137" s="2" t="str">
        <f t="shared" si="4"/>
        <v>Pass</v>
      </c>
      <c r="Y137" s="2">
        <v>122</v>
      </c>
      <c r="Z137" s="2">
        <v>0.33410000000000001</v>
      </c>
      <c r="AA137" s="2">
        <v>0.34949999999999998</v>
      </c>
      <c r="AB137" s="2">
        <v>54.804400000000001</v>
      </c>
    </row>
    <row r="138" spans="2:28" x14ac:dyDescent="0.4">
      <c r="B138" s="11">
        <v>121</v>
      </c>
      <c r="C138" s="16">
        <f t="shared" si="5"/>
        <v>49.015633214348448</v>
      </c>
      <c r="D138" s="17">
        <f t="shared" si="7"/>
        <v>54.461814682609386</v>
      </c>
      <c r="E138" s="17">
        <f t="shared" si="6"/>
        <v>59.907996150870325</v>
      </c>
      <c r="F138" s="2">
        <v>53.731299999999997</v>
      </c>
      <c r="G138" s="2" t="str">
        <f t="shared" si="4"/>
        <v>Pass</v>
      </c>
      <c r="Y138" s="2">
        <v>123</v>
      </c>
      <c r="Z138" s="2">
        <v>0.33389999999999997</v>
      </c>
      <c r="AA138" s="2">
        <v>0.34949999999999998</v>
      </c>
      <c r="AB138" s="2">
        <v>55.6342</v>
      </c>
    </row>
    <row r="139" spans="2:28" x14ac:dyDescent="0.4">
      <c r="B139" s="11">
        <v>122</v>
      </c>
      <c r="C139" s="16">
        <f t="shared" si="5"/>
        <v>49.745586905236102</v>
      </c>
      <c r="D139" s="17">
        <f t="shared" si="7"/>
        <v>55.272874339151223</v>
      </c>
      <c r="E139" s="17">
        <f t="shared" si="6"/>
        <v>60.800161773066343</v>
      </c>
      <c r="F139" s="2">
        <v>54.804400000000001</v>
      </c>
      <c r="G139" s="2" t="str">
        <f t="shared" si="4"/>
        <v>Pass</v>
      </c>
      <c r="Y139" s="2">
        <v>124</v>
      </c>
      <c r="Z139" s="2">
        <v>0.33379999999999999</v>
      </c>
      <c r="AA139" s="2">
        <v>0.34939999999999999</v>
      </c>
      <c r="AB139" s="2">
        <v>56.438600000000001</v>
      </c>
    </row>
    <row r="140" spans="2:28" x14ac:dyDescent="0.4">
      <c r="B140" s="11">
        <v>123</v>
      </c>
      <c r="C140" s="16">
        <f t="shared" si="5"/>
        <v>50.480332432292769</v>
      </c>
      <c r="D140" s="17">
        <f t="shared" si="7"/>
        <v>56.089258258103079</v>
      </c>
      <c r="E140" s="17">
        <f t="shared" si="6"/>
        <v>61.698184083913389</v>
      </c>
      <c r="F140" s="2">
        <v>55.6342</v>
      </c>
      <c r="G140" s="2" t="str">
        <f t="shared" si="4"/>
        <v>Pass</v>
      </c>
      <c r="Y140" s="2">
        <v>125</v>
      </c>
      <c r="Z140" s="2">
        <v>0.33310000000000001</v>
      </c>
      <c r="AA140" s="2">
        <v>0.34810000000000002</v>
      </c>
      <c r="AB140" s="2">
        <v>57.528199999999998</v>
      </c>
    </row>
    <row r="141" spans="2:28" x14ac:dyDescent="0.4">
      <c r="B141" s="11">
        <v>124</v>
      </c>
      <c r="C141" s="16">
        <f t="shared" si="5"/>
        <v>51.219861995310559</v>
      </c>
      <c r="D141" s="17">
        <f t="shared" si="7"/>
        <v>56.910957772567286</v>
      </c>
      <c r="E141" s="17">
        <f t="shared" si="6"/>
        <v>62.602053549824014</v>
      </c>
      <c r="F141" s="2">
        <v>56.438600000000001</v>
      </c>
      <c r="G141" s="2" t="str">
        <f t="shared" si="4"/>
        <v>Pass</v>
      </c>
      <c r="Y141" s="2">
        <v>126</v>
      </c>
      <c r="Z141" s="2">
        <v>0.33300000000000002</v>
      </c>
      <c r="AA141" s="2">
        <v>0.34799999999999998</v>
      </c>
      <c r="AB141" s="2">
        <v>58.395299999999999</v>
      </c>
    </row>
    <row r="142" spans="2:28" x14ac:dyDescent="0.4">
      <c r="B142" s="11">
        <v>125</v>
      </c>
      <c r="C142" s="16">
        <f t="shared" si="5"/>
        <v>51.964167869651284</v>
      </c>
      <c r="D142" s="17">
        <f t="shared" si="7"/>
        <v>57.737964299612536</v>
      </c>
      <c r="E142" s="17">
        <f t="shared" si="6"/>
        <v>63.511760729573787</v>
      </c>
      <c r="F142" s="2">
        <v>57.528199999999998</v>
      </c>
      <c r="G142" s="2" t="str">
        <f t="shared" si="4"/>
        <v>Pass</v>
      </c>
      <c r="Y142" s="2">
        <v>127</v>
      </c>
      <c r="Z142" s="2">
        <v>0.33400000000000002</v>
      </c>
      <c r="AA142" s="2">
        <v>0.35010000000000002</v>
      </c>
      <c r="AB142" s="2">
        <v>59.522100000000002</v>
      </c>
    </row>
    <row r="143" spans="2:28" x14ac:dyDescent="0.4">
      <c r="B143" s="11">
        <v>126</v>
      </c>
      <c r="C143" s="16">
        <f t="shared" si="5"/>
        <v>52.713242404914936</v>
      </c>
      <c r="D143" s="17">
        <f t="shared" si="7"/>
        <v>58.570269338794375</v>
      </c>
      <c r="E143" s="17">
        <f t="shared" si="6"/>
        <v>64.427296272673814</v>
      </c>
      <c r="F143" s="2">
        <v>58.395299999999999</v>
      </c>
      <c r="G143" s="2" t="str">
        <f t="shared" si="4"/>
        <v>Pass</v>
      </c>
      <c r="Y143" s="2">
        <v>128</v>
      </c>
      <c r="Z143" s="2">
        <v>0.33389999999999997</v>
      </c>
      <c r="AA143" s="2">
        <v>0.35010000000000002</v>
      </c>
      <c r="AB143" s="2">
        <v>60.433900000000001</v>
      </c>
    </row>
    <row r="144" spans="2:28" x14ac:dyDescent="0.4">
      <c r="B144" s="11">
        <v>127</v>
      </c>
      <c r="C144" s="16">
        <f t="shared" si="5"/>
        <v>53.467078023642109</v>
      </c>
      <c r="D144" s="17">
        <f t="shared" si="7"/>
        <v>59.407864470713456</v>
      </c>
      <c r="E144" s="17">
        <f t="shared" si="6"/>
        <v>65.348650917784795</v>
      </c>
      <c r="F144" s="2">
        <v>59.522100000000002</v>
      </c>
      <c r="G144" s="2" t="str">
        <f t="shared" si="4"/>
        <v>Pass</v>
      </c>
      <c r="Y144" s="2">
        <v>129</v>
      </c>
      <c r="Z144" s="2">
        <v>0.3337</v>
      </c>
      <c r="AA144" s="2">
        <v>0.35</v>
      </c>
      <c r="AB144" s="2">
        <v>61.276600000000002</v>
      </c>
    </row>
    <row r="145" spans="2:28" x14ac:dyDescent="0.4">
      <c r="B145" s="11">
        <v>128</v>
      </c>
      <c r="C145" s="16">
        <f t="shared" si="5"/>
        <v>54.225667220049019</v>
      </c>
      <c r="D145" s="17">
        <f t="shared" si="7"/>
        <v>60.250741355610025</v>
      </c>
      <c r="E145" s="17">
        <f t="shared" si="6"/>
        <v>66.275815491171031</v>
      </c>
      <c r="F145" s="2">
        <v>60.433900000000001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0.33329999999999999</v>
      </c>
      <c r="AA145" s="2">
        <v>0.34760000000000002</v>
      </c>
      <c r="AB145" s="2">
        <v>61.557699999999997</v>
      </c>
    </row>
    <row r="146" spans="2:28" x14ac:dyDescent="0.4">
      <c r="B146" s="11">
        <v>129</v>
      </c>
      <c r="C146" s="16">
        <f t="shared" ref="C146:C209" si="9">D146-D146*(C$14/100)</f>
        <v>54.989002558794169</v>
      </c>
      <c r="D146" s="17">
        <f t="shared" si="7"/>
        <v>61.098891731993518</v>
      </c>
      <c r="E146" s="17">
        <f t="shared" ref="E146:E209" si="10">D146+D146*(C$14/100)</f>
        <v>67.208780905192867</v>
      </c>
      <c r="F146" s="2">
        <v>61.276600000000002</v>
      </c>
      <c r="G146" s="2" t="str">
        <f t="shared" si="8"/>
        <v>Pass</v>
      </c>
      <c r="Y146" s="2">
        <v>131</v>
      </c>
      <c r="Z146" s="2">
        <v>0.33310000000000001</v>
      </c>
      <c r="AA146" s="2">
        <v>0.34749999999999998</v>
      </c>
      <c r="AB146" s="2">
        <v>62.753399999999999</v>
      </c>
    </row>
    <row r="147" spans="2:28" x14ac:dyDescent="0.4">
      <c r="B147" s="11">
        <v>130</v>
      </c>
      <c r="C147" s="16">
        <f t="shared" si="9"/>
        <v>55.757076673775842</v>
      </c>
      <c r="D147" s="17">
        <f t="shared" ref="D147:D210" si="11">D$272*((B147+F$17)/B$272)^C$13</f>
        <v>61.952307415306493</v>
      </c>
      <c r="E147" s="17">
        <f t="shared" si="10"/>
        <v>68.147538156837143</v>
      </c>
      <c r="F147" s="2">
        <v>61.557699999999997</v>
      </c>
      <c r="G147" s="2" t="str">
        <f t="shared" si="8"/>
        <v>Pass</v>
      </c>
      <c r="Y147" s="2">
        <v>132</v>
      </c>
      <c r="Z147" s="2">
        <v>0.33300000000000002</v>
      </c>
      <c r="AA147" s="2">
        <v>0.34739999999999999</v>
      </c>
      <c r="AB147" s="2">
        <v>63.651400000000002</v>
      </c>
    </row>
    <row r="148" spans="2:28" x14ac:dyDescent="0.4">
      <c r="B148" s="11">
        <v>131</v>
      </c>
      <c r="C148" s="16">
        <f t="shared" si="9"/>
        <v>56.529882266959035</v>
      </c>
      <c r="D148" s="17">
        <f t="shared" si="11"/>
        <v>62.810980296621153</v>
      </c>
      <c r="E148" s="17">
        <f t="shared" si="10"/>
        <v>69.092078326283271</v>
      </c>
      <c r="F148" s="2">
        <v>62.753399999999999</v>
      </c>
      <c r="G148" s="2" t="str">
        <f t="shared" si="8"/>
        <v>Pass</v>
      </c>
      <c r="Y148" s="2">
        <v>133</v>
      </c>
      <c r="Z148" s="2">
        <v>0.33429999999999999</v>
      </c>
      <c r="AA148" s="2">
        <v>0.34920000000000001</v>
      </c>
      <c r="AB148" s="2">
        <v>64.532399999999996</v>
      </c>
    </row>
    <row r="149" spans="2:28" x14ac:dyDescent="0.4">
      <c r="B149" s="11">
        <v>132</v>
      </c>
      <c r="C149" s="16">
        <f t="shared" si="9"/>
        <v>57.307412107231137</v>
      </c>
      <c r="D149" s="17">
        <f t="shared" si="11"/>
        <v>63.674902341367932</v>
      </c>
      <c r="E149" s="17">
        <f t="shared" si="10"/>
        <v>70.042392575504721</v>
      </c>
      <c r="F149" s="2">
        <v>63.651400000000002</v>
      </c>
      <c r="G149" s="2" t="str">
        <f t="shared" si="8"/>
        <v>Pass</v>
      </c>
      <c r="Y149" s="2">
        <v>134</v>
      </c>
      <c r="Z149" s="2">
        <v>0.33329999999999999</v>
      </c>
      <c r="AA149" s="2">
        <v>0.34970000000000001</v>
      </c>
      <c r="AB149" s="2">
        <v>65.472300000000004</v>
      </c>
    </row>
    <row r="150" spans="2:28" x14ac:dyDescent="0.4">
      <c r="B150" s="11">
        <v>133</v>
      </c>
      <c r="C150" s="16">
        <f t="shared" si="9"/>
        <v>58.089659029285301</v>
      </c>
      <c r="D150" s="17">
        <f t="shared" si="11"/>
        <v>64.544065588094782</v>
      </c>
      <c r="E150" s="17">
        <f t="shared" si="10"/>
        <v>70.998472146904263</v>
      </c>
      <c r="F150" s="2">
        <v>64.532399999999996</v>
      </c>
      <c r="G150" s="2" t="str">
        <f t="shared" si="8"/>
        <v>Pass</v>
      </c>
      <c r="Y150" s="2">
        <v>135</v>
      </c>
      <c r="Z150" s="2">
        <v>0.33360000000000001</v>
      </c>
      <c r="AA150" s="2">
        <v>0.35020000000000001</v>
      </c>
      <c r="AB150" s="2">
        <v>66.631</v>
      </c>
    </row>
    <row r="151" spans="2:28" x14ac:dyDescent="0.4">
      <c r="B151" s="11">
        <v>134</v>
      </c>
      <c r="C151" s="16">
        <f t="shared" si="9"/>
        <v>58.876615932530946</v>
      </c>
      <c r="D151" s="17">
        <f t="shared" si="11"/>
        <v>65.418462147256605</v>
      </c>
      <c r="E151" s="17">
        <f t="shared" si="10"/>
        <v>71.960308361982271</v>
      </c>
      <c r="F151" s="2">
        <v>65.472300000000004</v>
      </c>
      <c r="G151" s="2" t="str">
        <f t="shared" si="8"/>
        <v>Pass</v>
      </c>
      <c r="Y151" s="2">
        <v>136</v>
      </c>
      <c r="Z151" s="2">
        <v>0.33339999999999997</v>
      </c>
      <c r="AA151" s="2">
        <v>0.35010000000000002</v>
      </c>
      <c r="AB151" s="2">
        <v>67.641099999999994</v>
      </c>
    </row>
    <row r="152" spans="2:28" x14ac:dyDescent="0.4">
      <c r="B152" s="11">
        <v>135</v>
      </c>
      <c r="C152" s="16">
        <f t="shared" si="9"/>
        <v>59.668275780030044</v>
      </c>
      <c r="D152" s="17">
        <f t="shared" si="11"/>
        <v>66.298084200033387</v>
      </c>
      <c r="E152" s="17">
        <f t="shared" si="10"/>
        <v>72.927892620036729</v>
      </c>
      <c r="F152" s="2">
        <v>66.631</v>
      </c>
      <c r="G152" s="2" t="str">
        <f t="shared" si="8"/>
        <v>Pass</v>
      </c>
      <c r="Y152" s="2">
        <v>137</v>
      </c>
      <c r="Z152" s="2">
        <v>0.33279999999999998</v>
      </c>
      <c r="AA152" s="2">
        <v>0.34760000000000002</v>
      </c>
      <c r="AB152" s="2">
        <v>67.952699999999993</v>
      </c>
    </row>
    <row r="153" spans="2:28" x14ac:dyDescent="0.4">
      <c r="B153" s="11">
        <v>136</v>
      </c>
      <c r="C153" s="16">
        <f t="shared" si="9"/>
        <v>60.464631597458776</v>
      </c>
      <c r="D153" s="17">
        <f t="shared" si="11"/>
        <v>67.182923997176417</v>
      </c>
      <c r="E153" s="17">
        <f t="shared" si="10"/>
        <v>73.901216396894057</v>
      </c>
      <c r="F153" s="2">
        <v>67.641099999999994</v>
      </c>
      <c r="G153" s="2" t="str">
        <f t="shared" si="8"/>
        <v>Pass</v>
      </c>
      <c r="Y153" s="2">
        <v>138</v>
      </c>
      <c r="Z153" s="2">
        <v>0.33450000000000002</v>
      </c>
      <c r="AA153" s="2">
        <v>0.34960000000000002</v>
      </c>
      <c r="AB153" s="2">
        <v>69.025999999999996</v>
      </c>
    </row>
    <row r="154" spans="2:28" x14ac:dyDescent="0.4">
      <c r="B154" s="11">
        <v>137</v>
      </c>
      <c r="C154" s="16">
        <f t="shared" si="9"/>
        <v>61.265676472093638</v>
      </c>
      <c r="D154" s="17">
        <f t="shared" si="11"/>
        <v>68.07297385788182</v>
      </c>
      <c r="E154" s="17">
        <f t="shared" si="10"/>
        <v>74.880271243669995</v>
      </c>
      <c r="F154" s="2">
        <v>67.952699999999993</v>
      </c>
      <c r="G154" s="2" t="str">
        <f t="shared" si="8"/>
        <v>Pass</v>
      </c>
      <c r="Y154" s="2">
        <v>139</v>
      </c>
      <c r="Z154" s="2">
        <v>0.33460000000000001</v>
      </c>
      <c r="AA154" s="2">
        <v>0.34949999999999998</v>
      </c>
      <c r="AB154" s="2">
        <v>70.3673</v>
      </c>
    </row>
    <row r="155" spans="2:28" x14ac:dyDescent="0.4">
      <c r="B155" s="11">
        <v>138</v>
      </c>
      <c r="C155" s="16">
        <f t="shared" si="9"/>
        <v>62.071403551821135</v>
      </c>
      <c r="D155" s="17">
        <f t="shared" si="11"/>
        <v>68.968226168690151</v>
      </c>
      <c r="E155" s="17">
        <f t="shared" si="10"/>
        <v>75.865048785559168</v>
      </c>
      <c r="F155" s="2">
        <v>69.025999999999996</v>
      </c>
      <c r="G155" s="2" t="str">
        <f t="shared" si="8"/>
        <v>Pass</v>
      </c>
      <c r="Y155" s="2">
        <v>140</v>
      </c>
      <c r="Z155" s="2">
        <v>0.33429999999999999</v>
      </c>
      <c r="AA155" s="2">
        <v>0.34920000000000001</v>
      </c>
      <c r="AB155" s="2">
        <v>71.354500000000002</v>
      </c>
    </row>
    <row r="156" spans="2:28" x14ac:dyDescent="0.4">
      <c r="B156" s="11">
        <v>139</v>
      </c>
      <c r="C156" s="16">
        <f t="shared" si="9"/>
        <v>62.88180604417073</v>
      </c>
      <c r="D156" s="17">
        <f t="shared" si="11"/>
        <v>69.868673382411927</v>
      </c>
      <c r="E156" s="17">
        <f t="shared" si="10"/>
        <v>76.855540720653124</v>
      </c>
      <c r="F156" s="2">
        <v>70.3673</v>
      </c>
      <c r="G156" s="2" t="str">
        <f t="shared" si="8"/>
        <v>Pass</v>
      </c>
      <c r="Y156" s="2">
        <v>141</v>
      </c>
      <c r="Z156" s="2">
        <v>0.3342</v>
      </c>
      <c r="AA156" s="2">
        <v>0.34899999999999998</v>
      </c>
      <c r="AB156" s="2">
        <v>72.313100000000006</v>
      </c>
    </row>
    <row r="157" spans="2:28" x14ac:dyDescent="0.4">
      <c r="B157" s="11">
        <v>140</v>
      </c>
      <c r="C157" s="16">
        <f t="shared" si="9"/>
        <v>63.696877215369774</v>
      </c>
      <c r="D157" s="17">
        <f t="shared" si="11"/>
        <v>70.77430801707753</v>
      </c>
      <c r="E157" s="17">
        <f t="shared" si="10"/>
        <v>77.851738818785279</v>
      </c>
      <c r="F157" s="2">
        <v>71.354500000000002</v>
      </c>
      <c r="G157" s="2" t="str">
        <f t="shared" si="8"/>
        <v>Pass</v>
      </c>
      <c r="Y157" s="2">
        <v>142</v>
      </c>
      <c r="Z157" s="2">
        <v>0.33510000000000001</v>
      </c>
      <c r="AA157" s="2">
        <v>0.3508</v>
      </c>
      <c r="AB157" s="2">
        <v>73.588999999999999</v>
      </c>
    </row>
    <row r="158" spans="2:28" x14ac:dyDescent="0.4">
      <c r="B158" s="11">
        <v>141</v>
      </c>
      <c r="C158" s="16">
        <f t="shared" si="9"/>
        <v>64.516610389420237</v>
      </c>
      <c r="D158" s="17">
        <f t="shared" si="11"/>
        <v>71.685122654911382</v>
      </c>
      <c r="E158" s="17">
        <f t="shared" si="10"/>
        <v>78.853634920402527</v>
      </c>
      <c r="F158" s="2">
        <v>72.313100000000006</v>
      </c>
      <c r="G158" s="2" t="str">
        <f t="shared" si="8"/>
        <v>Pass</v>
      </c>
      <c r="Y158" s="2">
        <v>143</v>
      </c>
      <c r="Z158" s="2">
        <v>0.33389999999999997</v>
      </c>
      <c r="AA158" s="2">
        <v>0.3483</v>
      </c>
      <c r="AB158" s="2">
        <v>73.560599999999994</v>
      </c>
    </row>
    <row r="159" spans="2:28" x14ac:dyDescent="0.4">
      <c r="B159" s="11">
        <v>142</v>
      </c>
      <c r="C159" s="16">
        <f t="shared" si="9"/>
        <v>65.340998947196368</v>
      </c>
      <c r="D159" s="17">
        <f t="shared" si="11"/>
        <v>72.601109941329298</v>
      </c>
      <c r="E159" s="17">
        <f t="shared" si="10"/>
        <v>79.861220935462228</v>
      </c>
      <c r="F159" s="2">
        <v>73.588999999999999</v>
      </c>
      <c r="G159" s="2" t="str">
        <f t="shared" si="8"/>
        <v>Pass</v>
      </c>
      <c r="Y159" s="2">
        <v>144</v>
      </c>
      <c r="Z159" s="2">
        <v>0.33310000000000001</v>
      </c>
      <c r="AA159" s="2">
        <v>0.34760000000000002</v>
      </c>
      <c r="AB159" s="2">
        <v>74.479299999999995</v>
      </c>
    </row>
    <row r="160" spans="2:28" x14ac:dyDescent="0.4">
      <c r="B160" s="11">
        <v>143</v>
      </c>
      <c r="C160" s="16">
        <f t="shared" si="9"/>
        <v>66.170036325562791</v>
      </c>
      <c r="D160" s="17">
        <f t="shared" si="11"/>
        <v>73.52226258395865</v>
      </c>
      <c r="E160" s="17">
        <f t="shared" si="10"/>
        <v>80.874488842354509</v>
      </c>
      <c r="F160" s="2">
        <v>73.560599999999994</v>
      </c>
      <c r="G160" s="2" t="str">
        <f t="shared" si="8"/>
        <v>Pass</v>
      </c>
      <c r="Y160" s="2">
        <v>145</v>
      </c>
      <c r="Z160" s="2">
        <v>0.3337</v>
      </c>
      <c r="AA160" s="2">
        <v>0.34960000000000002</v>
      </c>
      <c r="AB160" s="2">
        <v>75.751199999999997</v>
      </c>
    </row>
    <row r="161" spans="2:28" x14ac:dyDescent="0.4">
      <c r="B161" s="11">
        <v>144</v>
      </c>
      <c r="C161" s="16">
        <f t="shared" si="9"/>
        <v>67.003716016512115</v>
      </c>
      <c r="D161" s="17">
        <f t="shared" si="11"/>
        <v>74.448573351680125</v>
      </c>
      <c r="E161" s="17">
        <f t="shared" si="10"/>
        <v>81.893430686848134</v>
      </c>
      <c r="F161" s="2">
        <v>74.479299999999995</v>
      </c>
      <c r="G161" s="2" t="str">
        <f t="shared" si="8"/>
        <v>Pass</v>
      </c>
      <c r="Y161" s="2">
        <v>146</v>
      </c>
      <c r="Z161" s="2">
        <v>0.33350000000000002</v>
      </c>
      <c r="AA161" s="2">
        <v>0.34960000000000002</v>
      </c>
      <c r="AB161" s="2">
        <v>76.805000000000007</v>
      </c>
    </row>
    <row r="162" spans="2:28" x14ac:dyDescent="0.4">
      <c r="B162" s="11">
        <v>145</v>
      </c>
      <c r="C162" s="16">
        <f t="shared" si="9"/>
        <v>67.842031566322063</v>
      </c>
      <c r="D162" s="17">
        <f t="shared" si="11"/>
        <v>75.380035073691175</v>
      </c>
      <c r="E162" s="17">
        <f t="shared" si="10"/>
        <v>82.918038581060287</v>
      </c>
      <c r="F162" s="2">
        <v>75.751199999999997</v>
      </c>
      <c r="G162" s="2" t="str">
        <f t="shared" si="8"/>
        <v>Pass</v>
      </c>
      <c r="Y162" s="2">
        <v>147</v>
      </c>
      <c r="Z162" s="2">
        <v>0.33339999999999997</v>
      </c>
      <c r="AA162" s="2">
        <v>0.34939999999999999</v>
      </c>
      <c r="AB162" s="2">
        <v>77.750399999999999</v>
      </c>
    </row>
    <row r="163" spans="2:28" x14ac:dyDescent="0.4">
      <c r="B163" s="11">
        <v>146</v>
      </c>
      <c r="C163" s="16">
        <f t="shared" si="9"/>
        <v>68.684976574730911</v>
      </c>
      <c r="D163" s="17">
        <f t="shared" si="11"/>
        <v>76.316640638589902</v>
      </c>
      <c r="E163" s="17">
        <f t="shared" si="10"/>
        <v>83.948304702448894</v>
      </c>
      <c r="F163" s="2">
        <v>76.805000000000007</v>
      </c>
      <c r="G163" s="2" t="str">
        <f t="shared" si="8"/>
        <v>Pass</v>
      </c>
      <c r="Y163" s="2">
        <v>148</v>
      </c>
      <c r="Z163" s="2">
        <v>0.33289999999999997</v>
      </c>
      <c r="AA163" s="2">
        <v>0.34720000000000001</v>
      </c>
      <c r="AB163" s="2">
        <v>78.011600000000001</v>
      </c>
    </row>
    <row r="164" spans="2:28" x14ac:dyDescent="0.4">
      <c r="B164" s="11">
        <v>147</v>
      </c>
      <c r="C164" s="16">
        <f t="shared" si="9"/>
        <v>69.532544694131275</v>
      </c>
      <c r="D164" s="17">
        <f t="shared" si="11"/>
        <v>77.258382993479188</v>
      </c>
      <c r="E164" s="17">
        <f t="shared" si="10"/>
        <v>84.984221292827101</v>
      </c>
      <c r="F164" s="2">
        <v>77.750399999999999</v>
      </c>
      <c r="G164" s="2" t="str">
        <f t="shared" si="8"/>
        <v>Pass</v>
      </c>
      <c r="Y164" s="2">
        <v>149</v>
      </c>
      <c r="Z164" s="2">
        <v>0.33329999999999999</v>
      </c>
      <c r="AA164" s="2">
        <v>0.34920000000000001</v>
      </c>
      <c r="AB164" s="2">
        <v>79.012500000000003</v>
      </c>
    </row>
    <row r="165" spans="2:28" x14ac:dyDescent="0.4">
      <c r="B165" s="11">
        <v>148</v>
      </c>
      <c r="C165" s="16">
        <f t="shared" si="9"/>
        <v>70.384729628781216</v>
      </c>
      <c r="D165" s="17">
        <f t="shared" si="11"/>
        <v>78.205255143090241</v>
      </c>
      <c r="E165" s="17">
        <f t="shared" si="10"/>
        <v>86.025780657399267</v>
      </c>
      <c r="F165" s="2">
        <v>78.011600000000001</v>
      </c>
      <c r="G165" s="2" t="str">
        <f t="shared" si="8"/>
        <v>Pass</v>
      </c>
      <c r="Y165" s="2">
        <v>150</v>
      </c>
      <c r="Z165" s="2">
        <v>0.3332</v>
      </c>
      <c r="AA165" s="2">
        <v>0.34910000000000002</v>
      </c>
      <c r="AB165" s="2">
        <v>80.198400000000007</v>
      </c>
    </row>
    <row r="166" spans="2:28" x14ac:dyDescent="0.4">
      <c r="B166" s="11">
        <v>149</v>
      </c>
      <c r="C166" s="16">
        <f t="shared" si="9"/>
        <v>71.241525134032599</v>
      </c>
      <c r="D166" s="17">
        <f t="shared" si="11"/>
        <v>79.157250148925115</v>
      </c>
      <c r="E166" s="17">
        <f t="shared" si="10"/>
        <v>87.072975163817631</v>
      </c>
      <c r="F166" s="2">
        <v>79.012500000000003</v>
      </c>
      <c r="G166" s="2" t="str">
        <f t="shared" si="8"/>
        <v>Pass</v>
      </c>
      <c r="Y166" s="2">
        <v>151</v>
      </c>
      <c r="Z166" s="2">
        <v>0.33329999999999999</v>
      </c>
      <c r="AA166" s="2">
        <v>0.34870000000000001</v>
      </c>
      <c r="AB166" s="2">
        <v>81.6798</v>
      </c>
    </row>
    <row r="167" spans="2:28" x14ac:dyDescent="0.4">
      <c r="B167" s="11">
        <v>150</v>
      </c>
      <c r="C167" s="16">
        <f t="shared" si="9"/>
        <v>72.102925015576076</v>
      </c>
      <c r="D167" s="17">
        <f t="shared" si="11"/>
        <v>80.114361128417869</v>
      </c>
      <c r="E167" s="17">
        <f t="shared" si="10"/>
        <v>88.125797241259662</v>
      </c>
      <c r="F167" s="2">
        <v>80.198400000000007</v>
      </c>
      <c r="G167" s="2" t="str">
        <f t="shared" si="8"/>
        <v>Pass</v>
      </c>
      <c r="Y167" s="2">
        <v>152</v>
      </c>
      <c r="Z167" s="2">
        <v>0.3337</v>
      </c>
      <c r="AA167" s="2">
        <v>0.34960000000000002</v>
      </c>
      <c r="AB167" s="2">
        <v>82.713800000000006</v>
      </c>
    </row>
    <row r="168" spans="2:28" x14ac:dyDescent="0.4">
      <c r="B168" s="11">
        <v>151</v>
      </c>
      <c r="C168" s="16">
        <f t="shared" si="9"/>
        <v>72.968923128701945</v>
      </c>
      <c r="D168" s="17">
        <f t="shared" si="11"/>
        <v>81.076581254113279</v>
      </c>
      <c r="E168" s="17">
        <f t="shared" si="10"/>
        <v>89.184239379524612</v>
      </c>
      <c r="F168" s="2">
        <v>81.6798</v>
      </c>
      <c r="G168" s="2" t="str">
        <f t="shared" si="8"/>
        <v>Pass</v>
      </c>
      <c r="Y168" s="2">
        <v>153</v>
      </c>
      <c r="Z168" s="2">
        <v>0.33360000000000001</v>
      </c>
      <c r="AA168" s="2">
        <v>0.34820000000000001</v>
      </c>
      <c r="AB168" s="2">
        <v>83.061499999999995</v>
      </c>
    </row>
    <row r="169" spans="2:28" x14ac:dyDescent="0.4">
      <c r="B169" s="11">
        <v>152</v>
      </c>
      <c r="C169" s="16">
        <f t="shared" si="9"/>
        <v>73.839513377576964</v>
      </c>
      <c r="D169" s="17">
        <f t="shared" si="11"/>
        <v>82.043903752863287</v>
      </c>
      <c r="E169" s="17">
        <f t="shared" si="10"/>
        <v>90.24829412814961</v>
      </c>
      <c r="F169" s="2">
        <v>82.713800000000006</v>
      </c>
      <c r="G169" s="2" t="str">
        <f t="shared" si="8"/>
        <v>Pass</v>
      </c>
      <c r="Y169" s="2">
        <v>154</v>
      </c>
      <c r="Z169" s="2">
        <v>0.33339999999999997</v>
      </c>
      <c r="AA169" s="2">
        <v>0.34810000000000002</v>
      </c>
      <c r="AB169" s="2">
        <v>84.087900000000005</v>
      </c>
    </row>
    <row r="170" spans="2:28" x14ac:dyDescent="0.4">
      <c r="B170" s="11">
        <v>153</v>
      </c>
      <c r="C170" s="16">
        <f t="shared" si="9"/>
        <v>74.714689714536235</v>
      </c>
      <c r="D170" s="17">
        <f t="shared" si="11"/>
        <v>83.016321905040257</v>
      </c>
      <c r="E170" s="17">
        <f t="shared" si="10"/>
        <v>91.31795409554428</v>
      </c>
      <c r="F170" s="2">
        <v>83.061499999999995</v>
      </c>
      <c r="G170" s="2" t="str">
        <f t="shared" si="8"/>
        <v>Pass</v>
      </c>
      <c r="Y170" s="2">
        <v>155</v>
      </c>
      <c r="Z170" s="2">
        <v>0.3347</v>
      </c>
      <c r="AA170" s="2">
        <v>0.34960000000000002</v>
      </c>
      <c r="AB170" s="2">
        <v>85.150499999999994</v>
      </c>
    </row>
    <row r="171" spans="2:28" x14ac:dyDescent="0.4">
      <c r="B171" s="11">
        <v>154</v>
      </c>
      <c r="C171" s="16">
        <f t="shared" si="9"/>
        <v>75.59444613938993</v>
      </c>
      <c r="D171" s="17">
        <f t="shared" si="11"/>
        <v>83.993829043766581</v>
      </c>
      <c r="E171" s="17">
        <f t="shared" si="10"/>
        <v>92.393211948143232</v>
      </c>
      <c r="F171" s="2">
        <v>84.087900000000005</v>
      </c>
      <c r="G171" s="2" t="str">
        <f t="shared" si="8"/>
        <v>Pass</v>
      </c>
      <c r="Y171" s="2">
        <v>156</v>
      </c>
      <c r="Z171" s="2">
        <v>0.33329999999999999</v>
      </c>
      <c r="AA171" s="2">
        <v>0.34910000000000002</v>
      </c>
      <c r="AB171" s="2">
        <v>86.222200000000001</v>
      </c>
    </row>
    <row r="172" spans="2:28" x14ac:dyDescent="0.4">
      <c r="B172" s="11">
        <v>155</v>
      </c>
      <c r="C172" s="16">
        <f t="shared" si="9"/>
        <v>76.478776698744539</v>
      </c>
      <c r="D172" s="17">
        <f t="shared" si="11"/>
        <v>84.976418554160603</v>
      </c>
      <c r="E172" s="17">
        <f t="shared" si="10"/>
        <v>93.474060409576666</v>
      </c>
      <c r="F172" s="2">
        <v>85.150499999999994</v>
      </c>
      <c r="G172" s="2" t="str">
        <f t="shared" si="8"/>
        <v>Pass</v>
      </c>
      <c r="Y172" s="2">
        <v>157</v>
      </c>
      <c r="Z172" s="2">
        <v>0.3332</v>
      </c>
      <c r="AA172" s="2">
        <v>0.3478</v>
      </c>
      <c r="AB172" s="2">
        <v>86.461600000000004</v>
      </c>
    </row>
    <row r="173" spans="2:28" x14ac:dyDescent="0.4">
      <c r="B173" s="11">
        <v>156</v>
      </c>
      <c r="C173" s="16">
        <f t="shared" si="9"/>
        <v>77.367675485337998</v>
      </c>
      <c r="D173" s="17">
        <f t="shared" si="11"/>
        <v>85.964083872597783</v>
      </c>
      <c r="E173" s="17">
        <f t="shared" si="10"/>
        <v>94.560492259857568</v>
      </c>
      <c r="F173" s="2">
        <v>86.222200000000001</v>
      </c>
      <c r="G173" s="2" t="str">
        <f t="shared" si="8"/>
        <v>Pass</v>
      </c>
      <c r="Y173" s="2">
        <v>158</v>
      </c>
      <c r="Z173" s="2">
        <v>0.33439999999999998</v>
      </c>
      <c r="AA173" s="2">
        <v>0.34949999999999998</v>
      </c>
      <c r="AB173" s="2">
        <v>87.535200000000003</v>
      </c>
    </row>
    <row r="174" spans="2:28" x14ac:dyDescent="0.4">
      <c r="B174" s="11">
        <v>157</v>
      </c>
      <c r="C174" s="16">
        <f t="shared" si="9"/>
        <v>78.26113663738866</v>
      </c>
      <c r="D174" s="17">
        <f t="shared" si="11"/>
        <v>86.956818485987398</v>
      </c>
      <c r="E174" s="17">
        <f t="shared" si="10"/>
        <v>95.652500334586136</v>
      </c>
      <c r="F174" s="2">
        <v>86.461600000000004</v>
      </c>
      <c r="G174" s="2" t="str">
        <f t="shared" si="8"/>
        <v>Pass</v>
      </c>
      <c r="Y174" s="2">
        <v>159</v>
      </c>
      <c r="Z174" s="2">
        <v>0.3342</v>
      </c>
      <c r="AA174" s="2">
        <v>0.34939999999999999</v>
      </c>
      <c r="AB174" s="2">
        <v>88.957700000000003</v>
      </c>
    </row>
    <row r="175" spans="2:28" x14ac:dyDescent="0.4">
      <c r="B175" s="11">
        <v>158</v>
      </c>
      <c r="C175" s="16">
        <f t="shared" si="9"/>
        <v>79.159154337957219</v>
      </c>
      <c r="D175" s="17">
        <f t="shared" si="11"/>
        <v>87.954615931063572</v>
      </c>
      <c r="E175" s="17">
        <f t="shared" si="10"/>
        <v>96.750077524169924</v>
      </c>
      <c r="F175" s="2">
        <v>87.535200000000003</v>
      </c>
      <c r="G175" s="2" t="str">
        <f t="shared" si="8"/>
        <v>Pass</v>
      </c>
      <c r="Y175" s="2">
        <v>160</v>
      </c>
      <c r="Z175" s="2">
        <v>0.33400000000000002</v>
      </c>
      <c r="AA175" s="2">
        <v>0.3493</v>
      </c>
      <c r="AB175" s="2">
        <v>90.066199999999995</v>
      </c>
    </row>
    <row r="176" spans="2:28" x14ac:dyDescent="0.4">
      <c r="B176" s="11">
        <v>159</v>
      </c>
      <c r="C176" s="16">
        <f t="shared" si="9"/>
        <v>80.061722814321968</v>
      </c>
      <c r="D176" s="17">
        <f t="shared" si="11"/>
        <v>88.957469793691075</v>
      </c>
      <c r="E176" s="17">
        <f t="shared" si="10"/>
        <v>97.853216773060183</v>
      </c>
      <c r="F176" s="2">
        <v>88.957700000000003</v>
      </c>
      <c r="G176" s="2" t="str">
        <f t="shared" si="8"/>
        <v>Pass</v>
      </c>
      <c r="Y176" s="2">
        <v>161</v>
      </c>
      <c r="Z176" s="2">
        <v>0.33410000000000001</v>
      </c>
      <c r="AA176" s="2">
        <v>0.34920000000000001</v>
      </c>
      <c r="AB176" s="2">
        <v>90.154200000000003</v>
      </c>
    </row>
    <row r="177" spans="2:28" x14ac:dyDescent="0.4">
      <c r="B177" s="11">
        <v>160</v>
      </c>
      <c r="C177" s="16">
        <f t="shared" si="9"/>
        <v>80.96883633736644</v>
      </c>
      <c r="D177" s="17">
        <f t="shared" si="11"/>
        <v>89.965373708184927</v>
      </c>
      <c r="E177" s="17">
        <f t="shared" si="10"/>
        <v>98.961911079003414</v>
      </c>
      <c r="F177" s="2">
        <v>90.066199999999995</v>
      </c>
      <c r="G177" s="2" t="str">
        <f t="shared" si="8"/>
        <v>Pass</v>
      </c>
      <c r="Y177" s="2">
        <v>162</v>
      </c>
      <c r="Z177" s="2">
        <v>0.33389999999999997</v>
      </c>
      <c r="AA177" s="2">
        <v>0.3488</v>
      </c>
      <c r="AB177" s="2">
        <v>91.570700000000002</v>
      </c>
    </row>
    <row r="178" spans="2:28" x14ac:dyDescent="0.4">
      <c r="B178" s="11">
        <v>161</v>
      </c>
      <c r="C178" s="16">
        <f t="shared" si="9"/>
        <v>81.880489220979143</v>
      </c>
      <c r="D178" s="17">
        <f t="shared" si="11"/>
        <v>90.978321356643491</v>
      </c>
      <c r="E178" s="17">
        <f t="shared" si="10"/>
        <v>100.07615349230784</v>
      </c>
      <c r="F178" s="2">
        <v>90.154200000000003</v>
      </c>
      <c r="G178" s="2" t="str">
        <f t="shared" si="8"/>
        <v>Pass</v>
      </c>
      <c r="Y178" s="2">
        <v>163</v>
      </c>
      <c r="Z178" s="2">
        <v>0.3337</v>
      </c>
      <c r="AA178" s="2">
        <v>0.34870000000000001</v>
      </c>
      <c r="AB178" s="2">
        <v>92.704700000000003</v>
      </c>
    </row>
    <row r="179" spans="2:28" x14ac:dyDescent="0.4">
      <c r="B179" s="11">
        <v>162</v>
      </c>
      <c r="C179" s="16">
        <f t="shared" si="9"/>
        <v>82.796675821465612</v>
      </c>
      <c r="D179" s="17">
        <f t="shared" si="11"/>
        <v>91.996306468295131</v>
      </c>
      <c r="E179" s="17">
        <f t="shared" si="10"/>
        <v>101.19593711512465</v>
      </c>
      <c r="F179" s="2">
        <v>91.570700000000002</v>
      </c>
      <c r="G179" s="2" t="str">
        <f t="shared" si="8"/>
        <v>Pass</v>
      </c>
      <c r="Y179" s="2">
        <v>164</v>
      </c>
      <c r="Z179" s="2">
        <v>0.33450000000000002</v>
      </c>
      <c r="AA179" s="2">
        <v>0.3503</v>
      </c>
      <c r="AB179" s="2">
        <v>93.801299999999998</v>
      </c>
    </row>
    <row r="180" spans="2:28" x14ac:dyDescent="0.4">
      <c r="B180" s="11">
        <v>163</v>
      </c>
      <c r="C180" s="16">
        <f t="shared" si="9"/>
        <v>83.717390536971848</v>
      </c>
      <c r="D180" s="17">
        <f t="shared" si="11"/>
        <v>93.019322818857603</v>
      </c>
      <c r="E180" s="17">
        <f t="shared" si="10"/>
        <v>102.32125510074336</v>
      </c>
      <c r="F180" s="2">
        <v>92.704700000000003</v>
      </c>
      <c r="G180" s="2" t="str">
        <f t="shared" si="8"/>
        <v>Pass</v>
      </c>
      <c r="Y180" s="2">
        <v>165</v>
      </c>
      <c r="Z180" s="2">
        <v>0.33429999999999999</v>
      </c>
      <c r="AA180" s="2">
        <v>0.35020000000000001</v>
      </c>
      <c r="AB180" s="2">
        <v>95.312200000000004</v>
      </c>
    </row>
    <row r="181" spans="2:28" x14ac:dyDescent="0.4">
      <c r="B181" s="11">
        <v>164</v>
      </c>
      <c r="C181" s="16">
        <f t="shared" si="9"/>
        <v>84.642627806918881</v>
      </c>
      <c r="D181" s="17">
        <f t="shared" si="11"/>
        <v>94.047364229909874</v>
      </c>
      <c r="E181" s="17">
        <f t="shared" si="10"/>
        <v>103.45210065290087</v>
      </c>
      <c r="F181" s="2">
        <v>93.801299999999998</v>
      </c>
      <c r="G181" s="2" t="str">
        <f t="shared" si="8"/>
        <v>Pass</v>
      </c>
      <c r="Y181" s="2">
        <v>166</v>
      </c>
      <c r="Z181" s="2">
        <v>0.33379999999999999</v>
      </c>
      <c r="AA181" s="2">
        <v>0.34810000000000002</v>
      </c>
      <c r="AB181" s="2">
        <v>95.622500000000002</v>
      </c>
    </row>
    <row r="182" spans="2:28" x14ac:dyDescent="0.4">
      <c r="B182" s="11">
        <v>165</v>
      </c>
      <c r="C182" s="16">
        <f t="shared" si="9"/>
        <v>85.572382111449045</v>
      </c>
      <c r="D182" s="17">
        <f t="shared" si="11"/>
        <v>95.080424568276712</v>
      </c>
      <c r="E182" s="17">
        <f t="shared" si="10"/>
        <v>104.58846702510438</v>
      </c>
      <c r="F182" s="2">
        <v>95.312200000000004</v>
      </c>
      <c r="G182" s="2" t="str">
        <f t="shared" si="8"/>
        <v>Pass</v>
      </c>
      <c r="Y182" s="2">
        <v>167</v>
      </c>
      <c r="Z182" s="2">
        <v>0.33500000000000002</v>
      </c>
      <c r="AA182" s="2">
        <v>0.34960000000000002</v>
      </c>
      <c r="AB182" s="2">
        <v>96.674800000000005</v>
      </c>
    </row>
    <row r="183" spans="2:28" x14ac:dyDescent="0.4">
      <c r="B183" s="11">
        <v>166</v>
      </c>
      <c r="C183" s="16">
        <f t="shared" si="9"/>
        <v>86.506647970882184</v>
      </c>
      <c r="D183" s="17">
        <f t="shared" si="11"/>
        <v>96.118497745424648</v>
      </c>
      <c r="E183" s="17">
        <f t="shared" si="10"/>
        <v>105.73034751996711</v>
      </c>
      <c r="F183" s="2">
        <v>95.622500000000002</v>
      </c>
      <c r="G183" s="2" t="str">
        <f t="shared" si="8"/>
        <v>Pass</v>
      </c>
      <c r="Y183" s="2">
        <v>168</v>
      </c>
      <c r="Z183" s="2">
        <v>0.33400000000000002</v>
      </c>
      <c r="AA183" s="2">
        <v>0.34989999999999999</v>
      </c>
      <c r="AB183" s="2">
        <v>97.779899999999998</v>
      </c>
    </row>
    <row r="184" spans="2:28" x14ac:dyDescent="0.4">
      <c r="B184" s="11">
        <v>167</v>
      </c>
      <c r="C184" s="16">
        <f t="shared" si="9"/>
        <v>87.445419945182948</v>
      </c>
      <c r="D184" s="17">
        <f t="shared" si="11"/>
        <v>97.161577716869942</v>
      </c>
      <c r="E184" s="17">
        <f t="shared" si="10"/>
        <v>106.87773548855694</v>
      </c>
      <c r="F184" s="2">
        <v>96.674800000000005</v>
      </c>
      <c r="G184" s="2" t="str">
        <f t="shared" si="8"/>
        <v>Pass</v>
      </c>
      <c r="Y184" s="2">
        <v>169</v>
      </c>
      <c r="Z184" s="2">
        <v>0.33379999999999999</v>
      </c>
      <c r="AA184" s="2">
        <v>0.3498</v>
      </c>
      <c r="AB184" s="2">
        <v>99.090299999999999</v>
      </c>
    </row>
    <row r="185" spans="2:28" x14ac:dyDescent="0.4">
      <c r="B185" s="11">
        <v>168</v>
      </c>
      <c r="C185" s="16">
        <f t="shared" si="9"/>
        <v>88.388692633438012</v>
      </c>
      <c r="D185" s="17">
        <f t="shared" si="11"/>
        <v>98.209658481597785</v>
      </c>
      <c r="E185" s="17">
        <f t="shared" si="10"/>
        <v>108.03062432975756</v>
      </c>
      <c r="F185" s="2">
        <v>97.779899999999998</v>
      </c>
      <c r="G185" s="2" t="str">
        <f t="shared" si="8"/>
        <v>Pass</v>
      </c>
      <c r="Y185" s="2">
        <v>170</v>
      </c>
      <c r="Z185" s="2">
        <v>0.33410000000000001</v>
      </c>
      <c r="AA185" s="2">
        <v>0.35039999999999999</v>
      </c>
      <c r="AB185" s="2">
        <v>100.21299999999999</v>
      </c>
    </row>
    <row r="186" spans="2:28" x14ac:dyDescent="0.4">
      <c r="B186" s="11">
        <v>169</v>
      </c>
      <c r="C186" s="16">
        <f t="shared" si="9"/>
        <v>89.336460673343367</v>
      </c>
      <c r="D186" s="17">
        <f t="shared" si="11"/>
        <v>99.262734081492638</v>
      </c>
      <c r="E186" s="17">
        <f t="shared" si="10"/>
        <v>109.18900748964191</v>
      </c>
      <c r="F186" s="2">
        <v>99.090299999999999</v>
      </c>
      <c r="G186" s="2" t="str">
        <f t="shared" si="8"/>
        <v>Pass</v>
      </c>
      <c r="Y186" s="2">
        <v>171</v>
      </c>
      <c r="Z186" s="2">
        <v>0.33450000000000002</v>
      </c>
      <c r="AA186" s="2">
        <v>0.34920000000000001</v>
      </c>
      <c r="AB186" s="2">
        <v>100.6572</v>
      </c>
    </row>
    <row r="187" spans="2:28" x14ac:dyDescent="0.4">
      <c r="B187" s="11">
        <v>170</v>
      </c>
      <c r="C187" s="16">
        <f t="shared" si="9"/>
        <v>90.288718740701341</v>
      </c>
      <c r="D187" s="17">
        <f t="shared" si="11"/>
        <v>100.32079860077927</v>
      </c>
      <c r="E187" s="17">
        <f t="shared" si="10"/>
        <v>110.3528784608572</v>
      </c>
      <c r="F187" s="2">
        <v>100.21299999999999</v>
      </c>
      <c r="G187" s="2" t="str">
        <f t="shared" si="8"/>
        <v>Pass</v>
      </c>
      <c r="Y187" s="2">
        <v>172</v>
      </c>
      <c r="Z187" s="2">
        <v>0.3342</v>
      </c>
      <c r="AA187" s="2">
        <v>0.34899999999999998</v>
      </c>
      <c r="AB187" s="2">
        <v>102.21599999999999</v>
      </c>
    </row>
    <row r="188" spans="2:28" x14ac:dyDescent="0.4">
      <c r="B188" s="11">
        <v>171</v>
      </c>
      <c r="C188" s="16">
        <f t="shared" si="9"/>
        <v>91.245461548927011</v>
      </c>
      <c r="D188" s="17">
        <f t="shared" si="11"/>
        <v>101.38384616547447</v>
      </c>
      <c r="E188" s="17">
        <f t="shared" si="10"/>
        <v>111.52223078202192</v>
      </c>
      <c r="F188" s="2">
        <v>100.6572</v>
      </c>
      <c r="G188" s="2" t="str">
        <f t="shared" si="8"/>
        <v>Pass</v>
      </c>
      <c r="Y188" s="2">
        <v>173</v>
      </c>
      <c r="Z188" s="2">
        <v>0.33510000000000001</v>
      </c>
      <c r="AA188" s="2">
        <v>0.35049999999999998</v>
      </c>
      <c r="AB188" s="2">
        <v>103.3159</v>
      </c>
    </row>
    <row r="189" spans="2:28" x14ac:dyDescent="0.4">
      <c r="B189" s="11">
        <v>172</v>
      </c>
      <c r="C189" s="16">
        <f t="shared" si="9"/>
        <v>92.206683848563827</v>
      </c>
      <c r="D189" s="17">
        <f t="shared" si="11"/>
        <v>102.4518709428487</v>
      </c>
      <c r="E189" s="17">
        <f t="shared" si="10"/>
        <v>112.69705803713357</v>
      </c>
      <c r="F189" s="2">
        <v>102.21599999999999</v>
      </c>
      <c r="G189" s="2" t="str">
        <f t="shared" si="8"/>
        <v>Pass</v>
      </c>
      <c r="Y189" s="2">
        <v>174</v>
      </c>
      <c r="Z189" s="2">
        <v>0.33360000000000001</v>
      </c>
      <c r="AA189" s="2">
        <v>0.35</v>
      </c>
      <c r="AB189" s="2">
        <v>104.1024</v>
      </c>
    </row>
    <row r="190" spans="2:28" x14ac:dyDescent="0.4">
      <c r="B190" s="11">
        <v>173</v>
      </c>
      <c r="C190" s="16">
        <f t="shared" si="9"/>
        <v>93.172380426808502</v>
      </c>
      <c r="D190" s="17">
        <f t="shared" si="11"/>
        <v>103.52486714089834</v>
      </c>
      <c r="E190" s="17">
        <f t="shared" si="10"/>
        <v>113.87735385498817</v>
      </c>
      <c r="F190" s="2">
        <v>103.3159</v>
      </c>
      <c r="G190" s="2" t="str">
        <f t="shared" si="8"/>
        <v>Pass</v>
      </c>
      <c r="Y190" s="2">
        <v>175</v>
      </c>
      <c r="Z190" s="2">
        <v>0.33389999999999997</v>
      </c>
      <c r="AA190" s="2">
        <v>0.34870000000000001</v>
      </c>
      <c r="AB190" s="2">
        <v>104.4637</v>
      </c>
    </row>
    <row r="191" spans="2:28" x14ac:dyDescent="0.4">
      <c r="B191" s="11">
        <v>174</v>
      </c>
      <c r="C191" s="16">
        <f t="shared" si="9"/>
        <v>94.142546107044495</v>
      </c>
      <c r="D191" s="17">
        <f t="shared" si="11"/>
        <v>104.60282900782721</v>
      </c>
      <c r="E191" s="17">
        <f t="shared" si="10"/>
        <v>115.06311190860993</v>
      </c>
      <c r="F191" s="2">
        <v>104.1024</v>
      </c>
      <c r="G191" s="2" t="str">
        <f t="shared" si="8"/>
        <v>Pass</v>
      </c>
      <c r="Y191" s="2">
        <v>176</v>
      </c>
      <c r="Z191" s="2">
        <v>0.33379999999999999</v>
      </c>
      <c r="AA191" s="2">
        <v>0.34839999999999999</v>
      </c>
      <c r="AB191" s="2">
        <v>105.8869</v>
      </c>
    </row>
    <row r="192" spans="2:28" x14ac:dyDescent="0.4">
      <c r="B192" s="11">
        <v>175</v>
      </c>
      <c r="C192" s="16">
        <f t="shared" si="9"/>
        <v>95.117175748383914</v>
      </c>
      <c r="D192" s="17">
        <f t="shared" si="11"/>
        <v>105.68575083153769</v>
      </c>
      <c r="E192" s="17">
        <f t="shared" si="10"/>
        <v>116.25432591469146</v>
      </c>
      <c r="F192" s="2">
        <v>104.4637</v>
      </c>
      <c r="G192" s="2" t="str">
        <f t="shared" si="8"/>
        <v>Pass</v>
      </c>
      <c r="Y192" s="2">
        <v>177</v>
      </c>
      <c r="Z192" s="2">
        <v>0.33460000000000001</v>
      </c>
      <c r="AA192" s="2">
        <v>0.35020000000000001</v>
      </c>
      <c r="AB192" s="2">
        <v>107.114</v>
      </c>
    </row>
    <row r="193" spans="2:28" x14ac:dyDescent="0.4">
      <c r="B193" s="11">
        <v>176</v>
      </c>
      <c r="C193" s="16">
        <f t="shared" si="9"/>
        <v>96.09626424521835</v>
      </c>
      <c r="D193" s="17">
        <f t="shared" si="11"/>
        <v>106.7736269391315</v>
      </c>
      <c r="E193" s="17">
        <f t="shared" si="10"/>
        <v>117.45098963304466</v>
      </c>
      <c r="F193" s="2">
        <v>105.8869</v>
      </c>
      <c r="G193" s="2" t="str">
        <f t="shared" si="8"/>
        <v>Pass</v>
      </c>
      <c r="Y193" s="2">
        <v>178</v>
      </c>
      <c r="Z193" s="2">
        <v>0.33439999999999998</v>
      </c>
      <c r="AA193" s="2">
        <v>0.3498</v>
      </c>
      <c r="AB193" s="2">
        <v>108.7611</v>
      </c>
    </row>
    <row r="194" spans="2:28" x14ac:dyDescent="0.4">
      <c r="B194" s="11">
        <v>177</v>
      </c>
      <c r="C194" s="16">
        <f t="shared" si="9"/>
        <v>97.079806526777176</v>
      </c>
      <c r="D194" s="17">
        <f t="shared" si="11"/>
        <v>107.86645169641909</v>
      </c>
      <c r="E194" s="17">
        <f t="shared" si="10"/>
        <v>118.65309686606101</v>
      </c>
      <c r="F194" s="2">
        <v>107.114</v>
      </c>
      <c r="G194" s="2" t="str">
        <f t="shared" si="8"/>
        <v>Pass</v>
      </c>
      <c r="Y194" s="2">
        <v>179</v>
      </c>
      <c r="Z194" s="2">
        <v>0.33360000000000001</v>
      </c>
      <c r="AA194" s="2">
        <v>0.34760000000000002</v>
      </c>
      <c r="AB194" s="2">
        <v>108.8172</v>
      </c>
    </row>
    <row r="195" spans="2:28" x14ac:dyDescent="0.4">
      <c r="B195" s="11">
        <v>178</v>
      </c>
      <c r="C195" s="16">
        <f t="shared" si="9"/>
        <v>98.067797556694487</v>
      </c>
      <c r="D195" s="17">
        <f t="shared" si="11"/>
        <v>108.96421950743832</v>
      </c>
      <c r="E195" s="17">
        <f t="shared" si="10"/>
        <v>119.86064145818214</v>
      </c>
      <c r="F195" s="2">
        <v>108.7611</v>
      </c>
      <c r="G195" s="2" t="str">
        <f t="shared" si="8"/>
        <v>Pass</v>
      </c>
      <c r="Y195" s="2">
        <v>180</v>
      </c>
      <c r="Z195" s="2">
        <v>0.33410000000000001</v>
      </c>
      <c r="AA195" s="2">
        <v>0.34899999999999998</v>
      </c>
      <c r="AB195" s="2">
        <v>110.434</v>
      </c>
    </row>
    <row r="196" spans="2:28" x14ac:dyDescent="0.4">
      <c r="B196" s="11">
        <v>179</v>
      </c>
      <c r="C196" s="16">
        <f t="shared" si="9"/>
        <v>99.060232332583382</v>
      </c>
      <c r="D196" s="17">
        <f t="shared" si="11"/>
        <v>110.06692481398153</v>
      </c>
      <c r="E196" s="17">
        <f t="shared" si="10"/>
        <v>121.07361729537968</v>
      </c>
      <c r="F196" s="2">
        <v>108.8172</v>
      </c>
      <c r="G196" s="2" t="str">
        <f t="shared" si="8"/>
        <v>Pass</v>
      </c>
      <c r="Y196" s="2">
        <v>181</v>
      </c>
      <c r="Z196" s="2">
        <v>0.33339999999999997</v>
      </c>
      <c r="AA196" s="2">
        <v>0.34899999999999998</v>
      </c>
      <c r="AB196" s="2">
        <v>111.27670000000001</v>
      </c>
    </row>
    <row r="197" spans="2:28" x14ac:dyDescent="0.4">
      <c r="B197" s="11">
        <v>180</v>
      </c>
      <c r="C197" s="16">
        <f t="shared" si="9"/>
        <v>100.05710588561797</v>
      </c>
      <c r="D197" s="17">
        <f t="shared" si="11"/>
        <v>111.17456209513108</v>
      </c>
      <c r="E197" s="17">
        <f t="shared" si="10"/>
        <v>122.29201830464419</v>
      </c>
      <c r="F197" s="2">
        <v>110.434</v>
      </c>
      <c r="G197" s="2" t="str">
        <f t="shared" si="8"/>
        <v>Pass</v>
      </c>
      <c r="Y197" s="2">
        <v>182</v>
      </c>
      <c r="Z197" s="2">
        <v>0.33329999999999999</v>
      </c>
      <c r="AA197" s="2">
        <v>0.3488</v>
      </c>
      <c r="AB197" s="2">
        <v>112.79689999999999</v>
      </c>
    </row>
    <row r="198" spans="2:28" x14ac:dyDescent="0.4">
      <c r="B198" s="11">
        <v>181</v>
      </c>
      <c r="C198" s="16">
        <f t="shared" si="9"/>
        <v>101.05841328012315</v>
      </c>
      <c r="D198" s="17">
        <f t="shared" si="11"/>
        <v>112.28712586680349</v>
      </c>
      <c r="E198" s="17">
        <f t="shared" si="10"/>
        <v>123.51583845348384</v>
      </c>
      <c r="F198" s="2">
        <v>111.27670000000001</v>
      </c>
      <c r="G198" s="2" t="str">
        <f t="shared" si="8"/>
        <v>Pass</v>
      </c>
      <c r="Y198" s="2">
        <v>183</v>
      </c>
      <c r="Z198" s="2">
        <v>0.33360000000000001</v>
      </c>
      <c r="AA198" s="2">
        <v>0.34860000000000002</v>
      </c>
      <c r="AB198" s="2">
        <v>113.1365</v>
      </c>
    </row>
    <row r="199" spans="2:28" x14ac:dyDescent="0.4">
      <c r="B199" s="11">
        <v>182</v>
      </c>
      <c r="C199" s="16">
        <f t="shared" si="9"/>
        <v>102.06414961317104</v>
      </c>
      <c r="D199" s="17">
        <f t="shared" si="11"/>
        <v>113.40461068130115</v>
      </c>
      <c r="E199" s="17">
        <f t="shared" si="10"/>
        <v>124.74507174943126</v>
      </c>
      <c r="F199" s="2">
        <v>112.79689999999999</v>
      </c>
      <c r="G199" s="2" t="str">
        <f t="shared" si="8"/>
        <v>Pass</v>
      </c>
      <c r="Y199" s="2">
        <v>184</v>
      </c>
      <c r="Z199" s="2">
        <v>0.33339999999999997</v>
      </c>
      <c r="AA199" s="2">
        <v>0.3483</v>
      </c>
      <c r="AB199" s="2">
        <v>114.3994</v>
      </c>
    </row>
    <row r="200" spans="2:28" x14ac:dyDescent="0.4">
      <c r="B200" s="11">
        <v>183</v>
      </c>
      <c r="C200" s="16">
        <f t="shared" si="9"/>
        <v>103.07431001418499</v>
      </c>
      <c r="D200" s="17">
        <f t="shared" si="11"/>
        <v>114.52701112687221</v>
      </c>
      <c r="E200" s="17">
        <f t="shared" si="10"/>
        <v>125.97971223955943</v>
      </c>
      <c r="F200" s="2">
        <v>113.1365</v>
      </c>
      <c r="G200" s="2" t="str">
        <f t="shared" si="8"/>
        <v>Pass</v>
      </c>
      <c r="Y200" s="2">
        <v>185</v>
      </c>
      <c r="Z200" s="2">
        <v>0.33310000000000001</v>
      </c>
      <c r="AA200" s="2">
        <v>0.34810000000000002</v>
      </c>
      <c r="AB200" s="2">
        <v>115.6649</v>
      </c>
    </row>
    <row r="201" spans="2:28" x14ac:dyDescent="0.4">
      <c r="B201" s="11">
        <v>184</v>
      </c>
      <c r="C201" s="16">
        <f t="shared" si="9"/>
        <v>104.08888964455041</v>
      </c>
      <c r="D201" s="17">
        <f t="shared" si="11"/>
        <v>115.65432182727822</v>
      </c>
      <c r="E201" s="17">
        <f t="shared" si="10"/>
        <v>127.21975401000604</v>
      </c>
      <c r="F201" s="2">
        <v>114.3994</v>
      </c>
      <c r="G201" s="2" t="str">
        <f t="shared" si="8"/>
        <v>Pass</v>
      </c>
      <c r="Y201" s="2">
        <v>186</v>
      </c>
      <c r="Z201" s="2">
        <v>0.3342</v>
      </c>
      <c r="AA201" s="2">
        <v>0.34939999999999999</v>
      </c>
      <c r="AB201" s="2">
        <v>117.2728</v>
      </c>
    </row>
    <row r="202" spans="2:28" x14ac:dyDescent="0.4">
      <c r="B202" s="11">
        <v>185</v>
      </c>
      <c r="C202" s="16">
        <f t="shared" si="9"/>
        <v>105.1078836972322</v>
      </c>
      <c r="D202" s="17">
        <f t="shared" si="11"/>
        <v>116.78653744136911</v>
      </c>
      <c r="E202" s="17">
        <f t="shared" si="10"/>
        <v>128.46519118550603</v>
      </c>
      <c r="F202" s="2">
        <v>115.6649</v>
      </c>
      <c r="G202" s="2" t="str">
        <f t="shared" si="8"/>
        <v>Pass</v>
      </c>
      <c r="Y202" s="2">
        <v>187</v>
      </c>
      <c r="Z202" s="2">
        <v>0.33429999999999999</v>
      </c>
      <c r="AA202" s="2">
        <v>0.34910000000000002</v>
      </c>
      <c r="AB202" s="2">
        <v>118.4521</v>
      </c>
    </row>
    <row r="203" spans="2:28" x14ac:dyDescent="0.4">
      <c r="B203" s="11">
        <v>186</v>
      </c>
      <c r="C203" s="16">
        <f t="shared" si="9"/>
        <v>106.13128739639906</v>
      </c>
      <c r="D203" s="17">
        <f t="shared" si="11"/>
        <v>117.92365266266562</v>
      </c>
      <c r="E203" s="17">
        <f t="shared" si="10"/>
        <v>129.71601792893219</v>
      </c>
      <c r="F203" s="2">
        <v>117.2728</v>
      </c>
      <c r="G203" s="2" t="str">
        <f t="shared" si="8"/>
        <v>Pass</v>
      </c>
      <c r="Y203" s="2">
        <v>188</v>
      </c>
      <c r="Z203" s="2">
        <v>0.33389999999999997</v>
      </c>
      <c r="AA203" s="2">
        <v>0.3483</v>
      </c>
      <c r="AB203" s="2">
        <v>119.01779999999999</v>
      </c>
    </row>
    <row r="204" spans="2:28" x14ac:dyDescent="0.4">
      <c r="B204" s="11">
        <v>187</v>
      </c>
      <c r="C204" s="16">
        <f t="shared" si="9"/>
        <v>107.15909599705404</v>
      </c>
      <c r="D204" s="17">
        <f t="shared" si="11"/>
        <v>119.06566221894893</v>
      </c>
      <c r="E204" s="17">
        <f t="shared" si="10"/>
        <v>130.97222844084382</v>
      </c>
      <c r="F204" s="2">
        <v>118.4521</v>
      </c>
      <c r="G204" s="2" t="str">
        <f t="shared" si="8"/>
        <v>Pass</v>
      </c>
      <c r="Y204" s="2">
        <v>189</v>
      </c>
      <c r="Z204" s="2">
        <v>0.33389999999999997</v>
      </c>
      <c r="AA204" s="2">
        <v>0.34920000000000001</v>
      </c>
      <c r="AB204" s="2">
        <v>119.80970000000001</v>
      </c>
    </row>
    <row r="205" spans="2:28" x14ac:dyDescent="0.4">
      <c r="B205" s="11">
        <v>188</v>
      </c>
      <c r="C205" s="16">
        <f t="shared" si="9"/>
        <v>108.1913047846715</v>
      </c>
      <c r="D205" s="17">
        <f t="shared" si="11"/>
        <v>120.21256087185722</v>
      </c>
      <c r="E205" s="17">
        <f t="shared" si="10"/>
        <v>132.23381695904294</v>
      </c>
      <c r="F205" s="2">
        <v>119.01779999999999</v>
      </c>
      <c r="G205" s="2" t="str">
        <f t="shared" si="8"/>
        <v>Pass</v>
      </c>
      <c r="Y205" s="2">
        <v>190</v>
      </c>
      <c r="Z205" s="2">
        <v>0.3337</v>
      </c>
      <c r="AA205" s="2">
        <v>0.34899999999999998</v>
      </c>
      <c r="AB205" s="2">
        <v>121.4961</v>
      </c>
    </row>
    <row r="206" spans="2:28" x14ac:dyDescent="0.4">
      <c r="B206" s="11">
        <v>189</v>
      </c>
      <c r="C206" s="16">
        <f t="shared" si="9"/>
        <v>109.22790907484045</v>
      </c>
      <c r="D206" s="17">
        <f t="shared" si="11"/>
        <v>121.36434341648939</v>
      </c>
      <c r="E206" s="17">
        <f t="shared" si="10"/>
        <v>133.50077775813833</v>
      </c>
      <c r="F206" s="2">
        <v>119.80970000000001</v>
      </c>
      <c r="G206" s="2" t="str">
        <f t="shared" si="8"/>
        <v>Pass</v>
      </c>
      <c r="Y206" s="2">
        <v>191</v>
      </c>
      <c r="Z206" s="2">
        <v>0.3337</v>
      </c>
      <c r="AA206" s="2">
        <v>0.34860000000000002</v>
      </c>
      <c r="AB206" s="2">
        <v>122.721</v>
      </c>
    </row>
    <row r="207" spans="2:28" x14ac:dyDescent="0.4">
      <c r="B207" s="11">
        <v>190</v>
      </c>
      <c r="C207" s="16">
        <f t="shared" si="9"/>
        <v>110.26890421291355</v>
      </c>
      <c r="D207" s="17">
        <f t="shared" si="11"/>
        <v>122.52100468101506</v>
      </c>
      <c r="E207" s="17">
        <f t="shared" si="10"/>
        <v>134.77310514911656</v>
      </c>
      <c r="F207" s="2">
        <v>121.4961</v>
      </c>
      <c r="G207" s="2" t="str">
        <f t="shared" si="8"/>
        <v>Pass</v>
      </c>
      <c r="Y207" s="2">
        <v>192</v>
      </c>
      <c r="Z207" s="2">
        <v>0.33400000000000002</v>
      </c>
      <c r="AA207" s="2">
        <v>0.3483</v>
      </c>
      <c r="AB207" s="2">
        <v>123.16160000000001</v>
      </c>
    </row>
    <row r="208" spans="2:28" x14ac:dyDescent="0.4">
      <c r="B208" s="11">
        <v>191</v>
      </c>
      <c r="C208" s="16">
        <f t="shared" si="9"/>
        <v>111.31428557366232</v>
      </c>
      <c r="D208" s="17">
        <f t="shared" si="11"/>
        <v>123.68253952629146</v>
      </c>
      <c r="E208" s="17">
        <f t="shared" si="10"/>
        <v>136.05079347892061</v>
      </c>
      <c r="F208" s="2">
        <v>122.721</v>
      </c>
      <c r="G208" s="2" t="str">
        <f t="shared" si="8"/>
        <v>Pass</v>
      </c>
      <c r="Y208" s="2">
        <v>193</v>
      </c>
      <c r="Z208" s="2">
        <v>0.33379999999999999</v>
      </c>
      <c r="AA208" s="2">
        <v>0.34820000000000001</v>
      </c>
      <c r="AB208" s="2">
        <v>124.4148</v>
      </c>
    </row>
    <row r="209" spans="2:28" x14ac:dyDescent="0.4">
      <c r="B209" s="11">
        <v>192</v>
      </c>
      <c r="C209" s="16">
        <f t="shared" si="9"/>
        <v>112.36404856093799</v>
      </c>
      <c r="D209" s="17">
        <f t="shared" si="11"/>
        <v>124.84894284548666</v>
      </c>
      <c r="E209" s="17">
        <f t="shared" si="10"/>
        <v>137.33383713003533</v>
      </c>
      <c r="F209" s="2">
        <v>123.16160000000001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0.33360000000000001</v>
      </c>
      <c r="AA209" s="2">
        <v>0.34799999999999998</v>
      </c>
      <c r="AB209" s="2">
        <v>126.0074</v>
      </c>
    </row>
    <row r="210" spans="2:28" x14ac:dyDescent="0.4">
      <c r="B210" s="11">
        <v>193</v>
      </c>
      <c r="C210" s="16">
        <f t="shared" ref="C210:C272" si="13">D210-D210*(C$14/100)</f>
        <v>113.41818860733821</v>
      </c>
      <c r="D210" s="17">
        <f t="shared" si="11"/>
        <v>126.02020956370913</v>
      </c>
      <c r="E210" s="17">
        <f t="shared" ref="E210:E272" si="14">D210+D210*(C$14/100)</f>
        <v>138.62223052008005</v>
      </c>
      <c r="F210" s="2">
        <v>124.4148</v>
      </c>
      <c r="G210" s="2" t="str">
        <f t="shared" si="12"/>
        <v>Pass</v>
      </c>
      <c r="Y210" s="2">
        <v>195</v>
      </c>
      <c r="Z210" s="2">
        <v>0.33479999999999999</v>
      </c>
      <c r="AA210" s="2">
        <v>0.3493</v>
      </c>
      <c r="AB210" s="2">
        <v>127.2912</v>
      </c>
    </row>
    <row r="211" spans="2:28" x14ac:dyDescent="0.4">
      <c r="B211" s="11">
        <v>194</v>
      </c>
      <c r="C211" s="16">
        <f t="shared" si="13"/>
        <v>114.47670117387887</v>
      </c>
      <c r="D211" s="17">
        <f t="shared" ref="D211:D271" si="15">D$272*((B211+F$17)/B$272)^C$13</f>
        <v>127.19633463764319</v>
      </c>
      <c r="E211" s="17">
        <f t="shared" si="14"/>
        <v>139.91596810140751</v>
      </c>
      <c r="F211" s="2">
        <v>126.0074</v>
      </c>
      <c r="G211" s="2" t="str">
        <f t="shared" si="12"/>
        <v>Pass</v>
      </c>
      <c r="Y211" s="2">
        <v>196</v>
      </c>
      <c r="Z211" s="2">
        <v>0.33350000000000002</v>
      </c>
      <c r="AA211" s="2">
        <v>0.34789999999999999</v>
      </c>
      <c r="AB211" s="2">
        <v>127.25190000000001</v>
      </c>
    </row>
    <row r="212" spans="2:28" x14ac:dyDescent="0.4">
      <c r="B212" s="11">
        <v>195</v>
      </c>
      <c r="C212" s="16">
        <f t="shared" si="13"/>
        <v>115.53958174967192</v>
      </c>
      <c r="D212" s="17">
        <f t="shared" si="15"/>
        <v>128.37731305519102</v>
      </c>
      <c r="E212" s="17">
        <f t="shared" si="14"/>
        <v>141.21504436071012</v>
      </c>
      <c r="F212" s="2">
        <v>127.2912</v>
      </c>
      <c r="G212" s="2" t="str">
        <f t="shared" si="12"/>
        <v>Pass</v>
      </c>
      <c r="Y212" s="2">
        <v>197</v>
      </c>
      <c r="Z212" s="2">
        <v>0.33329999999999999</v>
      </c>
      <c r="AA212" s="2">
        <v>0.34760000000000002</v>
      </c>
      <c r="AB212" s="2">
        <v>128.97049999999999</v>
      </c>
    </row>
    <row r="213" spans="2:28" x14ac:dyDescent="0.4">
      <c r="B213" s="11">
        <v>196</v>
      </c>
      <c r="C213" s="16">
        <f t="shared" si="13"/>
        <v>116.60682585160782</v>
      </c>
      <c r="D213" s="17">
        <f t="shared" si="15"/>
        <v>129.56313983511981</v>
      </c>
      <c r="E213" s="17">
        <f t="shared" si="14"/>
        <v>142.5194538186318</v>
      </c>
      <c r="F213" s="2">
        <v>127.25190000000001</v>
      </c>
      <c r="G213" s="2" t="str">
        <f t="shared" si="12"/>
        <v>Pass</v>
      </c>
      <c r="Y213" s="2">
        <v>198</v>
      </c>
      <c r="Z213" s="2">
        <v>0.33439999999999998</v>
      </c>
      <c r="AA213" s="2">
        <v>0.3488</v>
      </c>
      <c r="AB213" s="2">
        <v>130.25729999999999</v>
      </c>
    </row>
    <row r="214" spans="2:28" x14ac:dyDescent="0.4">
      <c r="B214" s="11">
        <v>197</v>
      </c>
      <c r="C214" s="16">
        <f t="shared" si="13"/>
        <v>117.67842902404384</v>
      </c>
      <c r="D214" s="17">
        <f t="shared" si="15"/>
        <v>130.75381002671537</v>
      </c>
      <c r="E214" s="17">
        <f t="shared" si="14"/>
        <v>143.82919102938692</v>
      </c>
      <c r="F214" s="2">
        <v>128.97049999999999</v>
      </c>
      <c r="G214" s="2" t="str">
        <f t="shared" si="12"/>
        <v>Pass</v>
      </c>
      <c r="Y214" s="2">
        <v>199</v>
      </c>
      <c r="Z214" s="2">
        <v>0.33429999999999999</v>
      </c>
      <c r="AA214" s="2">
        <v>0.34870000000000001</v>
      </c>
      <c r="AB214" s="2">
        <v>131.5412</v>
      </c>
    </row>
    <row r="215" spans="2:28" x14ac:dyDescent="0.4">
      <c r="B215" s="11">
        <v>198</v>
      </c>
      <c r="C215" s="16">
        <f t="shared" si="13"/>
        <v>118.7543868384969</v>
      </c>
      <c r="D215" s="17">
        <f t="shared" si="15"/>
        <v>131.949318709441</v>
      </c>
      <c r="E215" s="17">
        <f t="shared" si="14"/>
        <v>145.14425058038509</v>
      </c>
      <c r="F215" s="2">
        <v>130.25729999999999</v>
      </c>
      <c r="G215" s="2" t="str">
        <f t="shared" si="12"/>
        <v>Pass</v>
      </c>
      <c r="Y215" s="2">
        <v>200</v>
      </c>
      <c r="Z215" s="2">
        <v>0.33410000000000001</v>
      </c>
      <c r="AA215" s="2">
        <v>0.34760000000000002</v>
      </c>
      <c r="AB215" s="2">
        <v>131.91159999999999</v>
      </c>
    </row>
    <row r="216" spans="2:28" x14ac:dyDescent="0.4">
      <c r="B216" s="11">
        <v>199</v>
      </c>
      <c r="C216" s="16">
        <f t="shared" si="13"/>
        <v>119.83469489334171</v>
      </c>
      <c r="D216" s="17">
        <f t="shared" si="15"/>
        <v>133.14966099260189</v>
      </c>
      <c r="E216" s="17">
        <f t="shared" si="14"/>
        <v>146.4646270918621</v>
      </c>
      <c r="F216" s="2">
        <v>131.5412</v>
      </c>
      <c r="G216" s="2" t="str">
        <f t="shared" si="12"/>
        <v>Pass</v>
      </c>
      <c r="Y216" s="2">
        <v>201</v>
      </c>
      <c r="Z216" s="2">
        <v>0.33479999999999999</v>
      </c>
      <c r="AA216" s="2">
        <v>0.34889999999999999</v>
      </c>
      <c r="AB216" s="2">
        <v>133.65389999999999</v>
      </c>
    </row>
    <row r="217" spans="2:28" x14ac:dyDescent="0.4">
      <c r="B217" s="11">
        <v>200</v>
      </c>
      <c r="C217" s="16">
        <f t="shared" si="13"/>
        <v>120.91934881351355</v>
      </c>
      <c r="D217" s="17">
        <f t="shared" si="15"/>
        <v>134.35483201501506</v>
      </c>
      <c r="E217" s="17">
        <f t="shared" si="14"/>
        <v>147.79031521651657</v>
      </c>
      <c r="F217" s="2">
        <v>131.91159999999999</v>
      </c>
      <c r="G217" s="2" t="str">
        <f t="shared" si="12"/>
        <v>Pass</v>
      </c>
      <c r="Y217" s="2">
        <v>202</v>
      </c>
      <c r="Z217" s="2">
        <v>0.3347</v>
      </c>
      <c r="AA217" s="2">
        <v>0.3488</v>
      </c>
      <c r="AB217" s="2">
        <v>134.9718</v>
      </c>
    </row>
    <row r="218" spans="2:28" x14ac:dyDescent="0.4">
      <c r="B218" s="11">
        <v>201</v>
      </c>
      <c r="C218" s="16">
        <f t="shared" si="13"/>
        <v>122.00834425021601</v>
      </c>
      <c r="D218" s="17">
        <f t="shared" si="15"/>
        <v>135.56482694468446</v>
      </c>
      <c r="E218" s="17">
        <f t="shared" si="14"/>
        <v>149.12130963915291</v>
      </c>
      <c r="F218" s="2">
        <v>133.65389999999999</v>
      </c>
      <c r="G218" s="2" t="str">
        <f t="shared" si="12"/>
        <v>Pass</v>
      </c>
      <c r="Y218" s="2">
        <v>203</v>
      </c>
      <c r="Z218" s="2">
        <v>0.33489999999999998</v>
      </c>
      <c r="AA218" s="2">
        <v>0.34939999999999999</v>
      </c>
      <c r="AB218" s="2">
        <v>136.33580000000001</v>
      </c>
    </row>
    <row r="219" spans="2:28" x14ac:dyDescent="0.4">
      <c r="B219" s="11">
        <v>202</v>
      </c>
      <c r="C219" s="16">
        <f t="shared" si="13"/>
        <v>123.10167688063314</v>
      </c>
      <c r="D219" s="17">
        <f t="shared" si="15"/>
        <v>136.77964097848127</v>
      </c>
      <c r="E219" s="17">
        <f t="shared" si="14"/>
        <v>150.4576050763294</v>
      </c>
      <c r="F219" s="2">
        <v>134.9718</v>
      </c>
      <c r="G219" s="2" t="str">
        <f t="shared" si="12"/>
        <v>Pass</v>
      </c>
      <c r="Y219" s="2">
        <v>204</v>
      </c>
      <c r="Z219" s="2">
        <v>0.33439999999999998</v>
      </c>
      <c r="AA219" s="2">
        <v>0.34949999999999998</v>
      </c>
      <c r="AB219" s="2">
        <v>137.67689999999999</v>
      </c>
    </row>
    <row r="220" spans="2:28" x14ac:dyDescent="0.4">
      <c r="B220" s="11">
        <v>203</v>
      </c>
      <c r="C220" s="16">
        <f t="shared" si="13"/>
        <v>124.19934240764647</v>
      </c>
      <c r="D220" s="17">
        <f t="shared" si="15"/>
        <v>137.9992693418294</v>
      </c>
      <c r="E220" s="17">
        <f t="shared" si="14"/>
        <v>151.79919627601234</v>
      </c>
      <c r="F220" s="2">
        <v>136.33580000000001</v>
      </c>
      <c r="G220" s="2" t="str">
        <f t="shared" si="12"/>
        <v>Pass</v>
      </c>
      <c r="Y220" s="2">
        <v>205</v>
      </c>
      <c r="Z220" s="2">
        <v>0.33429999999999999</v>
      </c>
      <c r="AA220" s="2">
        <v>0.34839999999999999</v>
      </c>
      <c r="AB220" s="2">
        <v>138.07149999999999</v>
      </c>
    </row>
    <row r="221" spans="2:28" x14ac:dyDescent="0.4">
      <c r="B221" s="11">
        <v>204</v>
      </c>
      <c r="C221" s="16">
        <f t="shared" si="13"/>
        <v>125.30133655955608</v>
      </c>
      <c r="D221" s="17">
        <f t="shared" si="15"/>
        <v>139.22370728839564</v>
      </c>
      <c r="E221" s="17">
        <f t="shared" si="14"/>
        <v>153.1460780172352</v>
      </c>
      <c r="F221" s="2">
        <v>137.67689999999999</v>
      </c>
      <c r="G221" s="2" t="str">
        <f t="shared" si="12"/>
        <v>Pass</v>
      </c>
      <c r="Y221" s="2">
        <v>206</v>
      </c>
      <c r="Z221" s="2">
        <v>0.33460000000000001</v>
      </c>
      <c r="AA221" s="2">
        <v>0.34910000000000002</v>
      </c>
      <c r="AB221" s="2">
        <v>139.41569999999999</v>
      </c>
    </row>
    <row r="222" spans="2:28" x14ac:dyDescent="0.4">
      <c r="B222" s="11">
        <v>205</v>
      </c>
      <c r="C222" s="16">
        <f t="shared" si="13"/>
        <v>126.40765508980662</v>
      </c>
      <c r="D222" s="17">
        <f t="shared" si="15"/>
        <v>140.45295009978514</v>
      </c>
      <c r="E222" s="17">
        <f t="shared" si="14"/>
        <v>154.49824510976364</v>
      </c>
      <c r="F222" s="2">
        <v>138.07149999999999</v>
      </c>
      <c r="G222" s="2" t="str">
        <f t="shared" si="12"/>
        <v>Pass</v>
      </c>
      <c r="Y222" s="2">
        <v>207</v>
      </c>
      <c r="Z222" s="2">
        <v>0.33439999999999998</v>
      </c>
      <c r="AA222" s="2">
        <v>0.34889999999999999</v>
      </c>
      <c r="AB222" s="2">
        <v>141.21279999999999</v>
      </c>
    </row>
    <row r="223" spans="2:28" x14ac:dyDescent="0.4">
      <c r="B223" s="11">
        <v>206</v>
      </c>
      <c r="C223" s="16">
        <f t="shared" si="13"/>
        <v>127.51829377671706</v>
      </c>
      <c r="D223" s="17">
        <f t="shared" si="15"/>
        <v>141.68699308524117</v>
      </c>
      <c r="E223" s="17">
        <f t="shared" si="14"/>
        <v>155.85569239376528</v>
      </c>
      <c r="F223" s="2">
        <v>139.41569999999999</v>
      </c>
      <c r="G223" s="2" t="str">
        <f t="shared" si="12"/>
        <v>Pass</v>
      </c>
      <c r="Y223" s="2">
        <v>208</v>
      </c>
      <c r="Z223" s="2">
        <v>0.3342</v>
      </c>
      <c r="AA223" s="2">
        <v>0.3488</v>
      </c>
      <c r="AB223" s="2">
        <v>142.5684</v>
      </c>
    </row>
    <row r="224" spans="2:28" x14ac:dyDescent="0.4">
      <c r="B224" s="11">
        <v>207</v>
      </c>
      <c r="C224" s="16">
        <f t="shared" si="13"/>
        <v>128.63324842321487</v>
      </c>
      <c r="D224" s="17">
        <f t="shared" si="15"/>
        <v>142.92583158134985</v>
      </c>
      <c r="E224" s="17">
        <f t="shared" si="14"/>
        <v>157.21841473948484</v>
      </c>
      <c r="F224" s="2">
        <v>141.21279999999999</v>
      </c>
      <c r="G224" s="2" t="str">
        <f t="shared" si="12"/>
        <v>Pass</v>
      </c>
      <c r="Y224" s="2">
        <v>209</v>
      </c>
      <c r="Z224" s="2">
        <v>0.33510000000000001</v>
      </c>
      <c r="AA224" s="2">
        <v>0.35010000000000002</v>
      </c>
      <c r="AB224" s="2">
        <v>143.84200000000001</v>
      </c>
    </row>
    <row r="225" spans="2:28" x14ac:dyDescent="0.4">
      <c r="B225" s="11">
        <v>208</v>
      </c>
      <c r="C225" s="16">
        <f t="shared" si="13"/>
        <v>129.75251485657441</v>
      </c>
      <c r="D225" s="17">
        <f t="shared" si="15"/>
        <v>144.16946095174936</v>
      </c>
      <c r="E225" s="17">
        <f t="shared" si="14"/>
        <v>158.58640704692431</v>
      </c>
      <c r="F225" s="2">
        <v>142.5684</v>
      </c>
      <c r="G225" s="2" t="str">
        <f t="shared" si="12"/>
        <v>Pass</v>
      </c>
      <c r="Y225" s="2">
        <v>210</v>
      </c>
      <c r="Z225" s="2">
        <v>0.3347</v>
      </c>
      <c r="AA225" s="2">
        <v>0.34910000000000002</v>
      </c>
      <c r="AB225" s="2">
        <v>144.1825</v>
      </c>
    </row>
    <row r="226" spans="2:28" x14ac:dyDescent="0.4">
      <c r="B226" s="11">
        <v>209</v>
      </c>
      <c r="C226" s="16">
        <f t="shared" si="13"/>
        <v>130.87608892815922</v>
      </c>
      <c r="D226" s="17">
        <f t="shared" si="15"/>
        <v>145.41787658684356</v>
      </c>
      <c r="E226" s="17">
        <f t="shared" si="14"/>
        <v>159.9596642455279</v>
      </c>
      <c r="F226" s="2">
        <v>143.84200000000001</v>
      </c>
      <c r="G226" s="2" t="str">
        <f t="shared" si="12"/>
        <v>Pass</v>
      </c>
      <c r="Y226" s="2">
        <v>211</v>
      </c>
      <c r="Z226" s="2">
        <v>0.33450000000000002</v>
      </c>
      <c r="AA226" s="2">
        <v>0.34889999999999999</v>
      </c>
      <c r="AB226" s="2">
        <v>146.02670000000001</v>
      </c>
    </row>
    <row r="227" spans="2:28" x14ac:dyDescent="0.4">
      <c r="B227" s="11">
        <v>210</v>
      </c>
      <c r="C227" s="16">
        <f t="shared" si="13"/>
        <v>132.00396651316817</v>
      </c>
      <c r="D227" s="17">
        <f t="shared" si="15"/>
        <v>146.67107390352018</v>
      </c>
      <c r="E227" s="17">
        <f t="shared" si="14"/>
        <v>161.3381812938722</v>
      </c>
      <c r="F227" s="2">
        <v>144.1825</v>
      </c>
      <c r="G227" s="2" t="str">
        <f t="shared" si="12"/>
        <v>Pass</v>
      </c>
      <c r="Y227" s="2">
        <v>212</v>
      </c>
      <c r="Z227" s="2">
        <v>0.3347</v>
      </c>
      <c r="AA227" s="2">
        <v>0.34939999999999999</v>
      </c>
      <c r="AB227" s="2">
        <v>147.41130000000001</v>
      </c>
    </row>
    <row r="228" spans="2:28" x14ac:dyDescent="0.4">
      <c r="B228" s="11">
        <v>211</v>
      </c>
      <c r="C228" s="16">
        <f t="shared" si="13"/>
        <v>133.13614351038578</v>
      </c>
      <c r="D228" s="17">
        <f t="shared" si="15"/>
        <v>147.92904834487308</v>
      </c>
      <c r="E228" s="17">
        <f t="shared" si="14"/>
        <v>162.72195317936038</v>
      </c>
      <c r="F228" s="2">
        <v>146.02670000000001</v>
      </c>
      <c r="G228" s="2" t="str">
        <f t="shared" si="12"/>
        <v>Pass</v>
      </c>
      <c r="Y228" s="2">
        <v>213</v>
      </c>
      <c r="Z228" s="2">
        <v>0.33460000000000001</v>
      </c>
      <c r="AA228" s="2">
        <v>0.3493</v>
      </c>
      <c r="AB228" s="2">
        <v>148.80240000000001</v>
      </c>
    </row>
    <row r="229" spans="2:28" x14ac:dyDescent="0.4">
      <c r="B229" s="11">
        <v>212</v>
      </c>
      <c r="C229" s="16">
        <f t="shared" si="13"/>
        <v>134.27261584193596</v>
      </c>
      <c r="D229" s="17">
        <f t="shared" si="15"/>
        <v>149.19179537992883</v>
      </c>
      <c r="E229" s="17">
        <f t="shared" si="14"/>
        <v>164.11097491792171</v>
      </c>
      <c r="F229" s="2">
        <v>147.41130000000001</v>
      </c>
      <c r="G229" s="2" t="str">
        <f t="shared" si="12"/>
        <v>Pass</v>
      </c>
      <c r="Y229" s="2">
        <v>214</v>
      </c>
      <c r="Z229" s="2">
        <v>0.33450000000000002</v>
      </c>
      <c r="AA229" s="2">
        <v>0.34920000000000001</v>
      </c>
      <c r="AB229" s="2">
        <v>150.6206</v>
      </c>
    </row>
    <row r="230" spans="2:28" x14ac:dyDescent="0.4">
      <c r="B230" s="11">
        <v>213</v>
      </c>
      <c r="C230" s="16">
        <f t="shared" si="13"/>
        <v>135.41337945303977</v>
      </c>
      <c r="D230" s="17">
        <f t="shared" si="15"/>
        <v>150.45931050337751</v>
      </c>
      <c r="E230" s="17">
        <f t="shared" si="14"/>
        <v>165.50524155371525</v>
      </c>
      <c r="F230" s="2">
        <v>148.80240000000001</v>
      </c>
      <c r="G230" s="2" t="str">
        <f t="shared" si="12"/>
        <v>Pass</v>
      </c>
      <c r="Y230" s="2">
        <v>215</v>
      </c>
      <c r="Z230" s="2">
        <v>0.33550000000000002</v>
      </c>
      <c r="AA230" s="2">
        <v>0.34960000000000002</v>
      </c>
      <c r="AB230" s="2">
        <v>150.6397</v>
      </c>
    </row>
    <row r="231" spans="2:28" x14ac:dyDescent="0.4">
      <c r="B231" s="11">
        <v>214</v>
      </c>
      <c r="C231" s="16">
        <f t="shared" si="13"/>
        <v>136.55843031177665</v>
      </c>
      <c r="D231" s="17">
        <f t="shared" si="15"/>
        <v>151.73158923530738</v>
      </c>
      <c r="E231" s="17">
        <f t="shared" si="14"/>
        <v>166.90474815883812</v>
      </c>
      <c r="F231" s="2">
        <v>150.6206</v>
      </c>
      <c r="G231" s="2" t="str">
        <f t="shared" si="12"/>
        <v>Pass</v>
      </c>
      <c r="Y231" s="2">
        <v>216</v>
      </c>
      <c r="Z231" s="2">
        <v>0.33529999999999999</v>
      </c>
      <c r="AA231" s="2">
        <v>0.34949999999999998</v>
      </c>
      <c r="AB231" s="2">
        <v>152.51050000000001</v>
      </c>
    </row>
    <row r="232" spans="2:28" x14ac:dyDescent="0.4">
      <c r="B232" s="11">
        <v>215</v>
      </c>
      <c r="C232" s="16">
        <f t="shared" si="13"/>
        <v>137.70776440884936</v>
      </c>
      <c r="D232" s="17">
        <f t="shared" si="15"/>
        <v>153.00862712094374</v>
      </c>
      <c r="E232" s="17">
        <f t="shared" si="14"/>
        <v>168.30948983303813</v>
      </c>
      <c r="F232" s="2">
        <v>150.6397</v>
      </c>
      <c r="G232" s="2" t="str">
        <f t="shared" si="12"/>
        <v>Pass</v>
      </c>
      <c r="Y232" s="2">
        <v>217</v>
      </c>
      <c r="Z232" s="2">
        <v>0.3352</v>
      </c>
      <c r="AA232" s="2">
        <v>0.34939999999999999</v>
      </c>
      <c r="AB232" s="2">
        <v>153.9111</v>
      </c>
    </row>
    <row r="233" spans="2:28" x14ac:dyDescent="0.4">
      <c r="B233" s="11">
        <v>216</v>
      </c>
      <c r="C233" s="16">
        <f t="shared" si="13"/>
        <v>138.86137775735222</v>
      </c>
      <c r="D233" s="17">
        <f t="shared" si="15"/>
        <v>154.29041973039136</v>
      </c>
      <c r="E233" s="17">
        <f t="shared" si="14"/>
        <v>169.71946170343051</v>
      </c>
      <c r="F233" s="2">
        <v>152.51050000000001</v>
      </c>
      <c r="G233" s="2" t="str">
        <f t="shared" si="12"/>
        <v>Pass</v>
      </c>
      <c r="Y233" s="2">
        <v>218</v>
      </c>
      <c r="Z233" s="2">
        <v>0.3357</v>
      </c>
      <c r="AA233" s="2">
        <v>0.35060000000000002</v>
      </c>
      <c r="AB233" s="2">
        <v>155.29040000000001</v>
      </c>
    </row>
    <row r="234" spans="2:28" x14ac:dyDescent="0.4">
      <c r="B234" s="11">
        <v>217</v>
      </c>
      <c r="C234" s="16">
        <f t="shared" si="13"/>
        <v>140.01926639254299</v>
      </c>
      <c r="D234" s="17">
        <f t="shared" si="15"/>
        <v>155.57696265838109</v>
      </c>
      <c r="E234" s="17">
        <f t="shared" si="14"/>
        <v>171.1346589242192</v>
      </c>
      <c r="F234" s="2">
        <v>153.9111</v>
      </c>
      <c r="G234" s="2" t="str">
        <f t="shared" si="12"/>
        <v>Pass</v>
      </c>
      <c r="Y234" s="2">
        <v>219</v>
      </c>
      <c r="Z234" s="2">
        <v>0.33560000000000001</v>
      </c>
      <c r="AA234" s="2">
        <v>0.35060000000000002</v>
      </c>
      <c r="AB234" s="2">
        <v>157.20519999999999</v>
      </c>
    </row>
    <row r="235" spans="2:28" x14ac:dyDescent="0.4">
      <c r="B235" s="11">
        <v>218</v>
      </c>
      <c r="C235" s="16">
        <f t="shared" si="13"/>
        <v>141.1814263716179</v>
      </c>
      <c r="D235" s="17">
        <f t="shared" si="15"/>
        <v>156.86825152401988</v>
      </c>
      <c r="E235" s="17">
        <f t="shared" si="14"/>
        <v>172.55507667642186</v>
      </c>
      <c r="F235" s="2">
        <v>155.29040000000001</v>
      </c>
      <c r="G235" s="2" t="str">
        <f t="shared" si="12"/>
        <v>Pass</v>
      </c>
      <c r="Y235" s="2">
        <v>220</v>
      </c>
      <c r="Z235" s="2">
        <v>0.33539999999999998</v>
      </c>
      <c r="AA235" s="2">
        <v>0.3488</v>
      </c>
      <c r="AB235" s="2">
        <v>157.6686</v>
      </c>
    </row>
    <row r="236" spans="2:28" x14ac:dyDescent="0.4">
      <c r="B236" s="11">
        <v>219</v>
      </c>
      <c r="C236" s="16">
        <f t="shared" si="13"/>
        <v>142.34785377349044</v>
      </c>
      <c r="D236" s="17">
        <f t="shared" si="15"/>
        <v>158.16428197054492</v>
      </c>
      <c r="E236" s="17">
        <f t="shared" si="14"/>
        <v>173.9807101675994</v>
      </c>
      <c r="F236" s="2">
        <v>157.20519999999999</v>
      </c>
      <c r="G236" s="2" t="str">
        <f t="shared" si="12"/>
        <v>Pass</v>
      </c>
      <c r="Y236" s="2">
        <v>221</v>
      </c>
      <c r="Z236" s="2">
        <v>0.33600000000000002</v>
      </c>
      <c r="AA236" s="2">
        <v>0.35010000000000002</v>
      </c>
      <c r="AB236" s="2">
        <v>159.09790000000001</v>
      </c>
    </row>
    <row r="237" spans="2:28" x14ac:dyDescent="0.4">
      <c r="B237" s="11">
        <v>220</v>
      </c>
      <c r="C237" s="16">
        <f t="shared" si="13"/>
        <v>143.51854469857253</v>
      </c>
      <c r="D237" s="17">
        <f t="shared" si="15"/>
        <v>159.46504966508058</v>
      </c>
      <c r="E237" s="17">
        <f t="shared" si="14"/>
        <v>175.41155463158864</v>
      </c>
      <c r="F237" s="2">
        <v>157.6686</v>
      </c>
      <c r="G237" s="2" t="str">
        <f t="shared" si="12"/>
        <v>Pass</v>
      </c>
      <c r="Y237" s="2">
        <v>222</v>
      </c>
      <c r="Z237" s="2">
        <v>0.33579999999999999</v>
      </c>
      <c r="AA237" s="2">
        <v>0.35</v>
      </c>
      <c r="AB237" s="2">
        <v>160.4494</v>
      </c>
    </row>
    <row r="238" spans="2:28" x14ac:dyDescent="0.4">
      <c r="B238" s="11">
        <v>221</v>
      </c>
      <c r="C238" s="16">
        <f t="shared" si="13"/>
        <v>144.69349526855996</v>
      </c>
      <c r="D238" s="17">
        <f t="shared" si="15"/>
        <v>160.77055029839994</v>
      </c>
      <c r="E238" s="17">
        <f t="shared" si="14"/>
        <v>176.84760532823992</v>
      </c>
      <c r="F238" s="2">
        <v>159.09790000000001</v>
      </c>
      <c r="G238" s="2" t="str">
        <f t="shared" si="12"/>
        <v>Pass</v>
      </c>
      <c r="Y238" s="2">
        <v>223</v>
      </c>
      <c r="Z238" s="2">
        <v>0.33500000000000002</v>
      </c>
      <c r="AA238" s="2">
        <v>0.35020000000000001</v>
      </c>
      <c r="AB238" s="2">
        <v>161.86179999999999</v>
      </c>
    </row>
    <row r="239" spans="2:28" x14ac:dyDescent="0.4">
      <c r="B239" s="11">
        <v>222</v>
      </c>
      <c r="C239" s="16">
        <f t="shared" si="13"/>
        <v>145.87270162621994</v>
      </c>
      <c r="D239" s="17">
        <f t="shared" si="15"/>
        <v>162.08077958468883</v>
      </c>
      <c r="E239" s="17">
        <f t="shared" si="14"/>
        <v>178.28885754315772</v>
      </c>
      <c r="F239" s="2">
        <v>160.4494</v>
      </c>
      <c r="G239" s="2" t="str">
        <f t="shared" si="12"/>
        <v>Pass</v>
      </c>
      <c r="Y239" s="2">
        <v>224</v>
      </c>
      <c r="Z239" s="2">
        <v>0.33510000000000001</v>
      </c>
      <c r="AA239" s="2">
        <v>0.3508</v>
      </c>
      <c r="AB239" s="2">
        <v>163.1953</v>
      </c>
    </row>
    <row r="240" spans="2:28" x14ac:dyDescent="0.4">
      <c r="B240" s="11">
        <v>223</v>
      </c>
      <c r="C240" s="16">
        <f t="shared" si="13"/>
        <v>147.05615993518251</v>
      </c>
      <c r="D240" s="17">
        <f t="shared" si="15"/>
        <v>163.39573326131389</v>
      </c>
      <c r="E240" s="17">
        <f t="shared" si="14"/>
        <v>179.73530658744528</v>
      </c>
      <c r="F240" s="2">
        <v>161.86179999999999</v>
      </c>
      <c r="G240" s="2" t="str">
        <f t="shared" si="12"/>
        <v>Pass</v>
      </c>
      <c r="Y240" s="2">
        <v>225</v>
      </c>
      <c r="Z240" s="2">
        <v>0.33529999999999999</v>
      </c>
      <c r="AA240" s="2">
        <v>0.3498</v>
      </c>
      <c r="AB240" s="2">
        <v>163.6627</v>
      </c>
    </row>
    <row r="241" spans="2:28" x14ac:dyDescent="0.4">
      <c r="B241" s="11">
        <v>224</v>
      </c>
      <c r="C241" s="16">
        <f t="shared" si="13"/>
        <v>148.24386637973427</v>
      </c>
      <c r="D241" s="17">
        <f t="shared" si="15"/>
        <v>164.71540708859362</v>
      </c>
      <c r="E241" s="17">
        <f t="shared" si="14"/>
        <v>181.18694779745297</v>
      </c>
      <c r="F241" s="2">
        <v>163.1953</v>
      </c>
      <c r="G241" s="2" t="str">
        <f t="shared" si="12"/>
        <v>Pass</v>
      </c>
      <c r="Y241" s="2">
        <v>226</v>
      </c>
      <c r="Z241" s="2">
        <v>0.3352</v>
      </c>
      <c r="AA241" s="2">
        <v>0.34960000000000002</v>
      </c>
      <c r="AB241" s="2">
        <v>165.5898</v>
      </c>
    </row>
    <row r="242" spans="2:28" x14ac:dyDescent="0.4">
      <c r="B242" s="11">
        <v>225</v>
      </c>
      <c r="C242" s="16">
        <f t="shared" si="13"/>
        <v>149.4358171646156</v>
      </c>
      <c r="D242" s="17">
        <f t="shared" si="15"/>
        <v>166.03979684957289</v>
      </c>
      <c r="E242" s="17">
        <f t="shared" si="14"/>
        <v>182.64377653453019</v>
      </c>
      <c r="F242" s="2">
        <v>163.6627</v>
      </c>
      <c r="G242" s="2" t="str">
        <f t="shared" si="12"/>
        <v>Pass</v>
      </c>
      <c r="Y242" s="2">
        <v>227</v>
      </c>
      <c r="Z242" s="2">
        <v>0.33579999999999999</v>
      </c>
      <c r="AA242" s="2">
        <v>0.35089999999999999</v>
      </c>
      <c r="AB242" s="2">
        <v>167.08080000000001</v>
      </c>
    </row>
    <row r="243" spans="2:28" x14ac:dyDescent="0.4">
      <c r="B243" s="11">
        <v>226</v>
      </c>
      <c r="C243" s="16">
        <f t="shared" si="13"/>
        <v>150.63200851482054</v>
      </c>
      <c r="D243" s="17">
        <f t="shared" si="15"/>
        <v>167.36889834980062</v>
      </c>
      <c r="E243" s="17">
        <f t="shared" si="14"/>
        <v>184.10578818478069</v>
      </c>
      <c r="F243" s="2">
        <v>165.5898</v>
      </c>
      <c r="G243" s="2" t="str">
        <f t="shared" si="12"/>
        <v>Pass</v>
      </c>
      <c r="Y243" s="2">
        <v>228</v>
      </c>
      <c r="Z243" s="2">
        <v>0.3357</v>
      </c>
      <c r="AA243" s="2">
        <v>0.35070000000000001</v>
      </c>
      <c r="AB243" s="2">
        <v>168.5548</v>
      </c>
    </row>
    <row r="244" spans="2:28" x14ac:dyDescent="0.4">
      <c r="B244" s="11">
        <v>227</v>
      </c>
      <c r="C244" s="16">
        <f t="shared" si="13"/>
        <v>151.83243667539946</v>
      </c>
      <c r="D244" s="17">
        <f t="shared" si="15"/>
        <v>168.7027074171105</v>
      </c>
      <c r="E244" s="17">
        <f t="shared" si="14"/>
        <v>185.57297815882154</v>
      </c>
      <c r="F244" s="2">
        <v>167.08080000000001</v>
      </c>
      <c r="G244" s="2" t="str">
        <f t="shared" si="12"/>
        <v>Pass</v>
      </c>
      <c r="Y244" s="2">
        <v>229</v>
      </c>
      <c r="Z244" s="2">
        <v>0.33550000000000002</v>
      </c>
      <c r="AA244" s="2">
        <v>0.35049999999999998</v>
      </c>
      <c r="AB244" s="2">
        <v>170.4896</v>
      </c>
    </row>
    <row r="245" spans="2:28" x14ac:dyDescent="0.4">
      <c r="B245" s="11">
        <v>228</v>
      </c>
      <c r="C245" s="16">
        <f t="shared" si="13"/>
        <v>153.03709791126428</v>
      </c>
      <c r="D245" s="17">
        <f t="shared" si="15"/>
        <v>170.04121990140476</v>
      </c>
      <c r="E245" s="17">
        <f t="shared" si="14"/>
        <v>187.04534189154523</v>
      </c>
      <c r="F245" s="2">
        <v>168.5548</v>
      </c>
      <c r="G245" s="2" t="str">
        <f t="shared" si="12"/>
        <v>Pass</v>
      </c>
      <c r="Y245" s="2">
        <v>230</v>
      </c>
      <c r="Z245" s="2">
        <v>0.3357</v>
      </c>
      <c r="AA245" s="2">
        <v>0.35099999999999998</v>
      </c>
      <c r="AB245" s="2">
        <v>171.96870000000001</v>
      </c>
    </row>
    <row r="246" spans="2:28" x14ac:dyDescent="0.4">
      <c r="B246" s="11">
        <v>229</v>
      </c>
      <c r="C246" s="16">
        <f t="shared" si="13"/>
        <v>154.24598850699732</v>
      </c>
      <c r="D246" s="17">
        <f t="shared" si="15"/>
        <v>171.38443167444146</v>
      </c>
      <c r="E246" s="17">
        <f t="shared" si="14"/>
        <v>188.5228748418856</v>
      </c>
      <c r="F246" s="2">
        <v>170.4896</v>
      </c>
      <c r="G246" s="2" t="str">
        <f t="shared" si="12"/>
        <v>Pass</v>
      </c>
      <c r="Y246" s="2">
        <v>231</v>
      </c>
      <c r="Z246" s="2">
        <v>0.33589999999999998</v>
      </c>
      <c r="AA246" s="2">
        <v>0.35</v>
      </c>
      <c r="AB246" s="2">
        <v>172.4966</v>
      </c>
    </row>
    <row r="247" spans="2:28" x14ac:dyDescent="0.4">
      <c r="B247" s="11">
        <v>230</v>
      </c>
      <c r="C247" s="16">
        <f t="shared" si="13"/>
        <v>155.45910476666171</v>
      </c>
      <c r="D247" s="17">
        <f t="shared" si="15"/>
        <v>172.73233862962411</v>
      </c>
      <c r="E247" s="17">
        <f t="shared" si="14"/>
        <v>190.00557249258651</v>
      </c>
      <c r="F247" s="2">
        <v>171.96870000000001</v>
      </c>
      <c r="G247" s="2" t="str">
        <f t="shared" si="12"/>
        <v>Pass</v>
      </c>
      <c r="Y247" s="2">
        <v>232</v>
      </c>
      <c r="Z247" s="2">
        <v>0.3357</v>
      </c>
      <c r="AA247" s="2">
        <v>0.3498</v>
      </c>
      <c r="AB247" s="2">
        <v>173.9605</v>
      </c>
    </row>
    <row r="248" spans="2:28" x14ac:dyDescent="0.4">
      <c r="B248" s="11">
        <v>231</v>
      </c>
      <c r="C248" s="16">
        <f t="shared" si="13"/>
        <v>156.67644301361514</v>
      </c>
      <c r="D248" s="17">
        <f t="shared" si="15"/>
        <v>174.0849366817946</v>
      </c>
      <c r="E248" s="17">
        <f t="shared" si="14"/>
        <v>191.49343034997406</v>
      </c>
      <c r="F248" s="2">
        <v>172.4966</v>
      </c>
      <c r="G248" s="2" t="str">
        <f t="shared" si="12"/>
        <v>Pass</v>
      </c>
      <c r="Y248" s="2">
        <v>233</v>
      </c>
      <c r="Z248" s="2">
        <v>0.33539999999999998</v>
      </c>
      <c r="AA248" s="2">
        <v>0.35070000000000001</v>
      </c>
      <c r="AB248" s="2">
        <v>175.4109</v>
      </c>
    </row>
    <row r="249" spans="2:28" x14ac:dyDescent="0.4">
      <c r="B249" s="11">
        <v>232</v>
      </c>
      <c r="C249" s="16">
        <f t="shared" si="13"/>
        <v>157.89799959032598</v>
      </c>
      <c r="D249" s="17">
        <f t="shared" si="15"/>
        <v>175.44222176702888</v>
      </c>
      <c r="E249" s="17">
        <f t="shared" si="14"/>
        <v>192.98644394373179</v>
      </c>
      <c r="F249" s="2">
        <v>173.9605</v>
      </c>
      <c r="G249" s="2" t="str">
        <f t="shared" si="12"/>
        <v>Pass</v>
      </c>
      <c r="Y249" s="2">
        <v>234</v>
      </c>
      <c r="Z249" s="2">
        <v>0.33529999999999999</v>
      </c>
      <c r="AA249" s="2">
        <v>0.35049999999999998</v>
      </c>
      <c r="AB249" s="2">
        <v>176.8698</v>
      </c>
    </row>
    <row r="250" spans="2:28" x14ac:dyDescent="0.4">
      <c r="B250" s="11">
        <v>233</v>
      </c>
      <c r="C250" s="16">
        <f t="shared" si="13"/>
        <v>159.12377085819193</v>
      </c>
      <c r="D250" s="17">
        <f t="shared" si="15"/>
        <v>176.80418984243548</v>
      </c>
      <c r="E250" s="17">
        <f t="shared" si="14"/>
        <v>194.48460882667902</v>
      </c>
      <c r="F250" s="2">
        <v>175.4109</v>
      </c>
      <c r="G250" s="2" t="str">
        <f t="shared" si="12"/>
        <v>Pass</v>
      </c>
      <c r="Y250" s="2">
        <v>235</v>
      </c>
      <c r="Z250" s="2">
        <v>0.33500000000000002</v>
      </c>
      <c r="AA250" s="2">
        <v>0.3503</v>
      </c>
      <c r="AB250" s="2">
        <v>178.83199999999999</v>
      </c>
    </row>
    <row r="251" spans="2:28" x14ac:dyDescent="0.4">
      <c r="B251" s="11">
        <v>234</v>
      </c>
      <c r="C251" s="16">
        <f t="shared" si="13"/>
        <v>160.35375319736113</v>
      </c>
      <c r="D251" s="17">
        <f t="shared" si="15"/>
        <v>178.17083688595682</v>
      </c>
      <c r="E251" s="17">
        <f t="shared" si="14"/>
        <v>195.9879205745525</v>
      </c>
      <c r="F251" s="2">
        <v>176.8698</v>
      </c>
      <c r="G251" s="2" t="str">
        <f t="shared" si="12"/>
        <v>Pass</v>
      </c>
      <c r="Y251" s="2">
        <v>236</v>
      </c>
      <c r="Z251" s="2">
        <v>0.33589999999999998</v>
      </c>
      <c r="AA251" s="2">
        <v>0.35060000000000002</v>
      </c>
      <c r="AB251" s="2">
        <v>178.8032</v>
      </c>
    </row>
    <row r="252" spans="2:28" x14ac:dyDescent="0.4">
      <c r="B252" s="11">
        <v>235</v>
      </c>
      <c r="C252" s="16">
        <f t="shared" si="13"/>
        <v>161.58794300655592</v>
      </c>
      <c r="D252" s="17">
        <f t="shared" si="15"/>
        <v>179.54215889617325</v>
      </c>
      <c r="E252" s="17">
        <f t="shared" si="14"/>
        <v>197.49637478579058</v>
      </c>
      <c r="F252" s="2">
        <v>178.83199999999999</v>
      </c>
      <c r="G252" s="2" t="str">
        <f t="shared" si="12"/>
        <v>Pass</v>
      </c>
      <c r="Y252" s="2">
        <v>237</v>
      </c>
      <c r="Z252" s="2">
        <v>0.33589999999999998</v>
      </c>
      <c r="AA252" s="2">
        <v>0.35049999999999998</v>
      </c>
      <c r="AB252" s="2">
        <v>180.88149999999999</v>
      </c>
    </row>
    <row r="253" spans="2:28" x14ac:dyDescent="0.4">
      <c r="B253" s="11">
        <v>236</v>
      </c>
      <c r="C253" s="16">
        <f t="shared" si="13"/>
        <v>162.82633670289866</v>
      </c>
      <c r="D253" s="17">
        <f t="shared" si="15"/>
        <v>180.91815189210962</v>
      </c>
      <c r="E253" s="17">
        <f t="shared" si="14"/>
        <v>199.00996708132058</v>
      </c>
      <c r="F253" s="2">
        <v>178.8032</v>
      </c>
      <c r="G253" s="2" t="str">
        <f t="shared" si="12"/>
        <v>Pass</v>
      </c>
      <c r="Y253" s="2">
        <v>238</v>
      </c>
      <c r="Z253" s="2">
        <v>0.33589999999999998</v>
      </c>
      <c r="AA253" s="2">
        <v>0.35039999999999999</v>
      </c>
      <c r="AB253" s="2">
        <v>182.4324</v>
      </c>
    </row>
    <row r="254" spans="2:28" x14ac:dyDescent="0.4">
      <c r="B254" s="11">
        <v>237</v>
      </c>
      <c r="C254" s="16">
        <f t="shared" si="13"/>
        <v>164.06893072174026</v>
      </c>
      <c r="D254" s="17">
        <f t="shared" si="15"/>
        <v>182.29881191304474</v>
      </c>
      <c r="E254" s="17">
        <f t="shared" si="14"/>
        <v>200.52869310434923</v>
      </c>
      <c r="F254" s="2">
        <v>180.88149999999999</v>
      </c>
      <c r="G254" s="2" t="str">
        <f t="shared" si="12"/>
        <v>Pass</v>
      </c>
      <c r="Y254" s="2">
        <v>239</v>
      </c>
      <c r="Z254" s="2">
        <v>0.33650000000000002</v>
      </c>
      <c r="AA254" s="2">
        <v>0.35149999999999998</v>
      </c>
      <c r="AB254" s="2">
        <v>183.96019999999999</v>
      </c>
    </row>
    <row r="255" spans="2:28" x14ac:dyDescent="0.4">
      <c r="B255" s="11">
        <v>238</v>
      </c>
      <c r="C255" s="16">
        <f t="shared" si="13"/>
        <v>165.31572151649084</v>
      </c>
      <c r="D255" s="17">
        <f t="shared" si="15"/>
        <v>183.68413501832316</v>
      </c>
      <c r="E255" s="17">
        <f t="shared" si="14"/>
        <v>202.05254852015548</v>
      </c>
      <c r="F255" s="2">
        <v>182.4324</v>
      </c>
      <c r="G255" s="2" t="str">
        <f t="shared" si="12"/>
        <v>Pass</v>
      </c>
      <c r="Y255" s="2">
        <v>240</v>
      </c>
      <c r="Z255" s="2">
        <v>0.33610000000000001</v>
      </c>
      <c r="AA255" s="2">
        <v>0.35120000000000001</v>
      </c>
      <c r="AB255" s="2">
        <v>185.80549999999999</v>
      </c>
    </row>
    <row r="256" spans="2:28" x14ac:dyDescent="0.4">
      <c r="B256" s="11">
        <v>239</v>
      </c>
      <c r="C256" s="16">
        <f t="shared" si="13"/>
        <v>166.56670555845258</v>
      </c>
      <c r="D256" s="17">
        <f t="shared" si="15"/>
        <v>185.07411728716954</v>
      </c>
      <c r="E256" s="17">
        <f t="shared" si="14"/>
        <v>203.5815290158865</v>
      </c>
      <c r="F256" s="2">
        <v>183.96019999999999</v>
      </c>
      <c r="G256" s="2" t="str">
        <f t="shared" si="12"/>
        <v>Pass</v>
      </c>
      <c r="Y256" s="2">
        <v>241</v>
      </c>
      <c r="Z256" s="2">
        <v>0.33560000000000001</v>
      </c>
      <c r="AA256" s="2">
        <v>0.35110000000000002</v>
      </c>
      <c r="AB256" s="2">
        <v>187.17850000000001</v>
      </c>
    </row>
    <row r="257" spans="2:28" x14ac:dyDescent="0.4">
      <c r="B257" s="11">
        <v>240</v>
      </c>
      <c r="C257" s="16">
        <f t="shared" si="13"/>
        <v>167.82187933665517</v>
      </c>
      <c r="D257" s="17">
        <f t="shared" si="15"/>
        <v>186.46875481850574</v>
      </c>
      <c r="E257" s="17">
        <f t="shared" si="14"/>
        <v>205.11563030035632</v>
      </c>
      <c r="F257" s="2">
        <v>185.80549999999999</v>
      </c>
      <c r="G257" s="2" t="str">
        <f t="shared" si="12"/>
        <v>Pass</v>
      </c>
      <c r="Y257" s="2">
        <v>242</v>
      </c>
      <c r="Z257" s="2">
        <v>0.3357</v>
      </c>
      <c r="AA257" s="2">
        <v>0.3508</v>
      </c>
      <c r="AB257" s="2">
        <v>187.5103</v>
      </c>
    </row>
    <row r="258" spans="2:28" x14ac:dyDescent="0.4">
      <c r="B258" s="11">
        <v>241</v>
      </c>
      <c r="C258" s="16">
        <f t="shared" si="13"/>
        <v>169.08123935769294</v>
      </c>
      <c r="D258" s="17">
        <f t="shared" si="15"/>
        <v>187.86804373076993</v>
      </c>
      <c r="E258" s="17">
        <f t="shared" si="14"/>
        <v>206.65484810384692</v>
      </c>
      <c r="F258" s="2">
        <v>187.17850000000001</v>
      </c>
      <c r="G258" s="2" t="str">
        <f t="shared" si="12"/>
        <v>Pass</v>
      </c>
      <c r="Y258" s="2">
        <v>243</v>
      </c>
      <c r="Z258" s="2">
        <v>0.3352</v>
      </c>
      <c r="AA258" s="2">
        <v>0.35070000000000001</v>
      </c>
      <c r="AB258" s="2">
        <v>189.3425</v>
      </c>
    </row>
    <row r="259" spans="2:28" x14ac:dyDescent="0.4">
      <c r="B259" s="11">
        <v>242</v>
      </c>
      <c r="C259" s="16">
        <f t="shared" si="13"/>
        <v>170.34478214556464</v>
      </c>
      <c r="D259" s="17">
        <f t="shared" si="15"/>
        <v>189.27198016173847</v>
      </c>
      <c r="E259" s="17">
        <f t="shared" si="14"/>
        <v>208.1991781779123</v>
      </c>
      <c r="F259" s="2">
        <v>187.5103</v>
      </c>
      <c r="G259" s="2" t="str">
        <f t="shared" si="12"/>
        <v>Pass</v>
      </c>
      <c r="Y259" s="2">
        <v>244</v>
      </c>
      <c r="Z259" s="2">
        <v>0.33450000000000002</v>
      </c>
      <c r="AA259" s="2">
        <v>0.3508</v>
      </c>
      <c r="AB259" s="2">
        <v>190.49700000000001</v>
      </c>
    </row>
    <row r="260" spans="2:28" x14ac:dyDescent="0.4">
      <c r="B260" s="11">
        <v>243</v>
      </c>
      <c r="C260" s="16">
        <f t="shared" si="13"/>
        <v>171.61250424151501</v>
      </c>
      <c r="D260" s="17">
        <f t="shared" si="15"/>
        <v>190.68056026835001</v>
      </c>
      <c r="E260" s="17">
        <f t="shared" si="14"/>
        <v>209.748616295185</v>
      </c>
      <c r="F260" s="2">
        <v>189.3425</v>
      </c>
      <c r="G260" s="2" t="str">
        <f t="shared" si="12"/>
        <v>Pass</v>
      </c>
      <c r="Y260" s="2">
        <v>245</v>
      </c>
      <c r="Z260" s="2">
        <v>0.33439999999999998</v>
      </c>
      <c r="AA260" s="2">
        <v>0.35160000000000002</v>
      </c>
      <c r="AB260" s="2">
        <v>192.00839999999999</v>
      </c>
    </row>
    <row r="261" spans="2:28" x14ac:dyDescent="0.4">
      <c r="B261" s="11">
        <v>244</v>
      </c>
      <c r="C261" s="16">
        <f t="shared" si="13"/>
        <v>172.88440220387858</v>
      </c>
      <c r="D261" s="17">
        <f t="shared" si="15"/>
        <v>192.09378022653175</v>
      </c>
      <c r="E261" s="17">
        <f t="shared" si="14"/>
        <v>211.30315824918492</v>
      </c>
      <c r="F261" s="2">
        <v>190.49700000000001</v>
      </c>
      <c r="G261" s="2" t="str">
        <f t="shared" si="12"/>
        <v>Pass</v>
      </c>
      <c r="Y261" s="2">
        <v>246</v>
      </c>
      <c r="Z261" s="2">
        <v>0.33400000000000002</v>
      </c>
      <c r="AA261" s="2">
        <v>0.35139999999999999</v>
      </c>
      <c r="AB261" s="2">
        <v>193.4357</v>
      </c>
    </row>
    <row r="262" spans="2:28" x14ac:dyDescent="0.4">
      <c r="B262" s="11">
        <v>245</v>
      </c>
      <c r="C262" s="16">
        <f t="shared" si="13"/>
        <v>174.16047260792556</v>
      </c>
      <c r="D262" s="17">
        <f t="shared" si="15"/>
        <v>193.5116362310284</v>
      </c>
      <c r="E262" s="17">
        <f t="shared" si="14"/>
        <v>212.86279985413125</v>
      </c>
      <c r="F262" s="2">
        <v>192.00839999999999</v>
      </c>
      <c r="G262" s="2" t="str">
        <f t="shared" si="12"/>
        <v>Pass</v>
      </c>
      <c r="Y262" s="2">
        <v>247</v>
      </c>
      <c r="Z262" s="2">
        <v>0.33429999999999999</v>
      </c>
      <c r="AA262" s="2">
        <v>0.3503</v>
      </c>
      <c r="AB262" s="2">
        <v>194.489</v>
      </c>
    </row>
    <row r="263" spans="2:28" x14ac:dyDescent="0.4">
      <c r="B263" s="11">
        <v>246</v>
      </c>
      <c r="C263" s="16">
        <f t="shared" si="13"/>
        <v>175.44071204570957</v>
      </c>
      <c r="D263" s="17">
        <f t="shared" si="15"/>
        <v>194.93412449523288</v>
      </c>
      <c r="E263" s="17">
        <f t="shared" si="14"/>
        <v>214.42753694475618</v>
      </c>
      <c r="F263" s="2">
        <v>193.4357</v>
      </c>
      <c r="G263" s="2" t="str">
        <f t="shared" si="12"/>
        <v>Pass</v>
      </c>
      <c r="Y263" s="2">
        <v>248</v>
      </c>
      <c r="Z263" s="2">
        <v>0.33510000000000001</v>
      </c>
      <c r="AA263" s="2">
        <v>0.35149999999999998</v>
      </c>
      <c r="AB263" s="2">
        <v>196.29929999999999</v>
      </c>
    </row>
    <row r="264" spans="2:28" x14ac:dyDescent="0.4">
      <c r="B264" s="11">
        <v>247</v>
      </c>
      <c r="C264" s="16">
        <f t="shared" si="13"/>
        <v>176.72511712591762</v>
      </c>
      <c r="D264" s="17">
        <f t="shared" si="15"/>
        <v>196.36124125101958</v>
      </c>
      <c r="E264" s="17">
        <f t="shared" si="14"/>
        <v>215.99736537612154</v>
      </c>
      <c r="F264" s="2">
        <v>194.489</v>
      </c>
      <c r="G264" s="2" t="str">
        <f t="shared" si="12"/>
        <v>Pass</v>
      </c>
      <c r="Y264" s="2">
        <v>249</v>
      </c>
      <c r="Z264" s="2">
        <v>0.33539999999999998</v>
      </c>
      <c r="AA264" s="2">
        <v>0.3513</v>
      </c>
      <c r="AB264" s="2">
        <v>198.22470000000001</v>
      </c>
    </row>
    <row r="265" spans="2:28" x14ac:dyDescent="0.4">
      <c r="B265" s="11">
        <v>248</v>
      </c>
      <c r="C265" s="16">
        <f t="shared" si="13"/>
        <v>178.01368447372164</v>
      </c>
      <c r="D265" s="17">
        <f t="shared" si="15"/>
        <v>197.79298274857962</v>
      </c>
      <c r="E265" s="17">
        <f t="shared" si="14"/>
        <v>217.5722810234376</v>
      </c>
      <c r="F265" s="2">
        <v>196.29929999999999</v>
      </c>
      <c r="G265" s="2" t="str">
        <f t="shared" si="12"/>
        <v>Pass</v>
      </c>
      <c r="Y265" s="2">
        <v>250</v>
      </c>
      <c r="Z265" s="2">
        <v>0.33579999999999999</v>
      </c>
      <c r="AA265" s="2">
        <v>0.35110000000000002</v>
      </c>
      <c r="AB265" s="2">
        <v>200.76390000000001</v>
      </c>
    </row>
    <row r="266" spans="2:28" x14ac:dyDescent="0.4">
      <c r="B266" s="11">
        <v>249</v>
      </c>
      <c r="C266" s="16">
        <f t="shared" si="13"/>
        <v>179.30641073063239</v>
      </c>
      <c r="D266" s="17">
        <f t="shared" si="15"/>
        <v>199.22934525625823</v>
      </c>
      <c r="E266" s="17">
        <f t="shared" si="14"/>
        <v>219.15227978188406</v>
      </c>
      <c r="F266" s="2">
        <v>198.22470000000001</v>
      </c>
      <c r="G266" s="2" t="str">
        <f t="shared" si="12"/>
        <v>Pass</v>
      </c>
      <c r="Y266" s="2">
        <v>251</v>
      </c>
      <c r="Z266" s="2">
        <v>0.33650000000000002</v>
      </c>
      <c r="AA266" s="2">
        <v>0.35220000000000001</v>
      </c>
      <c r="AB266" s="2">
        <v>202.49029999999999</v>
      </c>
    </row>
    <row r="267" spans="2:28" x14ac:dyDescent="0.4">
      <c r="B267" s="11">
        <v>250</v>
      </c>
      <c r="C267" s="16">
        <f t="shared" si="13"/>
        <v>180.60329255435494</v>
      </c>
      <c r="D267" s="17">
        <f t="shared" si="15"/>
        <v>200.67032506039439</v>
      </c>
      <c r="E267" s="17">
        <f t="shared" si="14"/>
        <v>220.73735756643384</v>
      </c>
      <c r="F267" s="2">
        <v>200.76390000000001</v>
      </c>
      <c r="G267" s="2" t="str">
        <f t="shared" si="12"/>
        <v>Pass</v>
      </c>
      <c r="Y267" s="2">
        <v>252</v>
      </c>
      <c r="Z267" s="2">
        <v>0.33650000000000002</v>
      </c>
      <c r="AA267" s="2">
        <v>0.35199999999999998</v>
      </c>
      <c r="AB267" s="2">
        <v>204.19919999999999</v>
      </c>
    </row>
    <row r="268" spans="2:28" x14ac:dyDescent="0.4">
      <c r="B268" s="11">
        <v>251</v>
      </c>
      <c r="C268" s="16">
        <f t="shared" si="13"/>
        <v>181.90432661864605</v>
      </c>
      <c r="D268" s="17">
        <f t="shared" si="15"/>
        <v>202.11591846516228</v>
      </c>
      <c r="E268" s="17">
        <f t="shared" si="14"/>
        <v>222.32751031167851</v>
      </c>
      <c r="F268" s="2">
        <v>202.49029999999999</v>
      </c>
      <c r="G268" s="2" t="str">
        <f t="shared" si="12"/>
        <v>Pass</v>
      </c>
      <c r="Y268" s="2">
        <v>253</v>
      </c>
      <c r="Z268" s="2">
        <v>0.33600000000000002</v>
      </c>
      <c r="AA268" s="2">
        <v>0.35039999999999999</v>
      </c>
      <c r="AB268" s="2">
        <v>204.59139999999999</v>
      </c>
    </row>
    <row r="269" spans="2:28" x14ac:dyDescent="0.4">
      <c r="B269" s="11">
        <v>252</v>
      </c>
      <c r="C269" s="16">
        <f t="shared" si="13"/>
        <v>183.20950961317334</v>
      </c>
      <c r="D269" s="17">
        <f t="shared" si="15"/>
        <v>203.5661217924148</v>
      </c>
      <c r="E269" s="17">
        <f t="shared" si="14"/>
        <v>223.92273397165627</v>
      </c>
      <c r="F269" s="2">
        <v>204.19919999999999</v>
      </c>
      <c r="G269" s="2" t="str">
        <f t="shared" si="12"/>
        <v>Pass</v>
      </c>
      <c r="Y269" s="2">
        <v>254</v>
      </c>
      <c r="Z269" s="2">
        <v>0.33600000000000002</v>
      </c>
      <c r="AA269" s="2">
        <v>0.3518</v>
      </c>
      <c r="AB269" s="2">
        <v>206.19640000000001</v>
      </c>
    </row>
    <row r="270" spans="2:28" x14ac:dyDescent="0.4">
      <c r="B270" s="11">
        <v>253</v>
      </c>
      <c r="C270" s="16">
        <f t="shared" si="13"/>
        <v>184.51883824337648</v>
      </c>
      <c r="D270" s="17">
        <f t="shared" si="15"/>
        <v>205.02093138152944</v>
      </c>
      <c r="E270" s="17">
        <f t="shared" si="14"/>
        <v>225.52302451968239</v>
      </c>
      <c r="F270" s="2">
        <v>204.59139999999999</v>
      </c>
      <c r="G270" s="2" t="str">
        <f t="shared" si="12"/>
        <v>Pass</v>
      </c>
      <c r="Y270" s="2">
        <v>255</v>
      </c>
      <c r="Z270" s="2">
        <v>0.33510000000000001</v>
      </c>
      <c r="AA270" s="2">
        <v>0.35120000000000001</v>
      </c>
      <c r="AB270" s="2">
        <v>207.55359999999999</v>
      </c>
    </row>
    <row r="271" spans="2:28" x14ac:dyDescent="0.4">
      <c r="B271" s="11">
        <v>254</v>
      </c>
      <c r="C271" s="16">
        <f t="shared" si="13"/>
        <v>185.83230923032994</v>
      </c>
      <c r="D271" s="17">
        <f t="shared" si="15"/>
        <v>206.48034358925548</v>
      </c>
      <c r="E271" s="17">
        <f t="shared" si="14"/>
        <v>227.12837794818103</v>
      </c>
      <c r="F271" s="2">
        <v>206.19640000000001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22</v>
      </c>
    </row>
    <row r="272" spans="2:28" x14ac:dyDescent="0.4">
      <c r="B272" s="11">
        <v>255</v>
      </c>
      <c r="C272" s="16">
        <f t="shared" si="13"/>
        <v>186.79823999999999</v>
      </c>
      <c r="D272" s="18">
        <f>C12</f>
        <v>207.55359999999999</v>
      </c>
      <c r="E272" s="17">
        <f t="shared" si="14"/>
        <v>228.30895999999998</v>
      </c>
      <c r="F272" s="2">
        <v>207.55359999999999</v>
      </c>
      <c r="G272" s="2" t="str">
        <f t="shared" si="12"/>
        <v>Pass</v>
      </c>
    </row>
  </sheetData>
  <protectedRanges>
    <protectedRange password="EBF1" sqref="C2:D2 C4:D4" name="範圍1_2"/>
    <protectedRange password="EBF1" sqref="C11:C13" name="範圍1_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11" priority="1" operator="equal">
      <formula>"Fail"</formula>
    </cfRule>
    <cfRule type="cellIs" dxfId="10" priority="2" operator="equal">
      <formula>"Pass"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489E-CA2A-49B6-AF8B-AA42AE995B9B}">
  <dimension ref="B2:AB272"/>
  <sheetViews>
    <sheetView topLeftCell="A16" zoomScale="70" zoomScaleNormal="70" workbookViewId="0">
      <selection activeCell="G58" sqref="G58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45736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0.24260000000000001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207.11660000000001</v>
      </c>
      <c r="D12" s="4" t="s">
        <v>9</v>
      </c>
      <c r="E12" s="4"/>
      <c r="Y12" s="9" t="s">
        <v>35</v>
      </c>
    </row>
    <row r="13" spans="2:28" x14ac:dyDescent="0.4">
      <c r="B13" s="1" t="s">
        <v>11</v>
      </c>
      <c r="C13" s="8">
        <v>2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0.27100000000000002</v>
      </c>
      <c r="AA15" s="2">
        <v>0.27239999999999998</v>
      </c>
      <c r="AB15" s="2">
        <v>0.24260000000000001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0.26960000000000001</v>
      </c>
      <c r="AA16" s="2">
        <v>0.27250000000000002</v>
      </c>
      <c r="AB16" s="2">
        <v>0.24199999999999999</v>
      </c>
    </row>
    <row r="17" spans="2:28" ht="17.5" thickTop="1" x14ac:dyDescent="0.4">
      <c r="B17" s="11">
        <v>0</v>
      </c>
      <c r="C17" s="16">
        <f>D17-D17*(C$14/100)</f>
        <v>1.6871692436008307E-4</v>
      </c>
      <c r="D17" s="17">
        <f>D$272*((B17+F$17)/B$272)^C$13</f>
        <v>1.8746324928898119E-4</v>
      </c>
      <c r="E17" s="17">
        <f>D17+D17*(C$14/100)</f>
        <v>2.062095742178793E-4</v>
      </c>
      <c r="F17" s="2">
        <v>0.24260000000000001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0.27029999999999998</v>
      </c>
      <c r="AA17" s="2">
        <v>0.2717</v>
      </c>
      <c r="AB17" s="2">
        <v>0.24210000000000001</v>
      </c>
    </row>
    <row r="18" spans="2:28" x14ac:dyDescent="0.4">
      <c r="B18" s="11">
        <v>1</v>
      </c>
      <c r="C18" s="16">
        <f t="shared" ref="C18:C81" si="1">D18-D18*(C$14/100)</f>
        <v>4.4262888872666573E-3</v>
      </c>
      <c r="D18" s="17">
        <f>D$272*((B18+F$17)/B$272)^C$13</f>
        <v>4.9180987636296188E-3</v>
      </c>
      <c r="E18" s="17">
        <f t="shared" ref="E18:E81" si="2">D18+D18*(C$14/100)</f>
        <v>5.4099086399925804E-3</v>
      </c>
      <c r="F18" s="2">
        <v>0.24199999999999999</v>
      </c>
      <c r="G18" s="2" t="str">
        <f t="shared" si="0"/>
        <v>Fail</v>
      </c>
      <c r="Y18" s="2">
        <v>3</v>
      </c>
      <c r="Z18" s="2">
        <v>0.27160000000000001</v>
      </c>
      <c r="AA18" s="2">
        <v>0.27500000000000002</v>
      </c>
      <c r="AB18" s="2">
        <v>0.25540000000000002</v>
      </c>
    </row>
    <row r="19" spans="2:28" x14ac:dyDescent="0.4">
      <c r="B19" s="11">
        <v>2</v>
      </c>
      <c r="C19" s="16">
        <f t="shared" si="1"/>
        <v>1.4417192338062504E-2</v>
      </c>
      <c r="D19" s="17">
        <f t="shared" ref="D19:D82" si="3">D$272*((B19+F$17)/B$272)^C$13</f>
        <v>1.6019102597847227E-2</v>
      </c>
      <c r="E19" s="17">
        <f t="shared" si="2"/>
        <v>1.762101285763195E-2</v>
      </c>
      <c r="F19" s="2">
        <v>0.24210000000000001</v>
      </c>
      <c r="G19" s="2" t="str">
        <f t="shared" si="0"/>
        <v>Fail</v>
      </c>
      <c r="Y19" s="2">
        <v>4</v>
      </c>
      <c r="Z19" s="2">
        <v>0.27510000000000001</v>
      </c>
      <c r="AA19" s="2">
        <v>0.28299999999999997</v>
      </c>
      <c r="AB19" s="2">
        <v>0.2712</v>
      </c>
    </row>
    <row r="20" spans="2:28" x14ac:dyDescent="0.4">
      <c r="B20" s="11">
        <v>3</v>
      </c>
      <c r="C20" s="16">
        <f t="shared" si="1"/>
        <v>3.014142727674763E-2</v>
      </c>
      <c r="D20" s="17">
        <f t="shared" si="3"/>
        <v>3.3490474751941814E-2</v>
      </c>
      <c r="E20" s="17">
        <f t="shared" si="2"/>
        <v>3.6839522227135997E-2</v>
      </c>
      <c r="F20" s="2">
        <v>0.25540000000000002</v>
      </c>
      <c r="G20" s="2" t="str">
        <f t="shared" si="0"/>
        <v>Fail</v>
      </c>
      <c r="Y20" s="2">
        <v>5</v>
      </c>
      <c r="Z20" s="2">
        <v>0.27850000000000003</v>
      </c>
      <c r="AA20" s="2">
        <v>0.28189999999999998</v>
      </c>
      <c r="AB20" s="2">
        <v>0.29160000000000003</v>
      </c>
    </row>
    <row r="21" spans="2:28" x14ac:dyDescent="0.4">
      <c r="B21" s="11">
        <v>4</v>
      </c>
      <c r="C21" s="16">
        <f t="shared" si="1"/>
        <v>5.1598993703322035E-2</v>
      </c>
      <c r="D21" s="17">
        <f t="shared" si="3"/>
        <v>5.7332215225913377E-2</v>
      </c>
      <c r="E21" s="17">
        <f t="shared" si="2"/>
        <v>6.3065436748504719E-2</v>
      </c>
      <c r="F21" s="2">
        <v>0.2712</v>
      </c>
      <c r="G21" s="2" t="str">
        <f t="shared" si="0"/>
        <v>Fail</v>
      </c>
      <c r="Y21" s="2">
        <v>6</v>
      </c>
      <c r="Z21" s="2">
        <v>0.28549999999999998</v>
      </c>
      <c r="AA21" s="2">
        <v>0.28539999999999999</v>
      </c>
      <c r="AB21" s="2">
        <v>0.31390000000000001</v>
      </c>
    </row>
    <row r="22" spans="2:28" x14ac:dyDescent="0.4">
      <c r="B22" s="11">
        <v>5</v>
      </c>
      <c r="C22" s="16">
        <f t="shared" si="1"/>
        <v>7.8789891617785698E-2</v>
      </c>
      <c r="D22" s="17">
        <f t="shared" si="3"/>
        <v>8.7544324019761893E-2</v>
      </c>
      <c r="E22" s="17">
        <f t="shared" si="2"/>
        <v>9.6298756421738088E-2</v>
      </c>
      <c r="F22" s="2">
        <v>0.29160000000000003</v>
      </c>
      <c r="G22" s="2" t="str">
        <f t="shared" si="0"/>
        <v>Fail</v>
      </c>
      <c r="Y22" s="2">
        <v>7</v>
      </c>
      <c r="Z22" s="2">
        <v>0.28839999999999999</v>
      </c>
      <c r="AA22" s="2">
        <v>0.28889999999999999</v>
      </c>
      <c r="AB22" s="2">
        <v>0.34429999999999999</v>
      </c>
    </row>
    <row r="23" spans="2:28" x14ac:dyDescent="0.4">
      <c r="B23" s="11">
        <v>6</v>
      </c>
      <c r="C23" s="16">
        <f t="shared" si="1"/>
        <v>0.11171412102013864</v>
      </c>
      <c r="D23" s="17">
        <f t="shared" si="3"/>
        <v>0.12412680113348738</v>
      </c>
      <c r="E23" s="17">
        <f t="shared" si="2"/>
        <v>0.13653948124683613</v>
      </c>
      <c r="F23" s="2">
        <v>0.31390000000000001</v>
      </c>
      <c r="G23" s="2" t="str">
        <f t="shared" si="0"/>
        <v>Fail</v>
      </c>
      <c r="Y23" s="2">
        <v>8</v>
      </c>
      <c r="Z23" s="2">
        <v>0.2949</v>
      </c>
      <c r="AA23" s="2">
        <v>0.2979</v>
      </c>
      <c r="AB23" s="2">
        <v>0.38650000000000001</v>
      </c>
    </row>
    <row r="24" spans="2:28" x14ac:dyDescent="0.4">
      <c r="B24" s="11">
        <v>7</v>
      </c>
      <c r="C24" s="16">
        <f t="shared" si="1"/>
        <v>0.15037168191038086</v>
      </c>
      <c r="D24" s="17">
        <f t="shared" si="3"/>
        <v>0.16707964656708985</v>
      </c>
      <c r="E24" s="17">
        <f t="shared" si="2"/>
        <v>0.18378761122379883</v>
      </c>
      <c r="F24" s="2">
        <v>0.34429999999999999</v>
      </c>
      <c r="G24" s="2" t="str">
        <f t="shared" si="0"/>
        <v>Fail</v>
      </c>
      <c r="Y24" s="2">
        <v>9</v>
      </c>
      <c r="Z24" s="2">
        <v>0.29680000000000001</v>
      </c>
      <c r="AA24" s="2">
        <v>0.31240000000000001</v>
      </c>
      <c r="AB24" s="2">
        <v>0.44090000000000001</v>
      </c>
    </row>
    <row r="25" spans="2:28" x14ac:dyDescent="0.4">
      <c r="B25" s="11">
        <v>8</v>
      </c>
      <c r="C25" s="16">
        <f t="shared" si="1"/>
        <v>0.19476257428851232</v>
      </c>
      <c r="D25" s="17">
        <f t="shared" si="3"/>
        <v>0.21640286032056924</v>
      </c>
      <c r="E25" s="17">
        <f t="shared" si="2"/>
        <v>0.23804314635262616</v>
      </c>
      <c r="F25" s="2">
        <v>0.38650000000000001</v>
      </c>
      <c r="G25" s="2" t="str">
        <f t="shared" si="0"/>
        <v>Fail</v>
      </c>
      <c r="Y25" s="2">
        <v>10</v>
      </c>
      <c r="Z25" s="2">
        <v>0.30130000000000001</v>
      </c>
      <c r="AA25" s="2">
        <v>0.32040000000000002</v>
      </c>
      <c r="AB25" s="2">
        <v>0.50780000000000003</v>
      </c>
    </row>
    <row r="26" spans="2:28" x14ac:dyDescent="0.4">
      <c r="B26" s="11">
        <v>9</v>
      </c>
      <c r="C26" s="16">
        <f t="shared" si="1"/>
        <v>0.2448867981545331</v>
      </c>
      <c r="D26" s="17">
        <f t="shared" si="3"/>
        <v>0.27209644239392566</v>
      </c>
      <c r="E26" s="17">
        <f t="shared" si="2"/>
        <v>0.29930608663331826</v>
      </c>
      <c r="F26" s="2">
        <v>0.44090000000000001</v>
      </c>
      <c r="G26" s="2" t="str">
        <f t="shared" si="0"/>
        <v>Fail</v>
      </c>
      <c r="Y26" s="2">
        <v>11</v>
      </c>
      <c r="Z26" s="2">
        <v>0.314</v>
      </c>
      <c r="AA26" s="2">
        <v>0.32569999999999999</v>
      </c>
      <c r="AB26" s="2">
        <v>0.58740000000000003</v>
      </c>
    </row>
    <row r="27" spans="2:28" x14ac:dyDescent="0.4">
      <c r="B27" s="11">
        <v>10</v>
      </c>
      <c r="C27" s="16">
        <f t="shared" si="1"/>
        <v>0.30074435350844314</v>
      </c>
      <c r="D27" s="17">
        <f t="shared" si="3"/>
        <v>0.33416039278715903</v>
      </c>
      <c r="E27" s="17">
        <f t="shared" si="2"/>
        <v>0.36757643206587493</v>
      </c>
      <c r="F27" s="2">
        <v>0.50780000000000003</v>
      </c>
      <c r="G27" s="2" t="str">
        <f t="shared" si="0"/>
        <v>Fail</v>
      </c>
      <c r="Y27" s="2">
        <v>12</v>
      </c>
      <c r="Z27" s="2">
        <v>0.31530000000000002</v>
      </c>
      <c r="AA27" s="2">
        <v>0.3256</v>
      </c>
      <c r="AB27" s="2">
        <v>0.64729999999999999</v>
      </c>
    </row>
    <row r="28" spans="2:28" x14ac:dyDescent="0.4">
      <c r="B28" s="11">
        <v>11</v>
      </c>
      <c r="C28" s="16">
        <f t="shared" si="1"/>
        <v>0.36233524035024245</v>
      </c>
      <c r="D28" s="17">
        <f t="shared" si="3"/>
        <v>0.40259471150026938</v>
      </c>
      <c r="E28" s="17">
        <f t="shared" si="2"/>
        <v>0.4428541826502963</v>
      </c>
      <c r="F28" s="2">
        <v>0.58740000000000003</v>
      </c>
      <c r="G28" s="2" t="str">
        <f t="shared" si="0"/>
        <v>Fail</v>
      </c>
      <c r="Y28" s="2">
        <v>13</v>
      </c>
      <c r="Z28" s="2">
        <v>0.31530000000000002</v>
      </c>
      <c r="AA28" s="2">
        <v>0.3261</v>
      </c>
      <c r="AB28" s="2">
        <v>0.72950000000000004</v>
      </c>
    </row>
    <row r="29" spans="2:28" x14ac:dyDescent="0.4">
      <c r="B29" s="11">
        <v>12</v>
      </c>
      <c r="C29" s="16">
        <f t="shared" si="1"/>
        <v>0.42965945867993094</v>
      </c>
      <c r="D29" s="17">
        <f t="shared" si="3"/>
        <v>0.47739939853325664</v>
      </c>
      <c r="E29" s="17">
        <f t="shared" si="2"/>
        <v>0.52513933838658233</v>
      </c>
      <c r="F29" s="2">
        <v>0.64729999999999999</v>
      </c>
      <c r="G29" s="2" t="str">
        <f t="shared" si="0"/>
        <v>Fail</v>
      </c>
      <c r="Y29" s="2">
        <v>14</v>
      </c>
      <c r="Z29" s="2">
        <v>0.32619999999999999</v>
      </c>
      <c r="AA29" s="2">
        <v>0.3276</v>
      </c>
      <c r="AB29" s="2">
        <v>0.84099999999999997</v>
      </c>
    </row>
    <row r="30" spans="2:28" x14ac:dyDescent="0.4">
      <c r="B30" s="11">
        <v>13</v>
      </c>
      <c r="C30" s="16">
        <f t="shared" si="1"/>
        <v>0.50271700849750878</v>
      </c>
      <c r="D30" s="17">
        <f t="shared" si="3"/>
        <v>0.55857445388612093</v>
      </c>
      <c r="E30" s="17">
        <f t="shared" si="2"/>
        <v>0.61443189927473307</v>
      </c>
      <c r="F30" s="2">
        <v>0.72950000000000004</v>
      </c>
      <c r="G30" s="2" t="str">
        <f t="shared" si="0"/>
        <v>Fail</v>
      </c>
      <c r="Y30" s="2">
        <v>15</v>
      </c>
      <c r="Z30" s="2">
        <v>0.32529999999999998</v>
      </c>
      <c r="AA30" s="2">
        <v>0.34489999999999998</v>
      </c>
      <c r="AB30" s="2">
        <v>1.0049999999999999</v>
      </c>
    </row>
    <row r="31" spans="2:28" x14ac:dyDescent="0.4">
      <c r="B31" s="11">
        <v>14</v>
      </c>
      <c r="C31" s="16">
        <f t="shared" si="1"/>
        <v>0.58150788980297596</v>
      </c>
      <c r="D31" s="17">
        <f t="shared" si="3"/>
        <v>0.64611987755886224</v>
      </c>
      <c r="E31" s="17">
        <f t="shared" si="2"/>
        <v>0.71073186531474852</v>
      </c>
      <c r="F31" s="2">
        <v>0.84099999999999997</v>
      </c>
      <c r="G31" s="2" t="str">
        <f t="shared" si="0"/>
        <v>Fail</v>
      </c>
      <c r="Y31" s="2">
        <v>16</v>
      </c>
      <c r="Z31" s="2">
        <v>0.32350000000000001</v>
      </c>
      <c r="AA31" s="2">
        <v>0.34610000000000002</v>
      </c>
      <c r="AB31" s="2">
        <v>1.0914999999999999</v>
      </c>
    </row>
    <row r="32" spans="2:28" x14ac:dyDescent="0.4">
      <c r="B32" s="11">
        <v>15</v>
      </c>
      <c r="C32" s="16">
        <f t="shared" si="1"/>
        <v>0.66603210259633228</v>
      </c>
      <c r="D32" s="17">
        <f t="shared" si="3"/>
        <v>0.74003566955148037</v>
      </c>
      <c r="E32" s="17">
        <f t="shared" si="2"/>
        <v>0.81403923650662846</v>
      </c>
      <c r="F32" s="2">
        <v>1.0049999999999999</v>
      </c>
      <c r="G32" s="2" t="str">
        <f t="shared" si="0"/>
        <v>Fail</v>
      </c>
      <c r="Y32" s="2">
        <v>17</v>
      </c>
      <c r="Z32" s="2">
        <v>0.32540000000000002</v>
      </c>
      <c r="AA32" s="2">
        <v>0.3422</v>
      </c>
      <c r="AB32" s="2">
        <v>1.1942999999999999</v>
      </c>
    </row>
    <row r="33" spans="2:28" x14ac:dyDescent="0.4">
      <c r="B33" s="11">
        <v>16</v>
      </c>
      <c r="C33" s="16">
        <f t="shared" si="1"/>
        <v>0.75628964687757827</v>
      </c>
      <c r="D33" s="17">
        <f t="shared" si="3"/>
        <v>0.84032182986397586</v>
      </c>
      <c r="E33" s="17">
        <f t="shared" si="2"/>
        <v>0.92435401285037344</v>
      </c>
      <c r="F33" s="2">
        <v>1.0914999999999999</v>
      </c>
      <c r="G33" s="2" t="str">
        <f t="shared" si="0"/>
        <v>Fail</v>
      </c>
      <c r="Y33" s="2">
        <v>18</v>
      </c>
      <c r="Z33" s="2">
        <v>0.32390000000000002</v>
      </c>
      <c r="AA33" s="2">
        <v>0.34129999999999999</v>
      </c>
      <c r="AB33" s="2">
        <v>1.2750999999999999</v>
      </c>
    </row>
    <row r="34" spans="2:28" x14ac:dyDescent="0.4">
      <c r="B34" s="11">
        <v>17</v>
      </c>
      <c r="C34" s="16">
        <f t="shared" si="1"/>
        <v>0.85228052264671317</v>
      </c>
      <c r="D34" s="17">
        <f t="shared" si="3"/>
        <v>0.94697835849634793</v>
      </c>
      <c r="E34" s="17">
        <f t="shared" si="2"/>
        <v>1.0416761943459827</v>
      </c>
      <c r="F34" s="2">
        <v>1.1942999999999999</v>
      </c>
      <c r="G34" s="2" t="str">
        <f t="shared" si="0"/>
        <v>Fail</v>
      </c>
      <c r="Y34" s="2">
        <v>19</v>
      </c>
      <c r="Z34" s="2">
        <v>0.32629999999999998</v>
      </c>
      <c r="AA34" s="2">
        <v>0.33739999999999998</v>
      </c>
      <c r="AB34" s="2">
        <v>1.3862000000000001</v>
      </c>
    </row>
    <row r="35" spans="2:28" x14ac:dyDescent="0.4">
      <c r="B35" s="11">
        <v>18</v>
      </c>
      <c r="C35" s="16">
        <f t="shared" si="1"/>
        <v>0.95400472990373753</v>
      </c>
      <c r="D35" s="17">
        <f t="shared" si="3"/>
        <v>1.0600052554485973</v>
      </c>
      <c r="E35" s="17">
        <f t="shared" si="2"/>
        <v>1.166005780993457</v>
      </c>
      <c r="F35" s="2">
        <v>1.2750999999999999</v>
      </c>
      <c r="G35" s="2" t="str">
        <f t="shared" si="0"/>
        <v>Fail</v>
      </c>
      <c r="Y35" s="2">
        <v>20</v>
      </c>
      <c r="Z35" s="2">
        <v>0.32690000000000002</v>
      </c>
      <c r="AA35" s="2">
        <v>0.3377</v>
      </c>
      <c r="AB35" s="2">
        <v>1.506</v>
      </c>
    </row>
    <row r="36" spans="2:28" x14ac:dyDescent="0.4">
      <c r="B36" s="11">
        <v>19</v>
      </c>
      <c r="C36" s="16">
        <f t="shared" si="1"/>
        <v>1.061462268648651</v>
      </c>
      <c r="D36" s="17">
        <f t="shared" si="3"/>
        <v>1.1794025207207233</v>
      </c>
      <c r="E36" s="17">
        <f t="shared" si="2"/>
        <v>1.2973427727927955</v>
      </c>
      <c r="F36" s="2">
        <v>1.3862000000000001</v>
      </c>
      <c r="G36" s="2" t="str">
        <f t="shared" si="0"/>
        <v>Fail</v>
      </c>
      <c r="Y36" s="2">
        <v>21</v>
      </c>
      <c r="Z36" s="2">
        <v>0.31929999999999997</v>
      </c>
      <c r="AA36" s="2">
        <v>0.33829999999999999</v>
      </c>
      <c r="AB36" s="2">
        <v>1.5702</v>
      </c>
    </row>
    <row r="37" spans="2:28" x14ac:dyDescent="0.4">
      <c r="B37" s="11">
        <v>20</v>
      </c>
      <c r="C37" s="16">
        <f t="shared" si="1"/>
        <v>1.1746531388814536</v>
      </c>
      <c r="D37" s="17">
        <f t="shared" si="3"/>
        <v>1.3051701543127263</v>
      </c>
      <c r="E37" s="17">
        <f t="shared" si="2"/>
        <v>1.435687169743999</v>
      </c>
      <c r="F37" s="2">
        <v>1.506</v>
      </c>
      <c r="G37" s="2" t="str">
        <f t="shared" si="0"/>
        <v>Fail</v>
      </c>
      <c r="Y37" s="2">
        <v>22</v>
      </c>
      <c r="Z37" s="2">
        <v>0.32490000000000002</v>
      </c>
      <c r="AA37" s="2">
        <v>0.33779999999999999</v>
      </c>
      <c r="AB37" s="2">
        <v>1.7070000000000001</v>
      </c>
    </row>
    <row r="38" spans="2:28" x14ac:dyDescent="0.4">
      <c r="B38" s="11">
        <v>21</v>
      </c>
      <c r="C38" s="16">
        <f t="shared" si="1"/>
        <v>1.2935773406021458</v>
      </c>
      <c r="D38" s="17">
        <f t="shared" si="3"/>
        <v>1.4373081562246064</v>
      </c>
      <c r="E38" s="17">
        <f t="shared" si="2"/>
        <v>1.581038971847067</v>
      </c>
      <c r="F38" s="2">
        <v>1.5702</v>
      </c>
      <c r="G38" s="2" t="str">
        <f t="shared" si="0"/>
        <v>Pass</v>
      </c>
      <c r="Y38" s="2">
        <v>23</v>
      </c>
      <c r="Z38" s="2">
        <v>0.33150000000000002</v>
      </c>
      <c r="AA38" s="2">
        <v>0.34</v>
      </c>
      <c r="AB38" s="2">
        <v>1.8368</v>
      </c>
    </row>
    <row r="39" spans="2:28" x14ac:dyDescent="0.4">
      <c r="B39" s="11">
        <v>22</v>
      </c>
      <c r="C39" s="16">
        <f t="shared" si="1"/>
        <v>1.4182348738107269</v>
      </c>
      <c r="D39" s="17">
        <f t="shared" si="3"/>
        <v>1.5758165264563633</v>
      </c>
      <c r="E39" s="17">
        <f t="shared" si="2"/>
        <v>1.7333981791019997</v>
      </c>
      <c r="F39" s="2">
        <v>1.7070000000000001</v>
      </c>
      <c r="G39" s="2" t="str">
        <f t="shared" si="0"/>
        <v>Pass</v>
      </c>
      <c r="Y39" s="2">
        <v>24</v>
      </c>
      <c r="Z39" s="2">
        <v>0.33</v>
      </c>
      <c r="AA39" s="2">
        <v>0.34549999999999997</v>
      </c>
      <c r="AB39" s="2">
        <v>2.0451000000000001</v>
      </c>
    </row>
    <row r="40" spans="2:28" x14ac:dyDescent="0.4">
      <c r="B40" s="11">
        <v>23</v>
      </c>
      <c r="C40" s="16">
        <f t="shared" si="1"/>
        <v>1.5486257385071975</v>
      </c>
      <c r="D40" s="17">
        <f t="shared" si="3"/>
        <v>1.7206952650079974</v>
      </c>
      <c r="E40" s="17">
        <f t="shared" si="2"/>
        <v>1.8927647915087973</v>
      </c>
      <c r="F40" s="2">
        <v>1.8368</v>
      </c>
      <c r="G40" s="2" t="str">
        <f t="shared" si="0"/>
        <v>Pass</v>
      </c>
      <c r="Y40" s="2">
        <v>25</v>
      </c>
      <c r="Z40" s="2">
        <v>0.32569999999999999</v>
      </c>
      <c r="AA40" s="2">
        <v>0.34749999999999998</v>
      </c>
      <c r="AB40" s="2">
        <v>2.1375000000000002</v>
      </c>
    </row>
    <row r="41" spans="2:28" x14ac:dyDescent="0.4">
      <c r="B41" s="11">
        <v>24</v>
      </c>
      <c r="C41" s="16">
        <f t="shared" si="1"/>
        <v>1.6847499346915575</v>
      </c>
      <c r="D41" s="17">
        <f t="shared" si="3"/>
        <v>1.8719443718795084</v>
      </c>
      <c r="E41" s="17">
        <f t="shared" si="2"/>
        <v>2.0591388090674592</v>
      </c>
      <c r="F41" s="2">
        <v>2.0451000000000001</v>
      </c>
      <c r="G41" s="2" t="str">
        <f t="shared" si="0"/>
        <v>Pass</v>
      </c>
      <c r="Y41" s="2">
        <v>26</v>
      </c>
      <c r="Z41" s="2">
        <v>0.32719999999999999</v>
      </c>
      <c r="AA41" s="2">
        <v>0.33960000000000001</v>
      </c>
      <c r="AB41" s="2">
        <v>2.3069000000000002</v>
      </c>
    </row>
    <row r="42" spans="2:28" x14ac:dyDescent="0.4">
      <c r="B42" s="11">
        <v>25</v>
      </c>
      <c r="C42" s="16">
        <f t="shared" si="1"/>
        <v>1.8266074623638064</v>
      </c>
      <c r="D42" s="17">
        <f t="shared" si="3"/>
        <v>2.0295638470708961</v>
      </c>
      <c r="E42" s="17">
        <f t="shared" si="2"/>
        <v>2.2325202317779858</v>
      </c>
      <c r="F42" s="2">
        <v>2.1375000000000002</v>
      </c>
      <c r="G42" s="2" t="str">
        <f t="shared" si="0"/>
        <v>Pass</v>
      </c>
      <c r="Y42" s="2">
        <v>27</v>
      </c>
      <c r="Z42" s="2">
        <v>0.32740000000000002</v>
      </c>
      <c r="AA42" s="2">
        <v>0.33500000000000002</v>
      </c>
      <c r="AB42" s="2">
        <v>2.4763000000000002</v>
      </c>
    </row>
    <row r="43" spans="2:28" x14ac:dyDescent="0.4">
      <c r="B43" s="11">
        <v>26</v>
      </c>
      <c r="C43" s="16">
        <f t="shared" si="1"/>
        <v>1.9741983215239451</v>
      </c>
      <c r="D43" s="17">
        <f t="shared" si="3"/>
        <v>2.1935536905821613</v>
      </c>
      <c r="E43" s="17">
        <f t="shared" si="2"/>
        <v>2.4129090596403775</v>
      </c>
      <c r="F43" s="2">
        <v>2.3069000000000002</v>
      </c>
      <c r="G43" s="2" t="str">
        <f t="shared" si="0"/>
        <v>Pass</v>
      </c>
      <c r="Y43" s="2">
        <v>28</v>
      </c>
      <c r="Z43" s="2">
        <v>0.3281</v>
      </c>
      <c r="AA43" s="2">
        <v>0.33510000000000001</v>
      </c>
      <c r="AB43" s="2">
        <v>2.6478999999999999</v>
      </c>
    </row>
    <row r="44" spans="2:28" x14ac:dyDescent="0.4">
      <c r="B44" s="11">
        <v>27</v>
      </c>
      <c r="C44" s="16">
        <f t="shared" si="1"/>
        <v>2.1275225121719727</v>
      </c>
      <c r="D44" s="17">
        <f t="shared" si="3"/>
        <v>2.3639139024133029</v>
      </c>
      <c r="E44" s="17">
        <f t="shared" si="2"/>
        <v>2.6003052926546331</v>
      </c>
      <c r="F44" s="2">
        <v>2.4763000000000002</v>
      </c>
      <c r="G44" s="2" t="str">
        <f t="shared" si="0"/>
        <v>Pass</v>
      </c>
      <c r="Y44" s="2">
        <v>29</v>
      </c>
      <c r="Z44" s="2">
        <v>0.3291</v>
      </c>
      <c r="AA44" s="2">
        <v>0.3352</v>
      </c>
      <c r="AB44" s="2">
        <v>2.7774999999999999</v>
      </c>
    </row>
    <row r="45" spans="2:28" x14ac:dyDescent="0.4">
      <c r="B45" s="11">
        <v>28</v>
      </c>
      <c r="C45" s="16">
        <f t="shared" si="1"/>
        <v>2.2865800343078901</v>
      </c>
      <c r="D45" s="17">
        <f t="shared" si="3"/>
        <v>2.5406444825643222</v>
      </c>
      <c r="E45" s="17">
        <f t="shared" si="2"/>
        <v>2.7947089308207542</v>
      </c>
      <c r="F45" s="2">
        <v>2.6478999999999999</v>
      </c>
      <c r="G45" s="2" t="str">
        <f t="shared" si="0"/>
        <v>Pass</v>
      </c>
      <c r="Y45" s="2">
        <v>30</v>
      </c>
      <c r="Z45" s="2">
        <v>0.32919999999999999</v>
      </c>
      <c r="AA45" s="2">
        <v>0.33579999999999999</v>
      </c>
      <c r="AB45" s="2">
        <v>2.9895999999999998</v>
      </c>
    </row>
    <row r="46" spans="2:28" x14ac:dyDescent="0.4">
      <c r="B46" s="11">
        <v>29</v>
      </c>
      <c r="C46" s="16">
        <f t="shared" si="1"/>
        <v>2.451370887931696</v>
      </c>
      <c r="D46" s="17">
        <f t="shared" si="3"/>
        <v>2.7237454310352178</v>
      </c>
      <c r="E46" s="17">
        <f t="shared" si="2"/>
        <v>2.9961199741387397</v>
      </c>
      <c r="F46" s="2">
        <v>2.7774999999999999</v>
      </c>
      <c r="G46" s="2" t="str">
        <f t="shared" si="0"/>
        <v>Pass</v>
      </c>
      <c r="Y46" s="2">
        <v>31</v>
      </c>
      <c r="Z46" s="2">
        <v>0.3322</v>
      </c>
      <c r="AA46" s="2">
        <v>0.34289999999999998</v>
      </c>
      <c r="AB46" s="2">
        <v>3.2749000000000001</v>
      </c>
    </row>
    <row r="47" spans="2:28" x14ac:dyDescent="0.4">
      <c r="B47" s="11">
        <v>30</v>
      </c>
      <c r="C47" s="16">
        <f t="shared" si="1"/>
        <v>2.6218950730433916</v>
      </c>
      <c r="D47" s="17">
        <f t="shared" si="3"/>
        <v>2.9132167478259907</v>
      </c>
      <c r="E47" s="17">
        <f t="shared" si="2"/>
        <v>3.2045384226085898</v>
      </c>
      <c r="F47" s="2">
        <v>2.9895999999999998</v>
      </c>
      <c r="G47" s="2" t="str">
        <f t="shared" si="0"/>
        <v>Pass</v>
      </c>
      <c r="Y47" s="2">
        <v>32</v>
      </c>
      <c r="Z47" s="2">
        <v>0.33210000000000001</v>
      </c>
      <c r="AA47" s="2">
        <v>0.34279999999999999</v>
      </c>
      <c r="AB47" s="2">
        <v>3.49</v>
      </c>
    </row>
    <row r="48" spans="2:28" x14ac:dyDescent="0.4">
      <c r="B48" s="11">
        <v>31</v>
      </c>
      <c r="C48" s="16">
        <f t="shared" si="1"/>
        <v>2.7981525896429762</v>
      </c>
      <c r="D48" s="17">
        <f t="shared" si="3"/>
        <v>3.1090584329366404</v>
      </c>
      <c r="E48" s="17">
        <f t="shared" si="2"/>
        <v>3.4199642762303046</v>
      </c>
      <c r="F48" s="2">
        <v>3.2749000000000001</v>
      </c>
      <c r="G48" s="2" t="str">
        <f t="shared" si="0"/>
        <v>Pass</v>
      </c>
      <c r="Y48" s="2">
        <v>33</v>
      </c>
      <c r="Z48" s="2">
        <v>0.33229999999999998</v>
      </c>
      <c r="AA48" s="2">
        <v>0.34210000000000002</v>
      </c>
      <c r="AB48" s="2">
        <v>3.6575000000000002</v>
      </c>
    </row>
    <row r="49" spans="2:28" x14ac:dyDescent="0.4">
      <c r="B49" s="11">
        <v>32</v>
      </c>
      <c r="C49" s="16">
        <f t="shared" si="1"/>
        <v>2.9801434377304505</v>
      </c>
      <c r="D49" s="17">
        <f t="shared" si="3"/>
        <v>3.3112704863671674</v>
      </c>
      <c r="E49" s="17">
        <f t="shared" si="2"/>
        <v>3.6423975350038842</v>
      </c>
      <c r="F49" s="2">
        <v>3.49</v>
      </c>
      <c r="G49" s="2" t="str">
        <f t="shared" si="0"/>
        <v>Pass</v>
      </c>
      <c r="Y49" s="2">
        <v>34</v>
      </c>
      <c r="Z49" s="2">
        <v>0.33210000000000001</v>
      </c>
      <c r="AA49" s="2">
        <v>0.34229999999999999</v>
      </c>
      <c r="AB49" s="2">
        <v>3.8855</v>
      </c>
    </row>
    <row r="50" spans="2:28" x14ac:dyDescent="0.4">
      <c r="B50" s="11">
        <v>33</v>
      </c>
      <c r="C50" s="16">
        <f t="shared" si="1"/>
        <v>3.1678676173058142</v>
      </c>
      <c r="D50" s="17">
        <f t="shared" si="3"/>
        <v>3.5198529081175716</v>
      </c>
      <c r="E50" s="17">
        <f t="shared" si="2"/>
        <v>3.8718381989293289</v>
      </c>
      <c r="F50" s="2">
        <v>3.6575000000000002</v>
      </c>
      <c r="G50" s="2" t="str">
        <f t="shared" si="0"/>
        <v>Pass</v>
      </c>
      <c r="Y50" s="2">
        <v>35</v>
      </c>
      <c r="Z50" s="2">
        <v>0.33150000000000002</v>
      </c>
      <c r="AA50" s="2">
        <v>0.34150000000000003</v>
      </c>
      <c r="AB50" s="2">
        <v>4.0492999999999997</v>
      </c>
    </row>
    <row r="51" spans="2:28" x14ac:dyDescent="0.4">
      <c r="B51" s="11">
        <v>34</v>
      </c>
      <c r="C51" s="16">
        <f t="shared" si="1"/>
        <v>3.3613251283690664</v>
      </c>
      <c r="D51" s="17">
        <f t="shared" si="3"/>
        <v>3.7348056981878517</v>
      </c>
      <c r="E51" s="17">
        <f t="shared" si="2"/>
        <v>4.108286268006637</v>
      </c>
      <c r="F51" s="2">
        <v>3.8855</v>
      </c>
      <c r="G51" s="2" t="str">
        <f t="shared" si="0"/>
        <v>Pass</v>
      </c>
      <c r="Y51" s="2">
        <v>36</v>
      </c>
      <c r="Z51" s="2">
        <v>0.33160000000000001</v>
      </c>
      <c r="AA51" s="2">
        <v>0.3417</v>
      </c>
      <c r="AB51" s="2">
        <v>4.2412000000000001</v>
      </c>
    </row>
    <row r="52" spans="2:28" x14ac:dyDescent="0.4">
      <c r="B52" s="11">
        <v>35</v>
      </c>
      <c r="C52" s="16">
        <f t="shared" si="1"/>
        <v>3.5605159709202088</v>
      </c>
      <c r="D52" s="17">
        <f t="shared" si="3"/>
        <v>3.9561288565780099</v>
      </c>
      <c r="E52" s="17">
        <f t="shared" si="2"/>
        <v>4.3517417422358111</v>
      </c>
      <c r="F52" s="2">
        <v>4.0492999999999997</v>
      </c>
      <c r="G52" s="2" t="str">
        <f t="shared" si="0"/>
        <v>Pass</v>
      </c>
      <c r="Y52" s="2">
        <v>37</v>
      </c>
      <c r="Z52" s="2">
        <v>0.33250000000000002</v>
      </c>
      <c r="AA52" s="2">
        <v>0.34439999999999998</v>
      </c>
      <c r="AB52" s="2">
        <v>4.4714999999999998</v>
      </c>
    </row>
    <row r="53" spans="2:28" x14ac:dyDescent="0.4">
      <c r="B53" s="11">
        <v>36</v>
      </c>
      <c r="C53" s="16">
        <f t="shared" si="1"/>
        <v>3.7654401449592396</v>
      </c>
      <c r="D53" s="17">
        <f t="shared" si="3"/>
        <v>4.1838223832880441</v>
      </c>
      <c r="E53" s="17">
        <f t="shared" si="2"/>
        <v>4.6022046216168482</v>
      </c>
      <c r="F53" s="2">
        <v>4.2412000000000001</v>
      </c>
      <c r="G53" s="2" t="str">
        <f t="shared" si="0"/>
        <v>Pass</v>
      </c>
      <c r="Y53" s="2">
        <v>38</v>
      </c>
      <c r="Z53" s="2">
        <v>0.33110000000000001</v>
      </c>
      <c r="AA53" s="2">
        <v>0.33760000000000001</v>
      </c>
      <c r="AB53" s="2">
        <v>4.7119</v>
      </c>
    </row>
    <row r="54" spans="2:28" x14ac:dyDescent="0.4">
      <c r="B54" s="11">
        <v>37</v>
      </c>
      <c r="C54" s="16">
        <f t="shared" si="1"/>
        <v>3.9760976504861607</v>
      </c>
      <c r="D54" s="17">
        <f t="shared" si="3"/>
        <v>4.4178862783179564</v>
      </c>
      <c r="E54" s="17">
        <f t="shared" si="2"/>
        <v>4.8596749061497517</v>
      </c>
      <c r="F54" s="2">
        <v>4.4714999999999998</v>
      </c>
      <c r="G54" s="2" t="str">
        <f t="shared" si="0"/>
        <v>Pass</v>
      </c>
      <c r="Y54" s="2">
        <v>39</v>
      </c>
      <c r="Z54" s="2">
        <v>0.33129999999999998</v>
      </c>
      <c r="AA54" s="2">
        <v>0.33839999999999998</v>
      </c>
      <c r="AB54" s="2">
        <v>5.0076000000000001</v>
      </c>
    </row>
    <row r="55" spans="2:28" x14ac:dyDescent="0.4">
      <c r="B55" s="11">
        <v>38</v>
      </c>
      <c r="C55" s="16">
        <f t="shared" si="1"/>
        <v>4.1924884875009694</v>
      </c>
      <c r="D55" s="17">
        <f t="shared" si="3"/>
        <v>4.6583205416677433</v>
      </c>
      <c r="E55" s="17">
        <f t="shared" si="2"/>
        <v>5.1241525958345173</v>
      </c>
      <c r="F55" s="2">
        <v>4.7119</v>
      </c>
      <c r="G55" s="2" t="str">
        <f t="shared" si="0"/>
        <v>Pass</v>
      </c>
      <c r="Y55" s="2">
        <v>40</v>
      </c>
      <c r="Z55" s="2">
        <v>0.33289999999999997</v>
      </c>
      <c r="AA55" s="2">
        <v>0.34570000000000001</v>
      </c>
      <c r="AB55" s="2">
        <v>5.4352999999999998</v>
      </c>
    </row>
    <row r="56" spans="2:28" x14ac:dyDescent="0.4">
      <c r="B56" s="11">
        <v>39</v>
      </c>
      <c r="C56" s="16">
        <f t="shared" si="1"/>
        <v>4.4146126560036691</v>
      </c>
      <c r="D56" s="17">
        <f t="shared" si="3"/>
        <v>4.9051251733374102</v>
      </c>
      <c r="E56" s="17">
        <f t="shared" si="2"/>
        <v>5.3956376906711512</v>
      </c>
      <c r="F56" s="2">
        <v>5.0076000000000001</v>
      </c>
      <c r="G56" s="2" t="str">
        <f t="shared" si="0"/>
        <v>Pass</v>
      </c>
      <c r="Y56" s="2">
        <v>41</v>
      </c>
      <c r="Z56" s="2">
        <v>0.3322</v>
      </c>
      <c r="AA56" s="2">
        <v>0.34499999999999997</v>
      </c>
      <c r="AB56" s="2">
        <v>5.6725000000000003</v>
      </c>
    </row>
    <row r="57" spans="2:28" x14ac:dyDescent="0.4">
      <c r="B57" s="11">
        <v>40</v>
      </c>
      <c r="C57" s="16">
        <f t="shared" si="1"/>
        <v>4.6424701559942561</v>
      </c>
      <c r="D57" s="17">
        <f t="shared" si="3"/>
        <v>5.1583001733269516</v>
      </c>
      <c r="E57" s="17">
        <f t="shared" si="2"/>
        <v>5.6741301906596471</v>
      </c>
      <c r="F57" s="2">
        <v>5.4352999999999998</v>
      </c>
      <c r="G57" s="2" t="str">
        <f t="shared" si="0"/>
        <v>Pass</v>
      </c>
      <c r="Y57" s="2">
        <v>42</v>
      </c>
      <c r="Z57" s="2">
        <v>0.33229999999999998</v>
      </c>
      <c r="AA57" s="2">
        <v>0.34470000000000001</v>
      </c>
      <c r="AB57" s="2">
        <v>5.8727</v>
      </c>
    </row>
    <row r="58" spans="2:28" x14ac:dyDescent="0.4">
      <c r="B58" s="11">
        <v>41</v>
      </c>
      <c r="C58" s="16">
        <f t="shared" si="1"/>
        <v>4.8760609874727345</v>
      </c>
      <c r="D58" s="17">
        <f t="shared" si="3"/>
        <v>5.417845541636372</v>
      </c>
      <c r="E58" s="17">
        <f t="shared" si="2"/>
        <v>5.9596300958000095</v>
      </c>
      <c r="F58" s="2">
        <v>5.6725000000000003</v>
      </c>
      <c r="G58" s="2" t="str">
        <f t="shared" si="0"/>
        <v>Pass</v>
      </c>
      <c r="Y58" s="2">
        <v>43</v>
      </c>
      <c r="Z58" s="2">
        <v>0.33179999999999998</v>
      </c>
      <c r="AA58" s="2">
        <v>0.34470000000000001</v>
      </c>
      <c r="AB58" s="2">
        <v>6.1847000000000003</v>
      </c>
    </row>
    <row r="59" spans="2:28" x14ac:dyDescent="0.4">
      <c r="B59" s="11">
        <v>42</v>
      </c>
      <c r="C59" s="16">
        <f t="shared" si="1"/>
        <v>5.1153851504391001</v>
      </c>
      <c r="D59" s="17">
        <f t="shared" si="3"/>
        <v>5.683761278265667</v>
      </c>
      <c r="E59" s="17">
        <f t="shared" si="2"/>
        <v>6.2521374060922339</v>
      </c>
      <c r="F59" s="2">
        <v>5.8727</v>
      </c>
      <c r="G59" s="2" t="str">
        <f t="shared" si="0"/>
        <v>Pass</v>
      </c>
      <c r="Y59" s="2">
        <v>44</v>
      </c>
      <c r="Z59" s="2">
        <v>0.33139999999999997</v>
      </c>
      <c r="AA59" s="2">
        <v>0.34460000000000002</v>
      </c>
      <c r="AB59" s="2">
        <v>6.4218999999999999</v>
      </c>
    </row>
    <row r="60" spans="2:28" x14ac:dyDescent="0.4">
      <c r="B60" s="11">
        <v>43</v>
      </c>
      <c r="C60" s="16">
        <f t="shared" si="1"/>
        <v>5.3604426448933573</v>
      </c>
      <c r="D60" s="17">
        <f t="shared" si="3"/>
        <v>5.956047383214842</v>
      </c>
      <c r="E60" s="17">
        <f t="shared" si="2"/>
        <v>6.5516521215363266</v>
      </c>
      <c r="F60" s="2">
        <v>6.1847000000000003</v>
      </c>
      <c r="G60" s="2" t="str">
        <f t="shared" si="0"/>
        <v>Pass</v>
      </c>
      <c r="Y60" s="2">
        <v>45</v>
      </c>
      <c r="Z60" s="2">
        <v>0.33100000000000002</v>
      </c>
      <c r="AA60" s="2">
        <v>0.34429999999999999</v>
      </c>
      <c r="AB60" s="2">
        <v>6.7190000000000003</v>
      </c>
    </row>
    <row r="61" spans="2:28" x14ac:dyDescent="0.4">
      <c r="B61" s="11">
        <v>44</v>
      </c>
      <c r="C61" s="16">
        <f t="shared" si="1"/>
        <v>5.6112334708355025</v>
      </c>
      <c r="D61" s="17">
        <f t="shared" si="3"/>
        <v>6.2347038564838915</v>
      </c>
      <c r="E61" s="17">
        <f t="shared" si="2"/>
        <v>6.8581742421322804</v>
      </c>
      <c r="F61" s="2">
        <v>6.4218999999999999</v>
      </c>
      <c r="G61" s="2" t="str">
        <f t="shared" si="0"/>
        <v>Pass</v>
      </c>
      <c r="Y61" s="2">
        <v>46</v>
      </c>
      <c r="Z61" s="2">
        <v>0.33400000000000002</v>
      </c>
      <c r="AA61" s="2">
        <v>0.3483</v>
      </c>
      <c r="AB61" s="2">
        <v>7.0149999999999997</v>
      </c>
    </row>
    <row r="62" spans="2:28" x14ac:dyDescent="0.4">
      <c r="B62" s="11">
        <v>45</v>
      </c>
      <c r="C62" s="16">
        <f t="shared" si="1"/>
        <v>5.8677576282655375</v>
      </c>
      <c r="D62" s="17">
        <f t="shared" si="3"/>
        <v>6.5197306980728191</v>
      </c>
      <c r="E62" s="17">
        <f t="shared" si="2"/>
        <v>7.1717037678801008</v>
      </c>
      <c r="F62" s="2">
        <v>6.7190000000000003</v>
      </c>
      <c r="G62" s="2" t="str">
        <f t="shared" si="0"/>
        <v>Pass</v>
      </c>
      <c r="Y62" s="2">
        <v>47</v>
      </c>
      <c r="Z62" s="2">
        <v>0.33400000000000002</v>
      </c>
      <c r="AA62" s="2">
        <v>0.3453</v>
      </c>
      <c r="AB62" s="2">
        <v>7.3106999999999998</v>
      </c>
    </row>
    <row r="63" spans="2:28" x14ac:dyDescent="0.4">
      <c r="B63" s="11">
        <v>46</v>
      </c>
      <c r="C63" s="16">
        <f t="shared" si="1"/>
        <v>6.1300151171834605</v>
      </c>
      <c r="D63" s="17">
        <f t="shared" si="3"/>
        <v>6.8111279079816232</v>
      </c>
      <c r="E63" s="17">
        <f t="shared" si="2"/>
        <v>7.4922406987797858</v>
      </c>
      <c r="F63" s="2">
        <v>7.0149999999999997</v>
      </c>
      <c r="G63" s="2" t="str">
        <f t="shared" si="0"/>
        <v>Pass</v>
      </c>
      <c r="Y63" s="2">
        <v>48</v>
      </c>
      <c r="Z63" s="2">
        <v>0.33329999999999999</v>
      </c>
      <c r="AA63" s="2">
        <v>0.34549999999999997</v>
      </c>
      <c r="AB63" s="2">
        <v>7.6725000000000003</v>
      </c>
    </row>
    <row r="64" spans="2:28" x14ac:dyDescent="0.4">
      <c r="B64" s="11">
        <v>47</v>
      </c>
      <c r="C64" s="16">
        <f t="shared" si="1"/>
        <v>6.398005937589275</v>
      </c>
      <c r="D64" s="17">
        <f t="shared" si="3"/>
        <v>7.1088954862103062</v>
      </c>
      <c r="E64" s="17">
        <f t="shared" si="2"/>
        <v>7.8197850348313374</v>
      </c>
      <c r="F64" s="2">
        <v>7.3106999999999998</v>
      </c>
      <c r="G64" s="2" t="str">
        <f t="shared" si="0"/>
        <v>Pass</v>
      </c>
      <c r="Y64" s="2">
        <v>49</v>
      </c>
      <c r="Z64" s="2">
        <v>0.33129999999999998</v>
      </c>
      <c r="AA64" s="2">
        <v>0.34960000000000002</v>
      </c>
      <c r="AB64" s="2">
        <v>8.1247000000000007</v>
      </c>
    </row>
    <row r="65" spans="2:28" x14ac:dyDescent="0.4">
      <c r="B65" s="11">
        <v>48</v>
      </c>
      <c r="C65" s="16">
        <f t="shared" si="1"/>
        <v>6.6717300894829767</v>
      </c>
      <c r="D65" s="17">
        <f t="shared" si="3"/>
        <v>7.413033432758863</v>
      </c>
      <c r="E65" s="17">
        <f t="shared" si="2"/>
        <v>8.15433677603475</v>
      </c>
      <c r="F65" s="2">
        <v>7.6725000000000003</v>
      </c>
      <c r="G65" s="2" t="str">
        <f t="shared" si="0"/>
        <v>Pass</v>
      </c>
      <c r="Y65" s="2">
        <v>50</v>
      </c>
      <c r="Z65" s="2">
        <v>0.33040000000000003</v>
      </c>
      <c r="AA65" s="2">
        <v>0.3483</v>
      </c>
      <c r="AB65" s="2">
        <v>8.5033999999999992</v>
      </c>
    </row>
    <row r="66" spans="2:28" x14ac:dyDescent="0.4">
      <c r="B66" s="11">
        <v>49</v>
      </c>
      <c r="C66" s="16">
        <f t="shared" si="1"/>
        <v>6.9511875728645691</v>
      </c>
      <c r="D66" s="17">
        <f t="shared" si="3"/>
        <v>7.7235417476272987</v>
      </c>
      <c r="E66" s="17">
        <f t="shared" si="2"/>
        <v>8.4958959223900283</v>
      </c>
      <c r="F66" s="2">
        <v>8.1247000000000007</v>
      </c>
      <c r="G66" s="2" t="str">
        <f t="shared" si="0"/>
        <v>Pass</v>
      </c>
      <c r="Y66" s="2">
        <v>51</v>
      </c>
      <c r="Z66" s="2">
        <v>0.32990000000000003</v>
      </c>
      <c r="AA66" s="2">
        <v>0.3483</v>
      </c>
      <c r="AB66" s="2">
        <v>8.7897999999999996</v>
      </c>
    </row>
    <row r="67" spans="2:28" x14ac:dyDescent="0.4">
      <c r="B67" s="11">
        <v>50</v>
      </c>
      <c r="C67" s="16">
        <f t="shared" si="1"/>
        <v>7.2363783877340486</v>
      </c>
      <c r="D67" s="17">
        <f t="shared" si="3"/>
        <v>8.04042043081561</v>
      </c>
      <c r="E67" s="17">
        <f t="shared" si="2"/>
        <v>8.8444624738971704</v>
      </c>
      <c r="F67" s="2">
        <v>8.5033999999999992</v>
      </c>
      <c r="G67" s="2" t="str">
        <f t="shared" si="0"/>
        <v>Pass</v>
      </c>
      <c r="Y67" s="2">
        <v>52</v>
      </c>
      <c r="Z67" s="2">
        <v>0.33019999999999999</v>
      </c>
      <c r="AA67" s="2">
        <v>0.34820000000000001</v>
      </c>
      <c r="AB67" s="2">
        <v>9.1752000000000002</v>
      </c>
    </row>
    <row r="68" spans="2:28" x14ac:dyDescent="0.4">
      <c r="B68" s="11">
        <v>51</v>
      </c>
      <c r="C68" s="16">
        <f t="shared" si="1"/>
        <v>7.5273025340914206</v>
      </c>
      <c r="D68" s="17">
        <f t="shared" si="3"/>
        <v>8.3636694823238003</v>
      </c>
      <c r="E68" s="17">
        <f t="shared" si="2"/>
        <v>9.2000364305561799</v>
      </c>
      <c r="F68" s="2">
        <v>8.7897999999999996</v>
      </c>
      <c r="G68" s="2" t="str">
        <f t="shared" si="0"/>
        <v>Pass</v>
      </c>
      <c r="Y68" s="2">
        <v>53</v>
      </c>
      <c r="Z68" s="2">
        <v>0.32990000000000003</v>
      </c>
      <c r="AA68" s="2">
        <v>0.34789999999999999</v>
      </c>
      <c r="AB68" s="2">
        <v>9.4552999999999994</v>
      </c>
    </row>
    <row r="69" spans="2:28" x14ac:dyDescent="0.4">
      <c r="B69" s="11">
        <v>52</v>
      </c>
      <c r="C69" s="16">
        <f t="shared" si="1"/>
        <v>7.8239600119366788</v>
      </c>
      <c r="D69" s="17">
        <f t="shared" si="3"/>
        <v>8.6932889021518651</v>
      </c>
      <c r="E69" s="17">
        <f t="shared" si="2"/>
        <v>9.5626177923670515</v>
      </c>
      <c r="F69" s="2">
        <v>9.1752000000000002</v>
      </c>
      <c r="G69" s="2" t="str">
        <f t="shared" si="0"/>
        <v>Pass</v>
      </c>
      <c r="Y69" s="2">
        <v>54</v>
      </c>
      <c r="Z69" s="2">
        <v>0.3296</v>
      </c>
      <c r="AA69" s="2">
        <v>0.34789999999999999</v>
      </c>
      <c r="AB69" s="2">
        <v>9.9313000000000002</v>
      </c>
    </row>
    <row r="70" spans="2:28" x14ac:dyDescent="0.4">
      <c r="B70" s="11">
        <v>53</v>
      </c>
      <c r="C70" s="16">
        <f t="shared" si="1"/>
        <v>8.1263508212698294</v>
      </c>
      <c r="D70" s="17">
        <f t="shared" si="3"/>
        <v>9.0292786902998099</v>
      </c>
      <c r="E70" s="17">
        <f t="shared" si="2"/>
        <v>9.9322065593297904</v>
      </c>
      <c r="F70" s="2">
        <v>9.4552999999999994</v>
      </c>
      <c r="G70" s="2" t="str">
        <f t="shared" si="0"/>
        <v>Pass</v>
      </c>
      <c r="Y70" s="2">
        <v>55</v>
      </c>
      <c r="Z70" s="2">
        <v>0.32950000000000002</v>
      </c>
      <c r="AA70" s="2">
        <v>0.34810000000000002</v>
      </c>
      <c r="AB70" s="2">
        <v>10.2241</v>
      </c>
    </row>
    <row r="71" spans="2:28" x14ac:dyDescent="0.4">
      <c r="B71" s="11">
        <v>54</v>
      </c>
      <c r="C71" s="16">
        <f t="shared" si="1"/>
        <v>8.4344749620908672</v>
      </c>
      <c r="D71" s="17">
        <f t="shared" si="3"/>
        <v>9.3716388467676293</v>
      </c>
      <c r="E71" s="17">
        <f t="shared" si="2"/>
        <v>10.308802731444391</v>
      </c>
      <c r="F71" s="2">
        <v>9.9313000000000002</v>
      </c>
      <c r="G71" s="2" t="str">
        <f t="shared" si="0"/>
        <v>Pass</v>
      </c>
      <c r="Y71" s="2">
        <v>56</v>
      </c>
      <c r="Z71" s="2">
        <v>0.33040000000000003</v>
      </c>
      <c r="AA71" s="2">
        <v>0.34760000000000002</v>
      </c>
      <c r="AB71" s="2">
        <v>10.614100000000001</v>
      </c>
    </row>
    <row r="72" spans="2:28" x14ac:dyDescent="0.4">
      <c r="B72" s="11">
        <v>55</v>
      </c>
      <c r="C72" s="16">
        <f t="shared" si="1"/>
        <v>8.7483324343997939</v>
      </c>
      <c r="D72" s="17">
        <f t="shared" si="3"/>
        <v>9.7203693715553268</v>
      </c>
      <c r="E72" s="17">
        <f t="shared" si="2"/>
        <v>10.69240630871086</v>
      </c>
      <c r="F72" s="2">
        <v>10.2241</v>
      </c>
      <c r="G72" s="2" t="str">
        <f t="shared" si="0"/>
        <v>Pass</v>
      </c>
      <c r="Y72" s="2">
        <v>57</v>
      </c>
      <c r="Z72" s="2">
        <v>0.32979999999999998</v>
      </c>
      <c r="AA72" s="2">
        <v>0.34699999999999998</v>
      </c>
      <c r="AB72" s="2">
        <v>11.014699999999999</v>
      </c>
    </row>
    <row r="73" spans="2:28" x14ac:dyDescent="0.4">
      <c r="B73" s="11">
        <v>56</v>
      </c>
      <c r="C73" s="16">
        <f t="shared" si="1"/>
        <v>9.0679232381966095</v>
      </c>
      <c r="D73" s="17">
        <f t="shared" si="3"/>
        <v>10.075470264662899</v>
      </c>
      <c r="E73" s="17">
        <f t="shared" si="2"/>
        <v>11.083017291129188</v>
      </c>
      <c r="F73" s="2">
        <v>10.614100000000001</v>
      </c>
      <c r="G73" s="2" t="str">
        <f t="shared" si="0"/>
        <v>Pass</v>
      </c>
      <c r="Y73" s="2">
        <v>58</v>
      </c>
      <c r="Z73" s="2">
        <v>0.33160000000000001</v>
      </c>
      <c r="AA73" s="2">
        <v>0.35120000000000001</v>
      </c>
      <c r="AB73" s="2">
        <v>11.3201</v>
      </c>
    </row>
    <row r="74" spans="2:28" x14ac:dyDescent="0.4">
      <c r="B74" s="11">
        <v>57</v>
      </c>
      <c r="C74" s="16">
        <f t="shared" si="1"/>
        <v>9.3932473734813176</v>
      </c>
      <c r="D74" s="17">
        <f t="shared" si="3"/>
        <v>10.436941526090353</v>
      </c>
      <c r="E74" s="17">
        <f t="shared" si="2"/>
        <v>11.480635678699388</v>
      </c>
      <c r="F74" s="2">
        <v>11.014699999999999</v>
      </c>
      <c r="G74" s="2" t="str">
        <f t="shared" si="0"/>
        <v>Pass</v>
      </c>
      <c r="Y74" s="2">
        <v>59</v>
      </c>
      <c r="Z74" s="2">
        <v>0.33119999999999999</v>
      </c>
      <c r="AA74" s="2">
        <v>0.35110000000000002</v>
      </c>
      <c r="AB74" s="2">
        <v>11.805999999999999</v>
      </c>
    </row>
    <row r="75" spans="2:28" x14ac:dyDescent="0.4">
      <c r="B75" s="11">
        <v>58</v>
      </c>
      <c r="C75" s="16">
        <f t="shared" si="1"/>
        <v>9.724304840253911</v>
      </c>
      <c r="D75" s="17">
        <f t="shared" si="3"/>
        <v>10.804783155837679</v>
      </c>
      <c r="E75" s="17">
        <f t="shared" si="2"/>
        <v>11.885261471421448</v>
      </c>
      <c r="F75" s="2">
        <v>11.3201</v>
      </c>
      <c r="G75" s="2" t="str">
        <f t="shared" si="0"/>
        <v>Pass</v>
      </c>
      <c r="Y75" s="2">
        <v>60</v>
      </c>
      <c r="Z75" s="2">
        <v>0.33110000000000001</v>
      </c>
      <c r="AA75" s="2">
        <v>0.35020000000000001</v>
      </c>
      <c r="AB75" s="2">
        <v>12.1273</v>
      </c>
    </row>
    <row r="76" spans="2:28" x14ac:dyDescent="0.4">
      <c r="B76" s="11">
        <v>59</v>
      </c>
      <c r="C76" s="16">
        <f t="shared" si="1"/>
        <v>10.061095638514395</v>
      </c>
      <c r="D76" s="17">
        <f t="shared" si="3"/>
        <v>11.178995153904884</v>
      </c>
      <c r="E76" s="17">
        <f t="shared" si="2"/>
        <v>12.296894669295373</v>
      </c>
      <c r="F76" s="2">
        <v>11.805999999999999</v>
      </c>
      <c r="G76" s="2" t="str">
        <f t="shared" si="0"/>
        <v>Pass</v>
      </c>
      <c r="Y76" s="2">
        <v>61</v>
      </c>
      <c r="Z76" s="2">
        <v>0.32929999999999998</v>
      </c>
      <c r="AA76" s="2">
        <v>0.34989999999999999</v>
      </c>
      <c r="AB76" s="2">
        <v>12.463100000000001</v>
      </c>
    </row>
    <row r="77" spans="2:28" x14ac:dyDescent="0.4">
      <c r="B77" s="11">
        <v>60</v>
      </c>
      <c r="C77" s="16">
        <f t="shared" si="1"/>
        <v>10.403619768262768</v>
      </c>
      <c r="D77" s="17">
        <f t="shared" si="3"/>
        <v>11.559577520291965</v>
      </c>
      <c r="E77" s="17">
        <f t="shared" si="2"/>
        <v>12.715535272321162</v>
      </c>
      <c r="F77" s="2">
        <v>12.1273</v>
      </c>
      <c r="G77" s="2" t="str">
        <f t="shared" si="0"/>
        <v>Pass</v>
      </c>
      <c r="Y77" s="2">
        <v>62</v>
      </c>
      <c r="Z77" s="2">
        <v>0.32940000000000003</v>
      </c>
      <c r="AA77" s="2">
        <v>0.34989999999999999</v>
      </c>
      <c r="AB77" s="2">
        <v>12.917</v>
      </c>
    </row>
    <row r="78" spans="2:28" x14ac:dyDescent="0.4">
      <c r="B78" s="11">
        <v>61</v>
      </c>
      <c r="C78" s="16">
        <f t="shared" si="1"/>
        <v>10.751877229499033</v>
      </c>
      <c r="D78" s="17">
        <f t="shared" si="3"/>
        <v>11.946530254998926</v>
      </c>
      <c r="E78" s="17">
        <f t="shared" si="2"/>
        <v>13.141183280498819</v>
      </c>
      <c r="F78" s="2">
        <v>12.463100000000001</v>
      </c>
      <c r="G78" s="2" t="str">
        <f t="shared" si="0"/>
        <v>Pass</v>
      </c>
      <c r="Y78" s="2">
        <v>63</v>
      </c>
      <c r="Z78" s="2">
        <v>0.32919999999999999</v>
      </c>
      <c r="AA78" s="2">
        <v>0.34970000000000001</v>
      </c>
      <c r="AB78" s="2">
        <v>13.3439</v>
      </c>
    </row>
    <row r="79" spans="2:28" x14ac:dyDescent="0.4">
      <c r="B79" s="11">
        <v>62</v>
      </c>
      <c r="C79" s="16">
        <f t="shared" si="1"/>
        <v>11.105868022223184</v>
      </c>
      <c r="D79" s="17">
        <f t="shared" si="3"/>
        <v>12.33985335802576</v>
      </c>
      <c r="E79" s="17">
        <f t="shared" si="2"/>
        <v>13.573838693828336</v>
      </c>
      <c r="F79" s="2">
        <v>12.917</v>
      </c>
      <c r="G79" s="2" t="str">
        <f t="shared" si="0"/>
        <v>Pass</v>
      </c>
      <c r="Y79" s="2">
        <v>64</v>
      </c>
      <c r="Z79" s="2">
        <v>0.33090000000000003</v>
      </c>
      <c r="AA79" s="2">
        <v>0.34660000000000002</v>
      </c>
      <c r="AB79" s="2">
        <v>13.4321</v>
      </c>
    </row>
    <row r="80" spans="2:28" x14ac:dyDescent="0.4">
      <c r="B80" s="11">
        <v>63</v>
      </c>
      <c r="C80" s="16">
        <f t="shared" si="1"/>
        <v>11.465592146435226</v>
      </c>
      <c r="D80" s="17">
        <f t="shared" si="3"/>
        <v>12.739546829372474</v>
      </c>
      <c r="E80" s="17">
        <f t="shared" si="2"/>
        <v>14.013501512309722</v>
      </c>
      <c r="F80" s="2">
        <v>13.3439</v>
      </c>
      <c r="G80" s="2" t="str">
        <f t="shared" si="0"/>
        <v>Pass</v>
      </c>
      <c r="Y80" s="2">
        <v>65</v>
      </c>
      <c r="Z80" s="2">
        <v>0.33110000000000001</v>
      </c>
      <c r="AA80" s="2">
        <v>0.3488</v>
      </c>
      <c r="AB80" s="2">
        <v>13.8423</v>
      </c>
    </row>
    <row r="81" spans="2:28" x14ac:dyDescent="0.4">
      <c r="B81" s="11">
        <v>64</v>
      </c>
      <c r="C81" s="16">
        <f t="shared" si="1"/>
        <v>11.831049602135158</v>
      </c>
      <c r="D81" s="17">
        <f t="shared" si="3"/>
        <v>13.145610669039064</v>
      </c>
      <c r="E81" s="17">
        <f t="shared" si="2"/>
        <v>14.46017173594297</v>
      </c>
      <c r="F81" s="2">
        <v>13.4321</v>
      </c>
      <c r="G81" s="2" t="str">
        <f t="shared" ref="G81:G144" si="4">IF(F81&lt;=C81,"Fail",IF(AND(C81&lt;F81,F81&lt;E81),"Pass",IF(E81&lt;=F81,"Fail")))</f>
        <v>Pass</v>
      </c>
      <c r="Y81" s="2">
        <v>66</v>
      </c>
      <c r="Z81" s="2">
        <v>0.33119999999999999</v>
      </c>
      <c r="AA81" s="2">
        <v>0.34810000000000002</v>
      </c>
      <c r="AB81" s="2">
        <v>14.3484</v>
      </c>
    </row>
    <row r="82" spans="2:28" x14ac:dyDescent="0.4">
      <c r="B82" s="11">
        <v>65</v>
      </c>
      <c r="C82" s="16">
        <f t="shared" ref="C82:C145" si="5">D82-D82*(C$14/100)</f>
        <v>12.202240389322974</v>
      </c>
      <c r="D82" s="17">
        <f t="shared" si="3"/>
        <v>13.558044877025527</v>
      </c>
      <c r="E82" s="17">
        <f t="shared" ref="E82:E145" si="6">D82+D82*(C$14/100)</f>
        <v>14.91384936472808</v>
      </c>
      <c r="F82" s="2">
        <v>13.8423</v>
      </c>
      <c r="G82" s="2" t="str">
        <f t="shared" si="4"/>
        <v>Pass</v>
      </c>
      <c r="Y82" s="2">
        <v>67</v>
      </c>
      <c r="Z82" s="2">
        <v>0.33050000000000002</v>
      </c>
      <c r="AA82" s="2">
        <v>0.34720000000000001</v>
      </c>
      <c r="AB82" s="2">
        <v>14.818899999999999</v>
      </c>
    </row>
    <row r="83" spans="2:28" x14ac:dyDescent="0.4">
      <c r="B83" s="11">
        <v>66</v>
      </c>
      <c r="C83" s="16">
        <f t="shared" si="5"/>
        <v>12.579164507998682</v>
      </c>
      <c r="D83" s="17">
        <f t="shared" ref="D83:D146" si="7">D$272*((B83+F$17)/B$272)^C$13</f>
        <v>13.976849453331869</v>
      </c>
      <c r="E83" s="17">
        <f t="shared" si="6"/>
        <v>15.374534398665057</v>
      </c>
      <c r="F83" s="2">
        <v>14.3484</v>
      </c>
      <c r="G83" s="2" t="str">
        <f t="shared" si="4"/>
        <v>Pass</v>
      </c>
      <c r="Y83" s="2">
        <v>68</v>
      </c>
      <c r="Z83" s="2">
        <v>0.3306</v>
      </c>
      <c r="AA83" s="2">
        <v>0.34649999999999997</v>
      </c>
      <c r="AB83" s="2">
        <v>15.361700000000001</v>
      </c>
    </row>
    <row r="84" spans="2:28" x14ac:dyDescent="0.4">
      <c r="B84" s="11">
        <v>67</v>
      </c>
      <c r="C84" s="16">
        <f t="shared" si="5"/>
        <v>12.961821958162279</v>
      </c>
      <c r="D84" s="17">
        <f t="shared" si="7"/>
        <v>14.402024397958089</v>
      </c>
      <c r="E84" s="17">
        <f t="shared" si="6"/>
        <v>15.842226837753898</v>
      </c>
      <c r="F84" s="2">
        <v>14.818899999999999</v>
      </c>
      <c r="G84" s="2" t="str">
        <f t="shared" si="4"/>
        <v>Pass</v>
      </c>
      <c r="Y84" s="2">
        <v>69</v>
      </c>
      <c r="Z84" s="2">
        <v>0.3306</v>
      </c>
      <c r="AA84" s="2">
        <v>0.34599999999999997</v>
      </c>
      <c r="AB84" s="2">
        <v>15.757400000000001</v>
      </c>
    </row>
    <row r="85" spans="2:28" x14ac:dyDescent="0.4">
      <c r="B85" s="11">
        <v>68</v>
      </c>
      <c r="C85" s="16">
        <f t="shared" si="5"/>
        <v>13.350212739813772</v>
      </c>
      <c r="D85" s="17">
        <f t="shared" si="7"/>
        <v>14.833569710904191</v>
      </c>
      <c r="E85" s="17">
        <f t="shared" si="6"/>
        <v>16.316926681994609</v>
      </c>
      <c r="F85" s="2">
        <v>15.361700000000001</v>
      </c>
      <c r="G85" s="2" t="str">
        <f t="shared" si="4"/>
        <v>Pass</v>
      </c>
      <c r="Y85" s="2">
        <v>70</v>
      </c>
      <c r="Z85" s="2">
        <v>0.32969999999999999</v>
      </c>
      <c r="AA85" s="2">
        <v>0.34599999999999997</v>
      </c>
      <c r="AB85" s="2">
        <v>16.328900000000001</v>
      </c>
    </row>
    <row r="86" spans="2:28" x14ac:dyDescent="0.4">
      <c r="B86" s="11">
        <v>69</v>
      </c>
      <c r="C86" s="16">
        <f t="shared" si="5"/>
        <v>13.744336852953147</v>
      </c>
      <c r="D86" s="17">
        <f t="shared" si="7"/>
        <v>15.271485392170163</v>
      </c>
      <c r="E86" s="17">
        <f t="shared" si="6"/>
        <v>16.79863393138718</v>
      </c>
      <c r="F86" s="2">
        <v>15.757400000000001</v>
      </c>
      <c r="G86" s="2" t="str">
        <f t="shared" si="4"/>
        <v>Pass</v>
      </c>
      <c r="Y86" s="2">
        <v>71</v>
      </c>
      <c r="Z86" s="2">
        <v>0.33129999999999998</v>
      </c>
      <c r="AA86" s="2">
        <v>0.34989999999999999</v>
      </c>
      <c r="AB86" s="2">
        <v>16.7684</v>
      </c>
    </row>
    <row r="87" spans="2:28" x14ac:dyDescent="0.4">
      <c r="B87" s="11">
        <v>70</v>
      </c>
      <c r="C87" s="16">
        <f t="shared" si="5"/>
        <v>14.144194297580412</v>
      </c>
      <c r="D87" s="17">
        <f t="shared" si="7"/>
        <v>15.715771441756013</v>
      </c>
      <c r="E87" s="17">
        <f t="shared" si="6"/>
        <v>17.287348585931614</v>
      </c>
      <c r="F87" s="2">
        <v>16.328900000000001</v>
      </c>
      <c r="G87" s="2" t="str">
        <f t="shared" si="4"/>
        <v>Pass</v>
      </c>
      <c r="Y87" s="2">
        <v>72</v>
      </c>
      <c r="Z87" s="2">
        <v>0.33179999999999998</v>
      </c>
      <c r="AA87" s="2">
        <v>0.34689999999999999</v>
      </c>
      <c r="AB87" s="2">
        <v>16.855599999999999</v>
      </c>
    </row>
    <row r="88" spans="2:28" x14ac:dyDescent="0.4">
      <c r="B88" s="11">
        <v>71</v>
      </c>
      <c r="C88" s="16">
        <f t="shared" si="5"/>
        <v>14.549785073695567</v>
      </c>
      <c r="D88" s="17">
        <f t="shared" si="7"/>
        <v>16.166427859661741</v>
      </c>
      <c r="E88" s="17">
        <f t="shared" si="6"/>
        <v>17.783070645627916</v>
      </c>
      <c r="F88" s="2">
        <v>16.7684</v>
      </c>
      <c r="G88" s="2" t="str">
        <f t="shared" si="4"/>
        <v>Pass</v>
      </c>
      <c r="Y88" s="2">
        <v>73</v>
      </c>
      <c r="Z88" s="2">
        <v>0.33139999999999997</v>
      </c>
      <c r="AA88" s="2">
        <v>0.34670000000000001</v>
      </c>
      <c r="AB88" s="2">
        <v>17.349</v>
      </c>
    </row>
    <row r="89" spans="2:28" x14ac:dyDescent="0.4">
      <c r="B89" s="11">
        <v>72</v>
      </c>
      <c r="C89" s="16">
        <f t="shared" si="5"/>
        <v>14.961109181298617</v>
      </c>
      <c r="D89" s="17">
        <f t="shared" si="7"/>
        <v>16.623454645887353</v>
      </c>
      <c r="E89" s="17">
        <f t="shared" si="6"/>
        <v>18.285800110476089</v>
      </c>
      <c r="F89" s="2">
        <v>16.855599999999999</v>
      </c>
      <c r="G89" s="2" t="str">
        <f t="shared" si="4"/>
        <v>Pass</v>
      </c>
      <c r="Y89" s="2">
        <v>74</v>
      </c>
      <c r="Z89" s="2">
        <v>0.33129999999999998</v>
      </c>
      <c r="AA89" s="2">
        <v>0.3463</v>
      </c>
      <c r="AB89" s="2">
        <v>17.946400000000001</v>
      </c>
    </row>
    <row r="90" spans="2:28" x14ac:dyDescent="0.4">
      <c r="B90" s="11">
        <v>73</v>
      </c>
      <c r="C90" s="16">
        <f t="shared" si="5"/>
        <v>15.37816662038955</v>
      </c>
      <c r="D90" s="17">
        <f t="shared" si="7"/>
        <v>17.086851800432832</v>
      </c>
      <c r="E90" s="17">
        <f t="shared" si="6"/>
        <v>18.795536980476115</v>
      </c>
      <c r="F90" s="2">
        <v>17.349</v>
      </c>
      <c r="G90" s="2" t="str">
        <f t="shared" si="4"/>
        <v>Pass</v>
      </c>
      <c r="Y90" s="2">
        <v>75</v>
      </c>
      <c r="Z90" s="2">
        <v>0.33150000000000002</v>
      </c>
      <c r="AA90" s="2">
        <v>0.3463</v>
      </c>
      <c r="AB90" s="2">
        <v>18.358899999999998</v>
      </c>
    </row>
    <row r="91" spans="2:28" x14ac:dyDescent="0.4">
      <c r="B91" s="11">
        <v>74</v>
      </c>
      <c r="C91" s="16">
        <f t="shared" si="5"/>
        <v>15.800957390968371</v>
      </c>
      <c r="D91" s="17">
        <f t="shared" si="7"/>
        <v>17.55661932329819</v>
      </c>
      <c r="E91" s="17">
        <f t="shared" si="6"/>
        <v>19.312281255628008</v>
      </c>
      <c r="F91" s="2">
        <v>17.946400000000001</v>
      </c>
      <c r="G91" s="2" t="str">
        <f t="shared" si="4"/>
        <v>Pass</v>
      </c>
      <c r="Y91" s="2">
        <v>76</v>
      </c>
      <c r="Z91" s="2">
        <v>0.33119999999999999</v>
      </c>
      <c r="AA91" s="2">
        <v>0.34589999999999999</v>
      </c>
      <c r="AB91" s="2">
        <v>18.846399999999999</v>
      </c>
    </row>
    <row r="92" spans="2:28" x14ac:dyDescent="0.4">
      <c r="B92" s="11">
        <v>75</v>
      </c>
      <c r="C92" s="16">
        <f t="shared" si="5"/>
        <v>16.229481493035081</v>
      </c>
      <c r="D92" s="17">
        <f t="shared" si="7"/>
        <v>18.032757214483425</v>
      </c>
      <c r="E92" s="17">
        <f t="shared" si="6"/>
        <v>19.836032935931769</v>
      </c>
      <c r="F92" s="2">
        <v>18.358899999999998</v>
      </c>
      <c r="G92" s="2" t="str">
        <f t="shared" si="4"/>
        <v>Pass</v>
      </c>
      <c r="Y92" s="2">
        <v>77</v>
      </c>
      <c r="Z92" s="2">
        <v>0.3306</v>
      </c>
      <c r="AA92" s="2">
        <v>0.34649999999999997</v>
      </c>
      <c r="AB92" s="2">
        <v>19.4574</v>
      </c>
    </row>
    <row r="93" spans="2:28" x14ac:dyDescent="0.4">
      <c r="B93" s="11">
        <v>76</v>
      </c>
      <c r="C93" s="16">
        <f t="shared" si="5"/>
        <v>16.663738926589687</v>
      </c>
      <c r="D93" s="17">
        <f t="shared" si="7"/>
        <v>18.515265473988542</v>
      </c>
      <c r="E93" s="17">
        <f t="shared" si="6"/>
        <v>20.366792021387397</v>
      </c>
      <c r="F93" s="2">
        <v>18.846399999999999</v>
      </c>
      <c r="G93" s="2" t="str">
        <f t="shared" si="4"/>
        <v>Pass</v>
      </c>
      <c r="Y93" s="2">
        <v>78</v>
      </c>
      <c r="Z93" s="2">
        <v>0.32990000000000003</v>
      </c>
      <c r="AA93" s="2">
        <v>0.3453</v>
      </c>
      <c r="AB93" s="2">
        <v>19.863700000000001</v>
      </c>
    </row>
    <row r="94" spans="2:28" x14ac:dyDescent="0.4">
      <c r="B94" s="11">
        <v>77</v>
      </c>
      <c r="C94" s="16">
        <f t="shared" si="5"/>
        <v>17.103729691632182</v>
      </c>
      <c r="D94" s="17">
        <f t="shared" si="7"/>
        <v>19.004144101813534</v>
      </c>
      <c r="E94" s="17">
        <f t="shared" si="6"/>
        <v>20.904558511994885</v>
      </c>
      <c r="F94" s="2">
        <v>19.4574</v>
      </c>
      <c r="G94" s="2" t="str">
        <f t="shared" si="4"/>
        <v>Pass</v>
      </c>
      <c r="Y94" s="2">
        <v>79</v>
      </c>
      <c r="Z94" s="2">
        <v>0.32969999999999999</v>
      </c>
      <c r="AA94" s="2">
        <v>0.34510000000000002</v>
      </c>
      <c r="AB94" s="2">
        <v>20.4817</v>
      </c>
    </row>
    <row r="95" spans="2:28" x14ac:dyDescent="0.4">
      <c r="B95" s="11">
        <v>78</v>
      </c>
      <c r="C95" s="16">
        <f t="shared" si="5"/>
        <v>17.549453788162555</v>
      </c>
      <c r="D95" s="17">
        <f t="shared" si="7"/>
        <v>19.499393097958396</v>
      </c>
      <c r="E95" s="17">
        <f t="shared" si="6"/>
        <v>21.449332407754238</v>
      </c>
      <c r="F95" s="2">
        <v>19.863700000000001</v>
      </c>
      <c r="G95" s="2" t="str">
        <f t="shared" si="4"/>
        <v>Pass</v>
      </c>
      <c r="Y95" s="2">
        <v>80</v>
      </c>
      <c r="Z95" s="2">
        <v>0.32929999999999998</v>
      </c>
      <c r="AA95" s="2">
        <v>0.34489999999999998</v>
      </c>
      <c r="AB95" s="2">
        <v>21.0015</v>
      </c>
    </row>
    <row r="96" spans="2:28" x14ac:dyDescent="0.4">
      <c r="B96" s="11">
        <v>79</v>
      </c>
      <c r="C96" s="16">
        <f t="shared" si="5"/>
        <v>18.000911216180828</v>
      </c>
      <c r="D96" s="17">
        <f t="shared" si="7"/>
        <v>20.001012462423141</v>
      </c>
      <c r="E96" s="17">
        <f t="shared" si="6"/>
        <v>22.001113708665454</v>
      </c>
      <c r="F96" s="2">
        <v>20.4817</v>
      </c>
      <c r="G96" s="2" t="str">
        <f t="shared" si="4"/>
        <v>Pass</v>
      </c>
      <c r="Y96" s="2">
        <v>81</v>
      </c>
      <c r="Z96" s="2">
        <v>0.32940000000000003</v>
      </c>
      <c r="AA96" s="2">
        <v>0.34460000000000002</v>
      </c>
      <c r="AB96" s="2">
        <v>21.498699999999999</v>
      </c>
    </row>
    <row r="97" spans="2:28" x14ac:dyDescent="0.4">
      <c r="B97" s="11">
        <v>80</v>
      </c>
      <c r="C97" s="16">
        <f t="shared" si="5"/>
        <v>18.45810197568699</v>
      </c>
      <c r="D97" s="17">
        <f t="shared" si="7"/>
        <v>20.509002195207767</v>
      </c>
      <c r="E97" s="17">
        <f t="shared" si="6"/>
        <v>22.559902414728544</v>
      </c>
      <c r="F97" s="2">
        <v>21.0015</v>
      </c>
      <c r="G97" s="2" t="str">
        <f t="shared" si="4"/>
        <v>Pass</v>
      </c>
      <c r="Y97" s="2">
        <v>82</v>
      </c>
      <c r="Z97" s="2">
        <v>0.32929999999999998</v>
      </c>
      <c r="AA97" s="2">
        <v>0.34460000000000002</v>
      </c>
      <c r="AB97" s="2">
        <v>22.167000000000002</v>
      </c>
    </row>
    <row r="98" spans="2:28" x14ac:dyDescent="0.4">
      <c r="B98" s="11">
        <v>81</v>
      </c>
      <c r="C98" s="16">
        <f t="shared" si="5"/>
        <v>18.921026066681037</v>
      </c>
      <c r="D98" s="17">
        <f t="shared" si="7"/>
        <v>21.023362296312264</v>
      </c>
      <c r="E98" s="17">
        <f t="shared" si="6"/>
        <v>23.125698525943491</v>
      </c>
      <c r="F98" s="2">
        <v>21.498699999999999</v>
      </c>
      <c r="G98" s="2" t="str">
        <f t="shared" si="4"/>
        <v>Pass</v>
      </c>
      <c r="Y98" s="2">
        <v>83</v>
      </c>
      <c r="Z98" s="2">
        <v>0.33110000000000001</v>
      </c>
      <c r="AA98" s="2">
        <v>0.34760000000000002</v>
      </c>
      <c r="AB98" s="2">
        <v>22.640899999999998</v>
      </c>
    </row>
    <row r="99" spans="2:28" x14ac:dyDescent="0.4">
      <c r="B99" s="11">
        <v>82</v>
      </c>
      <c r="C99" s="16">
        <f t="shared" si="5"/>
        <v>19.389683489162973</v>
      </c>
      <c r="D99" s="17">
        <f t="shared" si="7"/>
        <v>21.544092765736636</v>
      </c>
      <c r="E99" s="17">
        <f t="shared" si="6"/>
        <v>23.698502042310299</v>
      </c>
      <c r="F99" s="2">
        <v>22.167000000000002</v>
      </c>
      <c r="G99" s="2" t="str">
        <f t="shared" si="4"/>
        <v>Pass</v>
      </c>
      <c r="Y99" s="2">
        <v>84</v>
      </c>
      <c r="Z99" s="2">
        <v>0.33079999999999998</v>
      </c>
      <c r="AA99" s="2">
        <v>0.34760000000000002</v>
      </c>
      <c r="AB99" s="2">
        <v>23.149799999999999</v>
      </c>
    </row>
    <row r="100" spans="2:28" x14ac:dyDescent="0.4">
      <c r="B100" s="11">
        <v>83</v>
      </c>
      <c r="C100" s="16">
        <f t="shared" si="5"/>
        <v>19.864074243132801</v>
      </c>
      <c r="D100" s="17">
        <f t="shared" si="7"/>
        <v>22.071193603480889</v>
      </c>
      <c r="E100" s="17">
        <f t="shared" si="6"/>
        <v>24.278312963828977</v>
      </c>
      <c r="F100" s="2">
        <v>22.640899999999998</v>
      </c>
      <c r="G100" s="2" t="str">
        <f t="shared" si="4"/>
        <v>Pass</v>
      </c>
      <c r="Y100" s="2">
        <v>85</v>
      </c>
      <c r="Z100" s="2">
        <v>0.33079999999999998</v>
      </c>
      <c r="AA100" s="2">
        <v>0.34739999999999999</v>
      </c>
      <c r="AB100" s="2">
        <v>23.898599999999998</v>
      </c>
    </row>
    <row r="101" spans="2:28" x14ac:dyDescent="0.4">
      <c r="B101" s="11">
        <v>84</v>
      </c>
      <c r="C101" s="16">
        <f t="shared" si="5"/>
        <v>20.344198328590519</v>
      </c>
      <c r="D101" s="17">
        <f t="shared" si="7"/>
        <v>22.604664809545021</v>
      </c>
      <c r="E101" s="17">
        <f t="shared" si="6"/>
        <v>24.865131290499523</v>
      </c>
      <c r="F101" s="2">
        <v>23.149799999999999</v>
      </c>
      <c r="G101" s="2" t="str">
        <f t="shared" si="4"/>
        <v>Pass</v>
      </c>
      <c r="Y101" s="2">
        <v>86</v>
      </c>
      <c r="Z101" s="2">
        <v>0.33069999999999999</v>
      </c>
      <c r="AA101" s="2">
        <v>0.3473</v>
      </c>
      <c r="AB101" s="2">
        <v>24.463200000000001</v>
      </c>
    </row>
    <row r="102" spans="2:28" x14ac:dyDescent="0.4">
      <c r="B102" s="11">
        <v>85</v>
      </c>
      <c r="C102" s="16">
        <f t="shared" si="5"/>
        <v>20.830055745536125</v>
      </c>
      <c r="D102" s="17">
        <f t="shared" si="7"/>
        <v>23.144506383929027</v>
      </c>
      <c r="E102" s="17">
        <f t="shared" si="6"/>
        <v>25.458957022321929</v>
      </c>
      <c r="F102" s="2">
        <v>23.898599999999998</v>
      </c>
      <c r="G102" s="2" t="str">
        <f t="shared" si="4"/>
        <v>Pass</v>
      </c>
      <c r="Y102" s="2">
        <v>87</v>
      </c>
      <c r="Z102" s="2">
        <v>0.33129999999999998</v>
      </c>
      <c r="AA102" s="2">
        <v>0.3448</v>
      </c>
      <c r="AB102" s="2">
        <v>24.6128</v>
      </c>
    </row>
    <row r="103" spans="2:28" x14ac:dyDescent="0.4">
      <c r="B103" s="11">
        <v>86</v>
      </c>
      <c r="C103" s="16">
        <f t="shared" si="5"/>
        <v>21.321646493969617</v>
      </c>
      <c r="D103" s="17">
        <f t="shared" si="7"/>
        <v>23.690718326632908</v>
      </c>
      <c r="E103" s="17">
        <f t="shared" si="6"/>
        <v>26.059790159296199</v>
      </c>
      <c r="F103" s="2">
        <v>24.463200000000001</v>
      </c>
      <c r="G103" s="2" t="str">
        <f t="shared" si="4"/>
        <v>Pass</v>
      </c>
      <c r="Y103" s="2">
        <v>88</v>
      </c>
      <c r="Z103" s="2">
        <v>0.33229999999999998</v>
      </c>
      <c r="AA103" s="2">
        <v>0.34799999999999998</v>
      </c>
      <c r="AB103" s="2">
        <v>25.067299999999999</v>
      </c>
    </row>
    <row r="104" spans="2:28" x14ac:dyDescent="0.4">
      <c r="B104" s="11">
        <v>87</v>
      </c>
      <c r="C104" s="16">
        <f t="shared" si="5"/>
        <v>21.818970573891001</v>
      </c>
      <c r="D104" s="17">
        <f t="shared" si="7"/>
        <v>24.243300637656667</v>
      </c>
      <c r="E104" s="17">
        <f t="shared" si="6"/>
        <v>26.667630701422333</v>
      </c>
      <c r="F104" s="2">
        <v>24.6128</v>
      </c>
      <c r="G104" s="2" t="str">
        <f t="shared" si="4"/>
        <v>Pass</v>
      </c>
      <c r="Y104" s="2">
        <v>89</v>
      </c>
      <c r="Z104" s="2">
        <v>0.33189999999999997</v>
      </c>
      <c r="AA104" s="2">
        <v>0.3478</v>
      </c>
      <c r="AB104" s="2">
        <v>25.7409</v>
      </c>
    </row>
    <row r="105" spans="2:28" x14ac:dyDescent="0.4">
      <c r="B105" s="11">
        <v>88</v>
      </c>
      <c r="C105" s="16">
        <f t="shared" si="5"/>
        <v>22.322027985300277</v>
      </c>
      <c r="D105" s="17">
        <f t="shared" si="7"/>
        <v>24.802253317000307</v>
      </c>
      <c r="E105" s="17">
        <f t="shared" si="6"/>
        <v>27.282478648700337</v>
      </c>
      <c r="F105" s="2">
        <v>25.067299999999999</v>
      </c>
      <c r="G105" s="2" t="str">
        <f t="shared" si="4"/>
        <v>Pass</v>
      </c>
      <c r="Y105" s="2">
        <v>90</v>
      </c>
      <c r="Z105" s="2">
        <v>0.33169999999999999</v>
      </c>
      <c r="AA105" s="2">
        <v>0.3478</v>
      </c>
      <c r="AB105" s="2">
        <v>26.349900000000002</v>
      </c>
    </row>
    <row r="106" spans="2:28" x14ac:dyDescent="0.4">
      <c r="B106" s="11">
        <v>89</v>
      </c>
      <c r="C106" s="16">
        <f t="shared" si="5"/>
        <v>22.830818728197436</v>
      </c>
      <c r="D106" s="17">
        <f t="shared" si="7"/>
        <v>25.367576364663819</v>
      </c>
      <c r="E106" s="17">
        <f t="shared" si="6"/>
        <v>27.904334001130202</v>
      </c>
      <c r="F106" s="2">
        <v>25.7409</v>
      </c>
      <c r="G106" s="2" t="str">
        <f t="shared" si="4"/>
        <v>Pass</v>
      </c>
      <c r="Y106" s="2">
        <v>91</v>
      </c>
      <c r="Z106" s="2">
        <v>0.33129999999999998</v>
      </c>
      <c r="AA106" s="2">
        <v>0.34710000000000002</v>
      </c>
      <c r="AB106" s="2">
        <v>27.097300000000001</v>
      </c>
    </row>
    <row r="107" spans="2:28" x14ac:dyDescent="0.4">
      <c r="B107" s="11">
        <v>90</v>
      </c>
      <c r="C107" s="16">
        <f t="shared" si="5"/>
        <v>23.345342802582486</v>
      </c>
      <c r="D107" s="17">
        <f t="shared" si="7"/>
        <v>25.939269780647209</v>
      </c>
      <c r="E107" s="17">
        <f t="shared" si="6"/>
        <v>28.533196758711931</v>
      </c>
      <c r="F107" s="2">
        <v>26.349900000000002</v>
      </c>
      <c r="G107" s="2" t="str">
        <f t="shared" si="4"/>
        <v>Pass</v>
      </c>
      <c r="Y107" s="2">
        <v>92</v>
      </c>
      <c r="Z107" s="2">
        <v>0.33110000000000001</v>
      </c>
      <c r="AA107" s="2">
        <v>0.34710000000000002</v>
      </c>
      <c r="AB107" s="2">
        <v>27.676200000000001</v>
      </c>
    </row>
    <row r="108" spans="2:28" x14ac:dyDescent="0.4">
      <c r="B108" s="11">
        <v>91</v>
      </c>
      <c r="C108" s="16">
        <f t="shared" si="5"/>
        <v>23.86560020845543</v>
      </c>
      <c r="D108" s="17">
        <f t="shared" si="7"/>
        <v>26.517333564950476</v>
      </c>
      <c r="E108" s="17">
        <f t="shared" si="6"/>
        <v>29.169066921445523</v>
      </c>
      <c r="F108" s="2">
        <v>27.097300000000001</v>
      </c>
      <c r="G108" s="2" t="str">
        <f t="shared" si="4"/>
        <v>Pass</v>
      </c>
      <c r="Y108" s="2">
        <v>93</v>
      </c>
      <c r="Z108" s="2">
        <v>0.33189999999999997</v>
      </c>
      <c r="AA108" s="2">
        <v>0.34849999999999998</v>
      </c>
      <c r="AB108" s="2">
        <v>28.251999999999999</v>
      </c>
    </row>
    <row r="109" spans="2:28" x14ac:dyDescent="0.4">
      <c r="B109" s="11">
        <v>92</v>
      </c>
      <c r="C109" s="16">
        <f t="shared" si="5"/>
        <v>24.391590945816265</v>
      </c>
      <c r="D109" s="17">
        <f t="shared" si="7"/>
        <v>27.10176771757363</v>
      </c>
      <c r="E109" s="17">
        <f t="shared" si="6"/>
        <v>29.811944489330994</v>
      </c>
      <c r="F109" s="2">
        <v>27.676200000000001</v>
      </c>
      <c r="G109" s="2" t="str">
        <f t="shared" si="4"/>
        <v>Pass</v>
      </c>
      <c r="Y109" s="2">
        <v>94</v>
      </c>
      <c r="Z109" s="2">
        <v>0.33139999999999997</v>
      </c>
      <c r="AA109" s="2">
        <v>0.3483</v>
      </c>
      <c r="AB109" s="2">
        <v>29.016400000000001</v>
      </c>
    </row>
    <row r="110" spans="2:28" x14ac:dyDescent="0.4">
      <c r="B110" s="11">
        <v>93</v>
      </c>
      <c r="C110" s="16">
        <f t="shared" si="5"/>
        <v>24.923315014664983</v>
      </c>
      <c r="D110" s="17">
        <f t="shared" si="7"/>
        <v>27.692572238516647</v>
      </c>
      <c r="E110" s="17">
        <f t="shared" si="6"/>
        <v>30.461829462368311</v>
      </c>
      <c r="F110" s="2">
        <v>28.251999999999999</v>
      </c>
      <c r="G110" s="2" t="str">
        <f t="shared" si="4"/>
        <v>Pass</v>
      </c>
      <c r="Y110" s="2">
        <v>95</v>
      </c>
      <c r="Z110" s="2">
        <v>0.33119999999999999</v>
      </c>
      <c r="AA110" s="2">
        <v>0.34810000000000002</v>
      </c>
      <c r="AB110" s="2">
        <v>29.6</v>
      </c>
    </row>
    <row r="111" spans="2:28" x14ac:dyDescent="0.4">
      <c r="B111" s="11">
        <v>94</v>
      </c>
      <c r="C111" s="16">
        <f t="shared" si="5"/>
        <v>25.460772415001593</v>
      </c>
      <c r="D111" s="17">
        <f t="shared" si="7"/>
        <v>28.289747127779545</v>
      </c>
      <c r="E111" s="17">
        <f t="shared" si="6"/>
        <v>31.118721840557498</v>
      </c>
      <c r="F111" s="2">
        <v>29.016400000000001</v>
      </c>
      <c r="G111" s="2" t="str">
        <f t="shared" si="4"/>
        <v>Pass</v>
      </c>
      <c r="Y111" s="2">
        <v>96</v>
      </c>
      <c r="Z111" s="2">
        <v>0.33110000000000001</v>
      </c>
      <c r="AA111" s="2">
        <v>0.3478</v>
      </c>
      <c r="AB111" s="2">
        <v>30.2834</v>
      </c>
    </row>
    <row r="112" spans="2:28" x14ac:dyDescent="0.4">
      <c r="B112" s="11">
        <v>95</v>
      </c>
      <c r="C112" s="16">
        <f t="shared" si="5"/>
        <v>26.003963146826084</v>
      </c>
      <c r="D112" s="17">
        <f t="shared" si="7"/>
        <v>28.893292385362315</v>
      </c>
      <c r="E112" s="17">
        <f t="shared" si="6"/>
        <v>31.782621623898546</v>
      </c>
      <c r="F112" s="2">
        <v>29.6</v>
      </c>
      <c r="G112" s="2" t="str">
        <f t="shared" si="4"/>
        <v>Pass</v>
      </c>
      <c r="Y112" s="2">
        <v>97</v>
      </c>
      <c r="Z112" s="2">
        <v>0.3306</v>
      </c>
      <c r="AA112" s="2">
        <v>0.34749999999999998</v>
      </c>
      <c r="AB112" s="2">
        <v>30.865500000000001</v>
      </c>
    </row>
    <row r="113" spans="2:28" x14ac:dyDescent="0.4">
      <c r="B113" s="11">
        <v>96</v>
      </c>
      <c r="C113" s="16">
        <f t="shared" si="5"/>
        <v>26.552887210138479</v>
      </c>
      <c r="D113" s="17">
        <f t="shared" si="7"/>
        <v>29.503208011264977</v>
      </c>
      <c r="E113" s="17">
        <f t="shared" si="6"/>
        <v>32.453528812391475</v>
      </c>
      <c r="F113" s="2">
        <v>30.2834</v>
      </c>
      <c r="G113" s="2" t="str">
        <f t="shared" si="4"/>
        <v>Pass</v>
      </c>
      <c r="Y113" s="2">
        <v>98</v>
      </c>
      <c r="Z113" s="2">
        <v>0.33210000000000001</v>
      </c>
      <c r="AA113" s="2">
        <v>0.35020000000000001</v>
      </c>
      <c r="AB113" s="2">
        <v>31.506399999999999</v>
      </c>
    </row>
    <row r="114" spans="2:28" x14ac:dyDescent="0.4">
      <c r="B114" s="11">
        <v>97</v>
      </c>
      <c r="C114" s="16">
        <f t="shared" si="5"/>
        <v>27.107544604938752</v>
      </c>
      <c r="D114" s="17">
        <f t="shared" si="7"/>
        <v>30.119494005487503</v>
      </c>
      <c r="E114" s="17">
        <f t="shared" si="6"/>
        <v>33.131443406036254</v>
      </c>
      <c r="F114" s="2">
        <v>30.865500000000001</v>
      </c>
      <c r="G114" s="2" t="str">
        <f t="shared" si="4"/>
        <v>Pass</v>
      </c>
      <c r="Y114" s="2">
        <v>99</v>
      </c>
      <c r="Z114" s="2">
        <v>0.3327</v>
      </c>
      <c r="AA114" s="2">
        <v>0.34810000000000002</v>
      </c>
      <c r="AB114" s="2">
        <v>31.7424</v>
      </c>
    </row>
    <row r="115" spans="2:28" x14ac:dyDescent="0.4">
      <c r="B115" s="11">
        <v>98</v>
      </c>
      <c r="C115" s="16">
        <f t="shared" si="5"/>
        <v>27.667935331226918</v>
      </c>
      <c r="D115" s="17">
        <f t="shared" si="7"/>
        <v>30.742150368029908</v>
      </c>
      <c r="E115" s="17">
        <f t="shared" si="6"/>
        <v>33.816365404832901</v>
      </c>
      <c r="F115" s="2">
        <v>31.506399999999999</v>
      </c>
      <c r="G115" s="2" t="str">
        <f t="shared" si="4"/>
        <v>Pass</v>
      </c>
      <c r="Y115" s="2">
        <v>100</v>
      </c>
      <c r="Z115" s="2">
        <v>0.33239999999999997</v>
      </c>
      <c r="AA115" s="2">
        <v>0.34760000000000002</v>
      </c>
      <c r="AB115" s="2">
        <v>32.537700000000001</v>
      </c>
    </row>
    <row r="116" spans="2:28" x14ac:dyDescent="0.4">
      <c r="B116" s="11">
        <v>99</v>
      </c>
      <c r="C116" s="16">
        <f t="shared" si="5"/>
        <v>28.234059389002972</v>
      </c>
      <c r="D116" s="17">
        <f t="shared" si="7"/>
        <v>31.371177098892193</v>
      </c>
      <c r="E116" s="17">
        <f t="shared" si="6"/>
        <v>34.508294808781415</v>
      </c>
      <c r="F116" s="2">
        <v>31.7424</v>
      </c>
      <c r="G116" s="2" t="str">
        <f t="shared" si="4"/>
        <v>Pass</v>
      </c>
      <c r="Y116" s="2">
        <v>101</v>
      </c>
      <c r="Z116" s="2">
        <v>0.33229999999999998</v>
      </c>
      <c r="AA116" s="2">
        <v>0.34739999999999999</v>
      </c>
      <c r="AB116" s="2">
        <v>33.178699999999999</v>
      </c>
    </row>
    <row r="117" spans="2:28" x14ac:dyDescent="0.4">
      <c r="B117" s="11">
        <v>100</v>
      </c>
      <c r="C117" s="16">
        <f t="shared" si="5"/>
        <v>28.805916778266919</v>
      </c>
      <c r="D117" s="17">
        <f t="shared" si="7"/>
        <v>32.006574198074354</v>
      </c>
      <c r="E117" s="17">
        <f t="shared" si="6"/>
        <v>35.207231617881789</v>
      </c>
      <c r="F117" s="2">
        <v>32.537700000000001</v>
      </c>
      <c r="G117" s="2" t="str">
        <f t="shared" si="4"/>
        <v>Pass</v>
      </c>
      <c r="Y117" s="2">
        <v>102</v>
      </c>
      <c r="Z117" s="2">
        <v>0.33210000000000001</v>
      </c>
      <c r="AA117" s="2">
        <v>0.3473</v>
      </c>
      <c r="AB117" s="2">
        <v>34.019599999999997</v>
      </c>
    </row>
    <row r="118" spans="2:28" x14ac:dyDescent="0.4">
      <c r="B118" s="11">
        <v>101</v>
      </c>
      <c r="C118" s="16">
        <f t="shared" si="5"/>
        <v>29.383507499018755</v>
      </c>
      <c r="D118" s="17">
        <f t="shared" si="7"/>
        <v>32.648341665576396</v>
      </c>
      <c r="E118" s="17">
        <f t="shared" si="6"/>
        <v>35.913175832134037</v>
      </c>
      <c r="F118" s="2">
        <v>33.178699999999999</v>
      </c>
      <c r="G118" s="2" t="str">
        <f t="shared" si="4"/>
        <v>Pass</v>
      </c>
      <c r="Y118" s="2">
        <v>103</v>
      </c>
      <c r="Z118" s="2">
        <v>0.33350000000000002</v>
      </c>
      <c r="AA118" s="2">
        <v>0.34989999999999999</v>
      </c>
      <c r="AB118" s="2">
        <v>34.652799999999999</v>
      </c>
    </row>
    <row r="119" spans="2:28" x14ac:dyDescent="0.4">
      <c r="B119" s="11">
        <v>102</v>
      </c>
      <c r="C119" s="16">
        <f t="shared" si="5"/>
        <v>29.96683155125848</v>
      </c>
      <c r="D119" s="17">
        <f t="shared" si="7"/>
        <v>33.296479501398309</v>
      </c>
      <c r="E119" s="17">
        <f t="shared" si="6"/>
        <v>36.626127451538139</v>
      </c>
      <c r="F119" s="2">
        <v>34.019599999999997</v>
      </c>
      <c r="G119" s="2" t="str">
        <f t="shared" si="4"/>
        <v>Pass</v>
      </c>
      <c r="Y119" s="2">
        <v>104</v>
      </c>
      <c r="Z119" s="2">
        <v>0.3332</v>
      </c>
      <c r="AA119" s="2">
        <v>0.3493</v>
      </c>
      <c r="AB119" s="2">
        <v>35.308599999999998</v>
      </c>
    </row>
    <row r="120" spans="2:28" x14ac:dyDescent="0.4">
      <c r="B120" s="11">
        <v>103</v>
      </c>
      <c r="C120" s="16">
        <f t="shared" si="5"/>
        <v>30.555888934986083</v>
      </c>
      <c r="D120" s="17">
        <f t="shared" si="7"/>
        <v>33.950987705540093</v>
      </c>
      <c r="E120" s="17">
        <f t="shared" si="6"/>
        <v>37.346086476094101</v>
      </c>
      <c r="F120" s="2">
        <v>34.652799999999999</v>
      </c>
      <c r="G120" s="2" t="str">
        <f t="shared" si="4"/>
        <v>Pass</v>
      </c>
      <c r="Y120" s="2">
        <v>105</v>
      </c>
      <c r="Z120" s="2">
        <v>0.33300000000000002</v>
      </c>
      <c r="AA120" s="2">
        <v>0.34939999999999999</v>
      </c>
      <c r="AB120" s="2">
        <v>36.221600000000002</v>
      </c>
    </row>
    <row r="121" spans="2:28" x14ac:dyDescent="0.4">
      <c r="B121" s="11">
        <v>104</v>
      </c>
      <c r="C121" s="16">
        <f t="shared" si="5"/>
        <v>31.150679650201592</v>
      </c>
      <c r="D121" s="17">
        <f t="shared" si="7"/>
        <v>34.61186627800177</v>
      </c>
      <c r="E121" s="17">
        <f t="shared" si="6"/>
        <v>38.073052905801944</v>
      </c>
      <c r="F121" s="2">
        <v>35.308599999999998</v>
      </c>
      <c r="G121" s="2" t="str">
        <f t="shared" si="4"/>
        <v>Pass</v>
      </c>
      <c r="Y121" s="2">
        <v>106</v>
      </c>
      <c r="Z121" s="2">
        <v>0.33229999999999998</v>
      </c>
      <c r="AA121" s="2">
        <v>0.3483</v>
      </c>
      <c r="AB121" s="2">
        <v>36.912199999999999</v>
      </c>
    </row>
    <row r="122" spans="2:28" x14ac:dyDescent="0.4">
      <c r="B122" s="11">
        <v>105</v>
      </c>
      <c r="C122" s="16">
        <f t="shared" si="5"/>
        <v>31.751203696904987</v>
      </c>
      <c r="D122" s="17">
        <f t="shared" si="7"/>
        <v>35.279115218783318</v>
      </c>
      <c r="E122" s="17">
        <f t="shared" si="6"/>
        <v>38.807026740661648</v>
      </c>
      <c r="F122" s="2">
        <v>36.221600000000002</v>
      </c>
      <c r="G122" s="2" t="str">
        <f t="shared" si="4"/>
        <v>Pass</v>
      </c>
      <c r="Y122" s="2">
        <v>107</v>
      </c>
      <c r="Z122" s="2">
        <v>0.33329999999999999</v>
      </c>
      <c r="AA122" s="2">
        <v>0.34749999999999998</v>
      </c>
      <c r="AB122" s="2">
        <v>37.121499999999997</v>
      </c>
    </row>
    <row r="123" spans="2:28" x14ac:dyDescent="0.4">
      <c r="B123" s="11">
        <v>106</v>
      </c>
      <c r="C123" s="16">
        <f t="shared" si="5"/>
        <v>32.357461075096261</v>
      </c>
      <c r="D123" s="17">
        <f t="shared" si="7"/>
        <v>35.952734527884736</v>
      </c>
      <c r="E123" s="17">
        <f t="shared" si="6"/>
        <v>39.548007980673212</v>
      </c>
      <c r="F123" s="2">
        <v>36.912199999999999</v>
      </c>
      <c r="G123" s="2" t="str">
        <f t="shared" si="4"/>
        <v>Pass</v>
      </c>
      <c r="Y123" s="2">
        <v>108</v>
      </c>
      <c r="Z123" s="2">
        <v>0.3332</v>
      </c>
      <c r="AA123" s="2">
        <v>0.34749999999999998</v>
      </c>
      <c r="AB123" s="2">
        <v>37.811199999999999</v>
      </c>
    </row>
    <row r="124" spans="2:28" x14ac:dyDescent="0.4">
      <c r="B124" s="11">
        <v>107</v>
      </c>
      <c r="C124" s="16">
        <f t="shared" si="5"/>
        <v>32.969451784775423</v>
      </c>
      <c r="D124" s="17">
        <f t="shared" si="7"/>
        <v>36.632724205306026</v>
      </c>
      <c r="E124" s="17">
        <f t="shared" si="6"/>
        <v>40.295996625836629</v>
      </c>
      <c r="F124" s="2">
        <v>37.121499999999997</v>
      </c>
      <c r="G124" s="2" t="str">
        <f t="shared" si="4"/>
        <v>Pass</v>
      </c>
      <c r="Y124" s="2">
        <v>109</v>
      </c>
      <c r="Z124" s="2">
        <v>0.33279999999999998</v>
      </c>
      <c r="AA124" s="2">
        <v>0.34720000000000001</v>
      </c>
      <c r="AB124" s="2">
        <v>38.725499999999997</v>
      </c>
    </row>
    <row r="125" spans="2:28" x14ac:dyDescent="0.4">
      <c r="B125" s="11">
        <v>108</v>
      </c>
      <c r="C125" s="16">
        <f t="shared" si="5"/>
        <v>33.587175825942495</v>
      </c>
      <c r="D125" s="17">
        <f t="shared" si="7"/>
        <v>37.319084251047215</v>
      </c>
      <c r="E125" s="17">
        <f t="shared" si="6"/>
        <v>41.050992676151935</v>
      </c>
      <c r="F125" s="2">
        <v>37.811199999999999</v>
      </c>
      <c r="G125" s="2" t="str">
        <f t="shared" si="4"/>
        <v>Pass</v>
      </c>
      <c r="Y125" s="2">
        <v>110</v>
      </c>
      <c r="Z125" s="2">
        <v>0.33279999999999998</v>
      </c>
      <c r="AA125" s="2">
        <v>0.34710000000000002</v>
      </c>
      <c r="AB125" s="2">
        <v>39.393099999999997</v>
      </c>
    </row>
    <row r="126" spans="2:28" x14ac:dyDescent="0.4">
      <c r="B126" s="11">
        <v>109</v>
      </c>
      <c r="C126" s="16">
        <f t="shared" si="5"/>
        <v>34.210633198597442</v>
      </c>
      <c r="D126" s="17">
        <f t="shared" si="7"/>
        <v>38.011814665108268</v>
      </c>
      <c r="E126" s="17">
        <f t="shared" si="6"/>
        <v>41.812996131619094</v>
      </c>
      <c r="F126" s="2">
        <v>38.725499999999997</v>
      </c>
      <c r="G126" s="2" t="str">
        <f t="shared" si="4"/>
        <v>Pass</v>
      </c>
      <c r="Y126" s="2">
        <v>111</v>
      </c>
      <c r="Z126" s="2">
        <v>0.33139999999999997</v>
      </c>
      <c r="AA126" s="2">
        <v>0.34749999999999998</v>
      </c>
      <c r="AB126" s="2">
        <v>40.090200000000003</v>
      </c>
    </row>
    <row r="127" spans="2:28" x14ac:dyDescent="0.4">
      <c r="B127" s="11">
        <v>110</v>
      </c>
      <c r="C127" s="16">
        <f t="shared" si="5"/>
        <v>34.839823902740271</v>
      </c>
      <c r="D127" s="17">
        <f t="shared" si="7"/>
        <v>38.710915447489192</v>
      </c>
      <c r="E127" s="17">
        <f t="shared" si="6"/>
        <v>42.582006992238114</v>
      </c>
      <c r="F127" s="2">
        <v>39.393099999999997</v>
      </c>
      <c r="G127" s="2" t="str">
        <f t="shared" si="4"/>
        <v>Pass</v>
      </c>
      <c r="Y127" s="2">
        <v>112</v>
      </c>
      <c r="Z127" s="2">
        <v>0.33189999999999997</v>
      </c>
      <c r="AA127" s="2">
        <v>0.3488</v>
      </c>
      <c r="AB127" s="2">
        <v>40.777900000000002</v>
      </c>
    </row>
    <row r="128" spans="2:28" x14ac:dyDescent="0.4">
      <c r="B128" s="11">
        <v>111</v>
      </c>
      <c r="C128" s="16">
        <f t="shared" si="5"/>
        <v>35.474747938370996</v>
      </c>
      <c r="D128" s="17">
        <f t="shared" si="7"/>
        <v>39.416386598189995</v>
      </c>
      <c r="E128" s="17">
        <f t="shared" si="6"/>
        <v>43.358025258008993</v>
      </c>
      <c r="F128" s="2">
        <v>40.090200000000003</v>
      </c>
      <c r="G128" s="2" t="str">
        <f t="shared" si="4"/>
        <v>Pass</v>
      </c>
      <c r="Y128" s="2">
        <v>113</v>
      </c>
      <c r="Z128" s="2">
        <v>0.33179999999999998</v>
      </c>
      <c r="AA128" s="2">
        <v>0.34860000000000002</v>
      </c>
      <c r="AB128" s="2">
        <v>41.365699999999997</v>
      </c>
    </row>
    <row r="129" spans="2:28" x14ac:dyDescent="0.4">
      <c r="B129" s="11">
        <v>112</v>
      </c>
      <c r="C129" s="16">
        <f t="shared" si="5"/>
        <v>36.115405305489617</v>
      </c>
      <c r="D129" s="17">
        <f t="shared" si="7"/>
        <v>40.128228117210689</v>
      </c>
      <c r="E129" s="17">
        <f t="shared" si="6"/>
        <v>44.141050928931762</v>
      </c>
      <c r="F129" s="2">
        <v>40.777900000000002</v>
      </c>
      <c r="G129" s="2" t="str">
        <f t="shared" si="4"/>
        <v>Pass</v>
      </c>
      <c r="Y129" s="2">
        <v>114</v>
      </c>
      <c r="Z129" s="2">
        <v>0.33210000000000001</v>
      </c>
      <c r="AA129" s="2">
        <v>0.3468</v>
      </c>
      <c r="AB129" s="2">
        <v>41.556600000000003</v>
      </c>
    </row>
    <row r="130" spans="2:28" x14ac:dyDescent="0.4">
      <c r="B130" s="11">
        <v>113</v>
      </c>
      <c r="C130" s="16">
        <f t="shared" si="5"/>
        <v>36.761796004096126</v>
      </c>
      <c r="D130" s="17">
        <f t="shared" si="7"/>
        <v>40.846440004551248</v>
      </c>
      <c r="E130" s="17">
        <f t="shared" si="6"/>
        <v>44.931084005006369</v>
      </c>
      <c r="F130" s="2">
        <v>41.365699999999997</v>
      </c>
      <c r="G130" s="2" t="str">
        <f t="shared" si="4"/>
        <v>Pass</v>
      </c>
      <c r="Y130" s="2">
        <v>115</v>
      </c>
      <c r="Z130" s="2">
        <v>0.33160000000000001</v>
      </c>
      <c r="AA130" s="2">
        <v>0.34620000000000001</v>
      </c>
      <c r="AB130" s="2">
        <v>42.509300000000003</v>
      </c>
    </row>
    <row r="131" spans="2:28" x14ac:dyDescent="0.4">
      <c r="B131" s="11">
        <v>114</v>
      </c>
      <c r="C131" s="16">
        <f t="shared" si="5"/>
        <v>37.413920034190518</v>
      </c>
      <c r="D131" s="17">
        <f t="shared" si="7"/>
        <v>41.571022260211684</v>
      </c>
      <c r="E131" s="17">
        <f t="shared" si="6"/>
        <v>45.728124486232851</v>
      </c>
      <c r="F131" s="2">
        <v>41.556600000000003</v>
      </c>
      <c r="G131" s="2" t="str">
        <f t="shared" si="4"/>
        <v>Pass</v>
      </c>
      <c r="Y131" s="2">
        <v>116</v>
      </c>
      <c r="Z131" s="2">
        <v>0.33289999999999997</v>
      </c>
      <c r="AA131" s="2">
        <v>0.3488</v>
      </c>
      <c r="AB131" s="2">
        <v>43.285499999999999</v>
      </c>
    </row>
    <row r="132" spans="2:28" x14ac:dyDescent="0.4">
      <c r="B132" s="11">
        <v>115</v>
      </c>
      <c r="C132" s="16">
        <f t="shared" si="5"/>
        <v>38.071777395772799</v>
      </c>
      <c r="D132" s="17">
        <f t="shared" si="7"/>
        <v>42.301974884191999</v>
      </c>
      <c r="E132" s="17">
        <f t="shared" si="6"/>
        <v>46.5321723726112</v>
      </c>
      <c r="F132" s="2">
        <v>42.509300000000003</v>
      </c>
      <c r="G132" s="2" t="str">
        <f t="shared" si="4"/>
        <v>Pass</v>
      </c>
      <c r="Y132" s="2">
        <v>117</v>
      </c>
      <c r="Z132" s="2">
        <v>0.3327</v>
      </c>
      <c r="AA132" s="2">
        <v>0.34849999999999998</v>
      </c>
      <c r="AB132" s="2">
        <v>44.017299999999999</v>
      </c>
    </row>
    <row r="133" spans="2:28" x14ac:dyDescent="0.4">
      <c r="B133" s="11">
        <v>116</v>
      </c>
      <c r="C133" s="16">
        <f t="shared" si="5"/>
        <v>38.735368088842982</v>
      </c>
      <c r="D133" s="17">
        <f t="shared" si="7"/>
        <v>43.039297876492199</v>
      </c>
      <c r="E133" s="17">
        <f t="shared" si="6"/>
        <v>47.343227664141416</v>
      </c>
      <c r="F133" s="2">
        <v>43.285499999999999</v>
      </c>
      <c r="G133" s="2" t="str">
        <f t="shared" si="4"/>
        <v>Pass</v>
      </c>
      <c r="Y133" s="2">
        <v>118</v>
      </c>
      <c r="Z133" s="2">
        <v>0.33239999999999997</v>
      </c>
      <c r="AA133" s="2">
        <v>0.34810000000000002</v>
      </c>
      <c r="AB133" s="2">
        <v>45.021799999999999</v>
      </c>
    </row>
    <row r="134" spans="2:28" x14ac:dyDescent="0.4">
      <c r="B134" s="11">
        <v>117</v>
      </c>
      <c r="C134" s="16">
        <f t="shared" si="5"/>
        <v>39.40469211340104</v>
      </c>
      <c r="D134" s="17">
        <f t="shared" si="7"/>
        <v>43.782991237112263</v>
      </c>
      <c r="E134" s="17">
        <f t="shared" si="6"/>
        <v>48.161290360823486</v>
      </c>
      <c r="F134" s="2">
        <v>44.017299999999999</v>
      </c>
      <c r="G134" s="2" t="str">
        <f t="shared" si="4"/>
        <v>Pass</v>
      </c>
      <c r="Y134" s="2">
        <v>119</v>
      </c>
      <c r="Z134" s="2">
        <v>0.33210000000000001</v>
      </c>
      <c r="AA134" s="2">
        <v>0.34789999999999999</v>
      </c>
      <c r="AB134" s="2">
        <v>45.745699999999999</v>
      </c>
    </row>
    <row r="135" spans="2:28" x14ac:dyDescent="0.4">
      <c r="B135" s="11">
        <v>118</v>
      </c>
      <c r="C135" s="16">
        <f t="shared" si="5"/>
        <v>40.079749469446988</v>
      </c>
      <c r="D135" s="17">
        <f t="shared" si="7"/>
        <v>44.533054966052205</v>
      </c>
      <c r="E135" s="17">
        <f t="shared" si="6"/>
        <v>48.986360462657423</v>
      </c>
      <c r="F135" s="2">
        <v>45.021799999999999</v>
      </c>
      <c r="G135" s="2" t="str">
        <f t="shared" si="4"/>
        <v>Pass</v>
      </c>
      <c r="Y135" s="2">
        <v>120</v>
      </c>
      <c r="Z135" s="2">
        <v>0.33179999999999998</v>
      </c>
      <c r="AA135" s="2">
        <v>0.34749999999999998</v>
      </c>
      <c r="AB135" s="2">
        <v>46.659599999999998</v>
      </c>
    </row>
    <row r="136" spans="2:28" x14ac:dyDescent="0.4">
      <c r="B136" s="11">
        <v>119</v>
      </c>
      <c r="C136" s="16">
        <f t="shared" si="5"/>
        <v>40.760540156980824</v>
      </c>
      <c r="D136" s="17">
        <f t="shared" si="7"/>
        <v>45.289489063312026</v>
      </c>
      <c r="E136" s="17">
        <f t="shared" si="6"/>
        <v>49.818437969643227</v>
      </c>
      <c r="F136" s="2">
        <v>45.745699999999999</v>
      </c>
      <c r="G136" s="2" t="str">
        <f t="shared" si="4"/>
        <v>Pass</v>
      </c>
      <c r="Y136" s="2">
        <v>121</v>
      </c>
      <c r="Z136" s="2">
        <v>0.33229999999999998</v>
      </c>
      <c r="AA136" s="2">
        <v>0.34849999999999998</v>
      </c>
      <c r="AB136" s="2">
        <v>47.426600000000001</v>
      </c>
    </row>
    <row r="137" spans="2:28" x14ac:dyDescent="0.4">
      <c r="B137" s="11">
        <v>120</v>
      </c>
      <c r="C137" s="16">
        <f t="shared" si="5"/>
        <v>41.447064176002556</v>
      </c>
      <c r="D137" s="17">
        <f t="shared" si="7"/>
        <v>46.052293528891731</v>
      </c>
      <c r="E137" s="17">
        <f t="shared" si="6"/>
        <v>50.657522881780906</v>
      </c>
      <c r="F137" s="2">
        <v>46.659599999999998</v>
      </c>
      <c r="G137" s="2" t="str">
        <f t="shared" si="4"/>
        <v>Pass</v>
      </c>
      <c r="Y137" s="2">
        <v>122</v>
      </c>
      <c r="Z137" s="2">
        <v>0.33210000000000001</v>
      </c>
      <c r="AA137" s="2">
        <v>0.3483</v>
      </c>
      <c r="AB137" s="2">
        <v>48.109699999999997</v>
      </c>
    </row>
    <row r="138" spans="2:28" x14ac:dyDescent="0.4">
      <c r="B138" s="11">
        <v>121</v>
      </c>
      <c r="C138" s="16">
        <f t="shared" si="5"/>
        <v>42.139321526512184</v>
      </c>
      <c r="D138" s="17">
        <f t="shared" si="7"/>
        <v>46.821468362791315</v>
      </c>
      <c r="E138" s="17">
        <f t="shared" si="6"/>
        <v>51.503615199070445</v>
      </c>
      <c r="F138" s="2">
        <v>47.426600000000001</v>
      </c>
      <c r="G138" s="2" t="str">
        <f t="shared" si="4"/>
        <v>Pass</v>
      </c>
      <c r="Y138" s="2">
        <v>123</v>
      </c>
      <c r="Z138" s="2">
        <v>0.33250000000000002</v>
      </c>
      <c r="AA138" s="2">
        <v>0.34660000000000002</v>
      </c>
      <c r="AB138" s="2">
        <v>48.334699999999998</v>
      </c>
    </row>
    <row r="139" spans="2:28" x14ac:dyDescent="0.4">
      <c r="B139" s="11">
        <v>122</v>
      </c>
      <c r="C139" s="16">
        <f t="shared" si="5"/>
        <v>42.837312208509687</v>
      </c>
      <c r="D139" s="17">
        <f t="shared" si="7"/>
        <v>47.597013565010762</v>
      </c>
      <c r="E139" s="17">
        <f t="shared" si="6"/>
        <v>52.356714921511838</v>
      </c>
      <c r="F139" s="2">
        <v>48.109699999999997</v>
      </c>
      <c r="G139" s="2" t="str">
        <f t="shared" si="4"/>
        <v>Pass</v>
      </c>
      <c r="Y139" s="2">
        <v>124</v>
      </c>
      <c r="Z139" s="2">
        <v>0.33200000000000002</v>
      </c>
      <c r="AA139" s="2">
        <v>0.34620000000000001</v>
      </c>
      <c r="AB139" s="2">
        <v>49.301900000000003</v>
      </c>
    </row>
    <row r="140" spans="2:28" x14ac:dyDescent="0.4">
      <c r="B140" s="11">
        <v>123</v>
      </c>
      <c r="C140" s="16">
        <f t="shared" si="5"/>
        <v>43.541036221995078</v>
      </c>
      <c r="D140" s="17">
        <f t="shared" si="7"/>
        <v>48.378929135550088</v>
      </c>
      <c r="E140" s="17">
        <f t="shared" si="6"/>
        <v>53.216822049105097</v>
      </c>
      <c r="F140" s="2">
        <v>48.334699999999998</v>
      </c>
      <c r="G140" s="2" t="str">
        <f t="shared" si="4"/>
        <v>Pass</v>
      </c>
      <c r="Y140" s="2">
        <v>125</v>
      </c>
      <c r="Z140" s="2">
        <v>0.33350000000000002</v>
      </c>
      <c r="AA140" s="2">
        <v>0.34849999999999998</v>
      </c>
      <c r="AB140" s="2">
        <v>50.118099999999998</v>
      </c>
    </row>
    <row r="141" spans="2:28" x14ac:dyDescent="0.4">
      <c r="B141" s="11">
        <v>124</v>
      </c>
      <c r="C141" s="16">
        <f t="shared" si="5"/>
        <v>44.250493566968373</v>
      </c>
      <c r="D141" s="17">
        <f t="shared" si="7"/>
        <v>49.167215074409306</v>
      </c>
      <c r="E141" s="17">
        <f t="shared" si="6"/>
        <v>54.083936581850239</v>
      </c>
      <c r="F141" s="2">
        <v>49.301900000000003</v>
      </c>
      <c r="G141" s="2" t="str">
        <f t="shared" si="4"/>
        <v>Pass</v>
      </c>
      <c r="Y141" s="2">
        <v>126</v>
      </c>
      <c r="Z141" s="2">
        <v>0.33329999999999999</v>
      </c>
      <c r="AA141" s="2">
        <v>0.34839999999999999</v>
      </c>
      <c r="AB141" s="2">
        <v>50.928100000000001</v>
      </c>
    </row>
    <row r="142" spans="2:28" x14ac:dyDescent="0.4">
      <c r="B142" s="11">
        <v>125</v>
      </c>
      <c r="C142" s="16">
        <f t="shared" si="5"/>
        <v>44.96568424342955</v>
      </c>
      <c r="D142" s="17">
        <f t="shared" si="7"/>
        <v>49.961871381588388</v>
      </c>
      <c r="E142" s="17">
        <f t="shared" si="6"/>
        <v>54.958058519747226</v>
      </c>
      <c r="F142" s="2">
        <v>50.118099999999998</v>
      </c>
      <c r="G142" s="2" t="str">
        <f t="shared" si="4"/>
        <v>Pass</v>
      </c>
      <c r="Y142" s="2">
        <v>127</v>
      </c>
      <c r="Z142" s="2">
        <v>0.33289999999999997</v>
      </c>
      <c r="AA142" s="2">
        <v>0.34799999999999998</v>
      </c>
      <c r="AB142" s="2">
        <v>51.970799999999997</v>
      </c>
    </row>
    <row r="143" spans="2:28" x14ac:dyDescent="0.4">
      <c r="B143" s="11">
        <v>126</v>
      </c>
      <c r="C143" s="16">
        <f t="shared" si="5"/>
        <v>45.686608251378615</v>
      </c>
      <c r="D143" s="17">
        <f t="shared" si="7"/>
        <v>50.762898057087348</v>
      </c>
      <c r="E143" s="17">
        <f t="shared" si="6"/>
        <v>55.839187862796081</v>
      </c>
      <c r="F143" s="2">
        <v>50.928100000000001</v>
      </c>
      <c r="G143" s="2" t="str">
        <f t="shared" si="4"/>
        <v>Pass</v>
      </c>
      <c r="Y143" s="2">
        <v>128</v>
      </c>
      <c r="Z143" s="2">
        <v>0.33289999999999997</v>
      </c>
      <c r="AA143" s="2">
        <v>0.34789999999999999</v>
      </c>
      <c r="AB143" s="2">
        <v>52.768999999999998</v>
      </c>
    </row>
    <row r="144" spans="2:28" x14ac:dyDescent="0.4">
      <c r="B144" s="11">
        <v>127</v>
      </c>
      <c r="C144" s="16">
        <f t="shared" si="5"/>
        <v>46.41326559081557</v>
      </c>
      <c r="D144" s="17">
        <f t="shared" si="7"/>
        <v>51.570295100906186</v>
      </c>
      <c r="E144" s="17">
        <f t="shared" si="6"/>
        <v>56.727324610996803</v>
      </c>
      <c r="F144" s="2">
        <v>51.970799999999997</v>
      </c>
      <c r="G144" s="2" t="str">
        <f t="shared" si="4"/>
        <v>Pass</v>
      </c>
      <c r="Y144" s="2">
        <v>129</v>
      </c>
      <c r="Z144" s="2">
        <v>0.33400000000000002</v>
      </c>
      <c r="AA144" s="2">
        <v>0.35</v>
      </c>
      <c r="AB144" s="2">
        <v>53.520299999999999</v>
      </c>
    </row>
    <row r="145" spans="2:28" x14ac:dyDescent="0.4">
      <c r="B145" s="11">
        <v>128</v>
      </c>
      <c r="C145" s="16">
        <f t="shared" si="5"/>
        <v>47.145656261740427</v>
      </c>
      <c r="D145" s="17">
        <f t="shared" si="7"/>
        <v>52.384062513044917</v>
      </c>
      <c r="E145" s="17">
        <f t="shared" si="6"/>
        <v>57.622468764349406</v>
      </c>
      <c r="F145" s="2">
        <v>52.768999999999998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0.33389999999999997</v>
      </c>
      <c r="AA145" s="2">
        <v>0.3498</v>
      </c>
      <c r="AB145" s="2">
        <v>54.5745</v>
      </c>
    </row>
    <row r="146" spans="2:28" x14ac:dyDescent="0.4">
      <c r="B146" s="11">
        <v>129</v>
      </c>
      <c r="C146" s="16">
        <f t="shared" ref="C146:C209" si="9">D146-D146*(C$14/100)</f>
        <v>47.883780264153152</v>
      </c>
      <c r="D146" s="17">
        <f t="shared" si="7"/>
        <v>53.204200293503504</v>
      </c>
      <c r="E146" s="17">
        <f t="shared" ref="E146:E209" si="10">D146+D146*(C$14/100)</f>
        <v>58.524620322853856</v>
      </c>
      <c r="F146" s="2">
        <v>53.520299999999999</v>
      </c>
      <c r="G146" s="2" t="str">
        <f t="shared" si="8"/>
        <v>Pass</v>
      </c>
      <c r="Y146" s="2">
        <v>131</v>
      </c>
      <c r="Z146" s="2">
        <v>0.33379999999999999</v>
      </c>
      <c r="AA146" s="2">
        <v>0.34960000000000002</v>
      </c>
      <c r="AB146" s="2">
        <v>55.369700000000002</v>
      </c>
    </row>
    <row r="147" spans="2:28" x14ac:dyDescent="0.4">
      <c r="B147" s="11">
        <v>130</v>
      </c>
      <c r="C147" s="16">
        <f t="shared" si="9"/>
        <v>48.627637598053774</v>
      </c>
      <c r="D147" s="17">
        <f t="shared" ref="D147:D210" si="11">D$272*((B147+F$17)/B$272)^C$13</f>
        <v>54.03070844228197</v>
      </c>
      <c r="E147" s="17">
        <f t="shared" si="10"/>
        <v>59.433779286510166</v>
      </c>
      <c r="F147" s="2">
        <v>54.5745</v>
      </c>
      <c r="G147" s="2" t="str">
        <f t="shared" si="8"/>
        <v>Pass</v>
      </c>
      <c r="Y147" s="2">
        <v>132</v>
      </c>
      <c r="Z147" s="2">
        <v>0.33289999999999997</v>
      </c>
      <c r="AA147" s="2">
        <v>0.34699999999999998</v>
      </c>
      <c r="AB147" s="2">
        <v>55.640599999999999</v>
      </c>
    </row>
    <row r="148" spans="2:28" x14ac:dyDescent="0.4">
      <c r="B148" s="11">
        <v>131</v>
      </c>
      <c r="C148" s="16">
        <f t="shared" si="9"/>
        <v>49.377228263442291</v>
      </c>
      <c r="D148" s="17">
        <f t="shared" si="11"/>
        <v>54.863586959380321</v>
      </c>
      <c r="E148" s="17">
        <f t="shared" si="10"/>
        <v>60.349945655318351</v>
      </c>
      <c r="F148" s="2">
        <v>55.369700000000002</v>
      </c>
      <c r="G148" s="2" t="str">
        <f t="shared" si="8"/>
        <v>Pass</v>
      </c>
      <c r="Y148" s="2">
        <v>133</v>
      </c>
      <c r="Z148" s="2">
        <v>0.33279999999999998</v>
      </c>
      <c r="AA148" s="2">
        <v>0.3468</v>
      </c>
      <c r="AB148" s="2">
        <v>56.781399999999998</v>
      </c>
    </row>
    <row r="149" spans="2:28" x14ac:dyDescent="0.4">
      <c r="B149" s="11">
        <v>132</v>
      </c>
      <c r="C149" s="16">
        <f t="shared" si="9"/>
        <v>50.13255226031869</v>
      </c>
      <c r="D149" s="17">
        <f t="shared" si="11"/>
        <v>55.702835844798543</v>
      </c>
      <c r="E149" s="17">
        <f t="shared" si="10"/>
        <v>61.273119429278395</v>
      </c>
      <c r="F149" s="2">
        <v>55.640599999999999</v>
      </c>
      <c r="G149" s="2" t="str">
        <f t="shared" si="8"/>
        <v>Pass</v>
      </c>
      <c r="Y149" s="2">
        <v>134</v>
      </c>
      <c r="Z149" s="2">
        <v>0.33439999999999998</v>
      </c>
      <c r="AA149" s="2">
        <v>0.34870000000000001</v>
      </c>
      <c r="AB149" s="2">
        <v>57.634700000000002</v>
      </c>
    </row>
    <row r="150" spans="2:28" x14ac:dyDescent="0.4">
      <c r="B150" s="11">
        <v>133</v>
      </c>
      <c r="C150" s="16">
        <f t="shared" si="9"/>
        <v>50.89360958868297</v>
      </c>
      <c r="D150" s="17">
        <f t="shared" si="11"/>
        <v>56.548455098536635</v>
      </c>
      <c r="E150" s="17">
        <f t="shared" si="10"/>
        <v>62.2033006083903</v>
      </c>
      <c r="F150" s="2">
        <v>56.781399999999998</v>
      </c>
      <c r="G150" s="2" t="str">
        <f t="shared" si="8"/>
        <v>Pass</v>
      </c>
      <c r="Y150" s="2">
        <v>135</v>
      </c>
      <c r="Z150" s="2">
        <v>0.33410000000000001</v>
      </c>
      <c r="AA150" s="2">
        <v>0.34839999999999999</v>
      </c>
      <c r="AB150" s="2">
        <v>58.4724</v>
      </c>
    </row>
    <row r="151" spans="2:28" x14ac:dyDescent="0.4">
      <c r="B151" s="11">
        <v>134</v>
      </c>
      <c r="C151" s="16">
        <f t="shared" si="9"/>
        <v>51.660400248535176</v>
      </c>
      <c r="D151" s="17">
        <f t="shared" si="11"/>
        <v>57.400444720594642</v>
      </c>
      <c r="E151" s="17">
        <f t="shared" si="10"/>
        <v>63.140489192654108</v>
      </c>
      <c r="F151" s="2">
        <v>57.634700000000002</v>
      </c>
      <c r="G151" s="2" t="str">
        <f t="shared" si="8"/>
        <v>Pass</v>
      </c>
      <c r="Y151" s="2">
        <v>136</v>
      </c>
      <c r="Z151" s="2">
        <v>0.33339999999999997</v>
      </c>
      <c r="AA151" s="2">
        <v>0.3473</v>
      </c>
      <c r="AB151" s="2">
        <v>59.633299999999998</v>
      </c>
    </row>
    <row r="152" spans="2:28" x14ac:dyDescent="0.4">
      <c r="B152" s="11">
        <v>135</v>
      </c>
      <c r="C152" s="16">
        <f t="shared" si="9"/>
        <v>52.432924239875241</v>
      </c>
      <c r="D152" s="17">
        <f t="shared" si="11"/>
        <v>58.258804710972491</v>
      </c>
      <c r="E152" s="17">
        <f t="shared" si="10"/>
        <v>64.084685182069734</v>
      </c>
      <c r="F152" s="2">
        <v>58.4724</v>
      </c>
      <c r="G152" s="2" t="str">
        <f t="shared" si="8"/>
        <v>Pass</v>
      </c>
      <c r="Y152" s="2">
        <v>137</v>
      </c>
      <c r="Z152" s="2">
        <v>0.33229999999999998</v>
      </c>
      <c r="AA152" s="2">
        <v>0.34770000000000001</v>
      </c>
      <c r="AB152" s="2">
        <v>60.546999999999997</v>
      </c>
    </row>
    <row r="153" spans="2:28" x14ac:dyDescent="0.4">
      <c r="B153" s="11">
        <v>136</v>
      </c>
      <c r="C153" s="16">
        <f t="shared" si="9"/>
        <v>53.211181562703196</v>
      </c>
      <c r="D153" s="17">
        <f t="shared" si="11"/>
        <v>59.123535069670218</v>
      </c>
      <c r="E153" s="17">
        <f t="shared" si="10"/>
        <v>65.035888576637234</v>
      </c>
      <c r="F153" s="2">
        <v>59.633299999999998</v>
      </c>
      <c r="G153" s="2" t="str">
        <f t="shared" si="8"/>
        <v>Pass</v>
      </c>
      <c r="Y153" s="2">
        <v>138</v>
      </c>
      <c r="Z153" s="2">
        <v>0.33329999999999999</v>
      </c>
      <c r="AA153" s="2">
        <v>0.34720000000000001</v>
      </c>
      <c r="AB153" s="2">
        <v>60.588799999999999</v>
      </c>
    </row>
    <row r="154" spans="2:28" x14ac:dyDescent="0.4">
      <c r="B154" s="11">
        <v>137</v>
      </c>
      <c r="C154" s="16">
        <f t="shared" si="9"/>
        <v>53.995172217019032</v>
      </c>
      <c r="D154" s="17">
        <f t="shared" si="11"/>
        <v>59.994635796687817</v>
      </c>
      <c r="E154" s="17">
        <f t="shared" si="10"/>
        <v>65.994099376356601</v>
      </c>
      <c r="F154" s="2">
        <v>60.546999999999997</v>
      </c>
      <c r="G154" s="2" t="str">
        <f t="shared" si="8"/>
        <v>Pass</v>
      </c>
      <c r="Y154" s="2">
        <v>139</v>
      </c>
      <c r="Z154" s="2">
        <v>0.33310000000000001</v>
      </c>
      <c r="AA154" s="2">
        <v>0.3473</v>
      </c>
      <c r="AB154" s="2">
        <v>61.7911</v>
      </c>
    </row>
    <row r="155" spans="2:28" x14ac:dyDescent="0.4">
      <c r="B155" s="11">
        <v>138</v>
      </c>
      <c r="C155" s="16">
        <f t="shared" si="9"/>
        <v>54.784896202822779</v>
      </c>
      <c r="D155" s="17">
        <f t="shared" si="11"/>
        <v>60.872106892025307</v>
      </c>
      <c r="E155" s="17">
        <f t="shared" si="10"/>
        <v>66.959317581227836</v>
      </c>
      <c r="F155" s="2">
        <v>60.588799999999999</v>
      </c>
      <c r="G155" s="2" t="str">
        <f t="shared" si="8"/>
        <v>Pass</v>
      </c>
      <c r="Y155" s="2">
        <v>140</v>
      </c>
      <c r="Z155" s="2">
        <v>0.33300000000000002</v>
      </c>
      <c r="AA155" s="2">
        <v>0.34699999999999998</v>
      </c>
      <c r="AB155" s="2">
        <v>62.715899999999998</v>
      </c>
    </row>
    <row r="156" spans="2:28" x14ac:dyDescent="0.4">
      <c r="B156" s="11">
        <v>139</v>
      </c>
      <c r="C156" s="16">
        <f t="shared" si="9"/>
        <v>55.580353520114393</v>
      </c>
      <c r="D156" s="17">
        <f t="shared" si="11"/>
        <v>61.755948355682662</v>
      </c>
      <c r="E156" s="17">
        <f t="shared" si="10"/>
        <v>67.931543191250924</v>
      </c>
      <c r="F156" s="2">
        <v>61.7911</v>
      </c>
      <c r="G156" s="2" t="str">
        <f t="shared" si="8"/>
        <v>Pass</v>
      </c>
      <c r="Y156" s="2">
        <v>141</v>
      </c>
      <c r="Z156" s="2">
        <v>0.33289999999999997</v>
      </c>
      <c r="AA156" s="2">
        <v>0.34689999999999999</v>
      </c>
      <c r="AB156" s="2">
        <v>63.895899999999997</v>
      </c>
    </row>
    <row r="157" spans="2:28" x14ac:dyDescent="0.4">
      <c r="B157" s="11">
        <v>140</v>
      </c>
      <c r="C157" s="16">
        <f t="shared" si="9"/>
        <v>56.381544168893903</v>
      </c>
      <c r="D157" s="17">
        <f t="shared" si="11"/>
        <v>62.646160187659895</v>
      </c>
      <c r="E157" s="17">
        <f t="shared" si="10"/>
        <v>68.910776206425879</v>
      </c>
      <c r="F157" s="2">
        <v>62.715899999999998</v>
      </c>
      <c r="G157" s="2" t="str">
        <f t="shared" si="8"/>
        <v>Pass</v>
      </c>
      <c r="Y157" s="2">
        <v>142</v>
      </c>
      <c r="Z157" s="2">
        <v>0.3327</v>
      </c>
      <c r="AA157" s="2">
        <v>0.3468</v>
      </c>
      <c r="AB157" s="2">
        <v>64.794200000000004</v>
      </c>
    </row>
    <row r="158" spans="2:28" x14ac:dyDescent="0.4">
      <c r="B158" s="11">
        <v>141</v>
      </c>
      <c r="C158" s="16">
        <f t="shared" si="9"/>
        <v>57.188468149161338</v>
      </c>
      <c r="D158" s="17">
        <f t="shared" si="11"/>
        <v>63.542742387957041</v>
      </c>
      <c r="E158" s="17">
        <f t="shared" si="10"/>
        <v>69.897016626752745</v>
      </c>
      <c r="F158" s="2">
        <v>63.895899999999997</v>
      </c>
      <c r="G158" s="2" t="str">
        <f t="shared" si="8"/>
        <v>Pass</v>
      </c>
      <c r="Y158" s="2">
        <v>143</v>
      </c>
      <c r="Z158" s="2">
        <v>0.3337</v>
      </c>
      <c r="AA158" s="2">
        <v>0.3488</v>
      </c>
      <c r="AB158" s="2">
        <v>65.725399999999993</v>
      </c>
    </row>
    <row r="159" spans="2:28" x14ac:dyDescent="0.4">
      <c r="B159" s="11">
        <v>142</v>
      </c>
      <c r="C159" s="16">
        <f t="shared" si="9"/>
        <v>58.001125460916626</v>
      </c>
      <c r="D159" s="17">
        <f t="shared" si="11"/>
        <v>64.44569495657403</v>
      </c>
      <c r="E159" s="17">
        <f t="shared" si="10"/>
        <v>70.890264452231435</v>
      </c>
      <c r="F159" s="2">
        <v>64.794200000000004</v>
      </c>
      <c r="G159" s="2" t="str">
        <f t="shared" si="8"/>
        <v>Pass</v>
      </c>
      <c r="Y159" s="2">
        <v>144</v>
      </c>
      <c r="Z159" s="2">
        <v>0.33300000000000002</v>
      </c>
      <c r="AA159" s="2">
        <v>0.34649999999999997</v>
      </c>
      <c r="AB159" s="2">
        <v>66.030199999999994</v>
      </c>
    </row>
    <row r="160" spans="2:28" x14ac:dyDescent="0.4">
      <c r="B160" s="11">
        <v>143</v>
      </c>
      <c r="C160" s="16">
        <f t="shared" si="9"/>
        <v>58.819516104159817</v>
      </c>
      <c r="D160" s="17">
        <f t="shared" si="11"/>
        <v>65.355017893510905</v>
      </c>
      <c r="E160" s="17">
        <f t="shared" si="10"/>
        <v>71.890519682861992</v>
      </c>
      <c r="F160" s="2">
        <v>65.725399999999993</v>
      </c>
      <c r="G160" s="2" t="str">
        <f t="shared" si="8"/>
        <v>Pass</v>
      </c>
      <c r="Y160" s="2">
        <v>145</v>
      </c>
      <c r="Z160" s="2">
        <v>0.33310000000000001</v>
      </c>
      <c r="AA160" s="2">
        <v>0.34699999999999998</v>
      </c>
      <c r="AB160" s="2">
        <v>67.253900000000002</v>
      </c>
    </row>
    <row r="161" spans="2:28" x14ac:dyDescent="0.4">
      <c r="B161" s="11">
        <v>144</v>
      </c>
      <c r="C161" s="16">
        <f t="shared" si="9"/>
        <v>59.643640078890876</v>
      </c>
      <c r="D161" s="17">
        <f t="shared" si="11"/>
        <v>66.270711198767643</v>
      </c>
      <c r="E161" s="17">
        <f t="shared" si="10"/>
        <v>72.897782318644403</v>
      </c>
      <c r="F161" s="2">
        <v>66.030199999999994</v>
      </c>
      <c r="G161" s="2" t="str">
        <f t="shared" si="8"/>
        <v>Pass</v>
      </c>
      <c r="Y161" s="2">
        <v>146</v>
      </c>
      <c r="Z161" s="2">
        <v>0.33310000000000001</v>
      </c>
      <c r="AA161" s="2">
        <v>0.34710000000000002</v>
      </c>
      <c r="AB161" s="2">
        <v>68.174400000000006</v>
      </c>
    </row>
    <row r="162" spans="2:28" x14ac:dyDescent="0.4">
      <c r="B162" s="11">
        <v>145</v>
      </c>
      <c r="C162" s="16">
        <f t="shared" si="9"/>
        <v>60.473497385109845</v>
      </c>
      <c r="D162" s="17">
        <f t="shared" si="11"/>
        <v>67.192774872344273</v>
      </c>
      <c r="E162" s="17">
        <f t="shared" si="10"/>
        <v>73.912052359578695</v>
      </c>
      <c r="F162" s="2">
        <v>67.253900000000002</v>
      </c>
      <c r="G162" s="2" t="str">
        <f t="shared" si="8"/>
        <v>Pass</v>
      </c>
      <c r="Y162" s="2">
        <v>147</v>
      </c>
      <c r="Z162" s="2">
        <v>0.3342</v>
      </c>
      <c r="AA162" s="2">
        <v>0.34920000000000001</v>
      </c>
      <c r="AB162" s="2">
        <v>69.150800000000004</v>
      </c>
    </row>
    <row r="163" spans="2:28" x14ac:dyDescent="0.4">
      <c r="B163" s="11">
        <v>146</v>
      </c>
      <c r="C163" s="16">
        <f t="shared" si="9"/>
        <v>61.309088022816688</v>
      </c>
      <c r="D163" s="17">
        <f t="shared" si="11"/>
        <v>68.121208914240768</v>
      </c>
      <c r="E163" s="17">
        <f t="shared" si="10"/>
        <v>74.93332980566484</v>
      </c>
      <c r="F163" s="2">
        <v>68.174400000000006</v>
      </c>
      <c r="G163" s="2" t="str">
        <f t="shared" si="8"/>
        <v>Pass</v>
      </c>
      <c r="Y163" s="2">
        <v>148</v>
      </c>
      <c r="Z163" s="2">
        <v>0.3337</v>
      </c>
      <c r="AA163" s="2">
        <v>0.34939999999999999</v>
      </c>
      <c r="AB163" s="2">
        <v>70.213499999999996</v>
      </c>
    </row>
    <row r="164" spans="2:28" x14ac:dyDescent="0.4">
      <c r="B164" s="11">
        <v>147</v>
      </c>
      <c r="C164" s="16">
        <f t="shared" si="9"/>
        <v>62.150411992011414</v>
      </c>
      <c r="D164" s="17">
        <f t="shared" si="11"/>
        <v>69.056013324457126</v>
      </c>
      <c r="E164" s="17">
        <f t="shared" si="10"/>
        <v>75.961614656902839</v>
      </c>
      <c r="F164" s="2">
        <v>69.150800000000004</v>
      </c>
      <c r="G164" s="2" t="str">
        <f t="shared" si="8"/>
        <v>Pass</v>
      </c>
      <c r="Y164" s="2">
        <v>149</v>
      </c>
      <c r="Z164" s="2">
        <v>0.33379999999999999</v>
      </c>
      <c r="AA164" s="2">
        <v>0.3493</v>
      </c>
      <c r="AB164" s="2">
        <v>71.230999999999995</v>
      </c>
    </row>
    <row r="165" spans="2:28" x14ac:dyDescent="0.4">
      <c r="B165" s="11">
        <v>148</v>
      </c>
      <c r="C165" s="16">
        <f t="shared" si="9"/>
        <v>62.997469292694049</v>
      </c>
      <c r="D165" s="17">
        <f t="shared" si="11"/>
        <v>69.997188102993391</v>
      </c>
      <c r="E165" s="17">
        <f t="shared" si="10"/>
        <v>76.996906913292733</v>
      </c>
      <c r="F165" s="2">
        <v>70.213499999999996</v>
      </c>
      <c r="G165" s="2" t="str">
        <f t="shared" si="8"/>
        <v>Pass</v>
      </c>
      <c r="Y165" s="2">
        <v>150</v>
      </c>
      <c r="Z165" s="2">
        <v>0.3332</v>
      </c>
      <c r="AA165" s="2">
        <v>0.34670000000000001</v>
      </c>
      <c r="AB165" s="2">
        <v>71.4923</v>
      </c>
    </row>
    <row r="166" spans="2:28" x14ac:dyDescent="0.4">
      <c r="B166" s="11">
        <v>149</v>
      </c>
      <c r="C166" s="16">
        <f t="shared" si="9"/>
        <v>63.850259924864595</v>
      </c>
      <c r="D166" s="17">
        <f t="shared" si="11"/>
        <v>70.944733249849548</v>
      </c>
      <c r="E166" s="17">
        <f t="shared" si="10"/>
        <v>78.039206574834509</v>
      </c>
      <c r="F166" s="2">
        <v>71.230999999999995</v>
      </c>
      <c r="G166" s="2" t="str">
        <f t="shared" si="8"/>
        <v>Pass</v>
      </c>
      <c r="Y166" s="2">
        <v>151</v>
      </c>
      <c r="Z166" s="2">
        <v>0.33410000000000001</v>
      </c>
      <c r="AA166" s="2">
        <v>0.34860000000000002</v>
      </c>
      <c r="AB166" s="2">
        <v>72.807900000000004</v>
      </c>
    </row>
    <row r="167" spans="2:28" x14ac:dyDescent="0.4">
      <c r="B167" s="11">
        <v>150</v>
      </c>
      <c r="C167" s="16">
        <f t="shared" si="9"/>
        <v>64.708783888523001</v>
      </c>
      <c r="D167" s="17">
        <f t="shared" si="11"/>
        <v>71.898648765025555</v>
      </c>
      <c r="E167" s="17">
        <f t="shared" si="10"/>
        <v>79.08851364152811</v>
      </c>
      <c r="F167" s="2">
        <v>71.4923</v>
      </c>
      <c r="G167" s="2" t="str">
        <f t="shared" si="8"/>
        <v>Pass</v>
      </c>
      <c r="Y167" s="2">
        <v>152</v>
      </c>
      <c r="Z167" s="2">
        <v>0.33389999999999997</v>
      </c>
      <c r="AA167" s="2">
        <v>0.3483</v>
      </c>
      <c r="AB167" s="2">
        <v>73.763999999999996</v>
      </c>
    </row>
    <row r="168" spans="2:28" x14ac:dyDescent="0.4">
      <c r="B168" s="11">
        <v>151</v>
      </c>
      <c r="C168" s="16">
        <f t="shared" si="9"/>
        <v>65.573041183669289</v>
      </c>
      <c r="D168" s="17">
        <f t="shared" si="11"/>
        <v>72.858934648521441</v>
      </c>
      <c r="E168" s="17">
        <f t="shared" si="10"/>
        <v>80.144828113373592</v>
      </c>
      <c r="F168" s="2">
        <v>72.807900000000004</v>
      </c>
      <c r="G168" s="2" t="str">
        <f t="shared" si="8"/>
        <v>Pass</v>
      </c>
      <c r="Y168" s="2">
        <v>153</v>
      </c>
      <c r="Z168" s="2">
        <v>0.3337</v>
      </c>
      <c r="AA168" s="2">
        <v>0.34820000000000001</v>
      </c>
      <c r="AB168" s="2">
        <v>74.675799999999995</v>
      </c>
    </row>
    <row r="169" spans="2:28" x14ac:dyDescent="0.4">
      <c r="B169" s="11">
        <v>152</v>
      </c>
      <c r="C169" s="16">
        <f t="shared" si="9"/>
        <v>66.443031810303467</v>
      </c>
      <c r="D169" s="17">
        <f t="shared" si="11"/>
        <v>73.82559090033719</v>
      </c>
      <c r="E169" s="17">
        <f t="shared" si="10"/>
        <v>81.208149990370913</v>
      </c>
      <c r="F169" s="2">
        <v>73.763999999999996</v>
      </c>
      <c r="G169" s="2" t="str">
        <f t="shared" si="8"/>
        <v>Pass</v>
      </c>
      <c r="Y169" s="2">
        <v>154</v>
      </c>
      <c r="Z169" s="2">
        <v>0.3327</v>
      </c>
      <c r="AA169" s="2">
        <v>0.34749999999999998</v>
      </c>
      <c r="AB169" s="2">
        <v>75.875</v>
      </c>
    </row>
    <row r="170" spans="2:28" x14ac:dyDescent="0.4">
      <c r="B170" s="11">
        <v>153</v>
      </c>
      <c r="C170" s="16">
        <f t="shared" si="9"/>
        <v>67.318755768425547</v>
      </c>
      <c r="D170" s="17">
        <f t="shared" si="11"/>
        <v>74.798617520472831</v>
      </c>
      <c r="E170" s="17">
        <f t="shared" si="10"/>
        <v>82.278479272520116</v>
      </c>
      <c r="F170" s="2">
        <v>74.675799999999995</v>
      </c>
      <c r="G170" s="2" t="str">
        <f t="shared" si="8"/>
        <v>Pass</v>
      </c>
      <c r="Y170" s="2">
        <v>155</v>
      </c>
      <c r="Z170" s="2">
        <v>0.33239999999999997</v>
      </c>
      <c r="AA170" s="2">
        <v>0.34689999999999999</v>
      </c>
      <c r="AB170" s="2">
        <v>76.806299999999993</v>
      </c>
    </row>
    <row r="171" spans="2:28" x14ac:dyDescent="0.4">
      <c r="B171" s="11">
        <v>154</v>
      </c>
      <c r="C171" s="16">
        <f t="shared" si="9"/>
        <v>68.200213058035501</v>
      </c>
      <c r="D171" s="17">
        <f t="shared" si="11"/>
        <v>75.778014508928337</v>
      </c>
      <c r="E171" s="17">
        <f t="shared" si="10"/>
        <v>83.355815959821172</v>
      </c>
      <c r="F171" s="2">
        <v>75.875</v>
      </c>
      <c r="G171" s="2" t="str">
        <f t="shared" si="8"/>
        <v>Pass</v>
      </c>
      <c r="Y171" s="2">
        <v>156</v>
      </c>
      <c r="Z171" s="2">
        <v>0.33379999999999999</v>
      </c>
      <c r="AA171" s="2">
        <v>0.34849999999999998</v>
      </c>
      <c r="AB171" s="2">
        <v>77.834400000000002</v>
      </c>
    </row>
    <row r="172" spans="2:28" x14ac:dyDescent="0.4">
      <c r="B172" s="11">
        <v>155</v>
      </c>
      <c r="C172" s="16">
        <f t="shared" si="9"/>
        <v>69.087403679133359</v>
      </c>
      <c r="D172" s="17">
        <f t="shared" si="11"/>
        <v>76.763781865703734</v>
      </c>
      <c r="E172" s="17">
        <f t="shared" si="10"/>
        <v>84.440160052274109</v>
      </c>
      <c r="F172" s="2">
        <v>76.806299999999993</v>
      </c>
      <c r="G172" s="2" t="str">
        <f t="shared" si="8"/>
        <v>Pass</v>
      </c>
      <c r="Y172" s="2">
        <v>157</v>
      </c>
      <c r="Z172" s="2">
        <v>0.3337</v>
      </c>
      <c r="AA172" s="2">
        <v>0.3473</v>
      </c>
      <c r="AB172" s="2">
        <v>78.1404</v>
      </c>
    </row>
    <row r="173" spans="2:28" x14ac:dyDescent="0.4">
      <c r="B173" s="11">
        <v>156</v>
      </c>
      <c r="C173" s="16">
        <f t="shared" si="9"/>
        <v>69.980327631719092</v>
      </c>
      <c r="D173" s="17">
        <f t="shared" si="11"/>
        <v>77.755919590798996</v>
      </c>
      <c r="E173" s="17">
        <f t="shared" si="10"/>
        <v>85.5315115498789</v>
      </c>
      <c r="F173" s="2">
        <v>77.834400000000002</v>
      </c>
      <c r="G173" s="2" t="str">
        <f t="shared" si="8"/>
        <v>Pass</v>
      </c>
      <c r="Y173" s="2">
        <v>158</v>
      </c>
      <c r="Z173" s="2">
        <v>0.33360000000000001</v>
      </c>
      <c r="AA173" s="2">
        <v>0.3473</v>
      </c>
      <c r="AB173" s="2">
        <v>79.667000000000002</v>
      </c>
    </row>
    <row r="174" spans="2:28" x14ac:dyDescent="0.4">
      <c r="B174" s="11">
        <v>157</v>
      </c>
      <c r="C174" s="16">
        <f t="shared" si="9"/>
        <v>70.878984915792756</v>
      </c>
      <c r="D174" s="17">
        <f t="shared" si="11"/>
        <v>78.754427684214178</v>
      </c>
      <c r="E174" s="17">
        <f t="shared" si="10"/>
        <v>86.6298704526356</v>
      </c>
      <c r="F174" s="2">
        <v>78.1404</v>
      </c>
      <c r="G174" s="2" t="str">
        <f t="shared" si="8"/>
        <v>Pass</v>
      </c>
      <c r="Y174" s="2">
        <v>159</v>
      </c>
      <c r="Z174" s="2">
        <v>0.33189999999999997</v>
      </c>
      <c r="AA174" s="2">
        <v>0.34649999999999997</v>
      </c>
      <c r="AB174" s="2">
        <v>80.697400000000002</v>
      </c>
    </row>
    <row r="175" spans="2:28" x14ac:dyDescent="0.4">
      <c r="B175" s="11">
        <v>158</v>
      </c>
      <c r="C175" s="16">
        <f t="shared" si="9"/>
        <v>71.783375531354281</v>
      </c>
      <c r="D175" s="17">
        <f t="shared" si="11"/>
        <v>79.759306145949196</v>
      </c>
      <c r="E175" s="17">
        <f t="shared" si="10"/>
        <v>87.735236760544112</v>
      </c>
      <c r="F175" s="2">
        <v>79.667000000000002</v>
      </c>
      <c r="G175" s="2" t="str">
        <f t="shared" si="8"/>
        <v>Pass</v>
      </c>
      <c r="Y175" s="2">
        <v>160</v>
      </c>
      <c r="Z175" s="2">
        <v>0.3337</v>
      </c>
      <c r="AA175" s="2">
        <v>0.34810000000000002</v>
      </c>
      <c r="AB175" s="2">
        <v>81.846400000000003</v>
      </c>
    </row>
    <row r="176" spans="2:28" x14ac:dyDescent="0.4">
      <c r="B176" s="11">
        <v>159</v>
      </c>
      <c r="C176" s="16">
        <f t="shared" si="9"/>
        <v>72.69349947840368</v>
      </c>
      <c r="D176" s="17">
        <f t="shared" si="11"/>
        <v>80.770554976004092</v>
      </c>
      <c r="E176" s="17">
        <f t="shared" si="10"/>
        <v>88.847610473604504</v>
      </c>
      <c r="F176" s="2">
        <v>80.697400000000002</v>
      </c>
      <c r="G176" s="2" t="str">
        <f t="shared" si="8"/>
        <v>Pass</v>
      </c>
      <c r="Y176" s="2">
        <v>161</v>
      </c>
      <c r="Z176" s="2">
        <v>0.33339999999999997</v>
      </c>
      <c r="AA176" s="2">
        <v>0.34799999999999998</v>
      </c>
      <c r="AB176" s="2">
        <v>82.911600000000007</v>
      </c>
    </row>
    <row r="177" spans="2:28" x14ac:dyDescent="0.4">
      <c r="B177" s="11">
        <v>160</v>
      </c>
      <c r="C177" s="16">
        <f t="shared" si="9"/>
        <v>73.609356756940983</v>
      </c>
      <c r="D177" s="17">
        <f t="shared" si="11"/>
        <v>81.788174174378867</v>
      </c>
      <c r="E177" s="17">
        <f t="shared" si="10"/>
        <v>89.96699159181675</v>
      </c>
      <c r="F177" s="2">
        <v>81.846400000000003</v>
      </c>
      <c r="G177" s="2" t="str">
        <f t="shared" si="8"/>
        <v>Pass</v>
      </c>
      <c r="Y177" s="2">
        <v>162</v>
      </c>
      <c r="Z177" s="2">
        <v>0.33310000000000001</v>
      </c>
      <c r="AA177" s="2">
        <v>0.34760000000000002</v>
      </c>
      <c r="AB177" s="2">
        <v>84.2744</v>
      </c>
    </row>
    <row r="178" spans="2:28" x14ac:dyDescent="0.4">
      <c r="B178" s="11">
        <v>161</v>
      </c>
      <c r="C178" s="16">
        <f t="shared" si="9"/>
        <v>74.530947366966174</v>
      </c>
      <c r="D178" s="17">
        <f t="shared" si="11"/>
        <v>82.812163741073533</v>
      </c>
      <c r="E178" s="17">
        <f t="shared" si="10"/>
        <v>91.093380115180892</v>
      </c>
      <c r="F178" s="2">
        <v>82.911600000000007</v>
      </c>
      <c r="G178" s="2" t="str">
        <f t="shared" si="8"/>
        <v>Pass</v>
      </c>
      <c r="Y178" s="2">
        <v>163</v>
      </c>
      <c r="Z178" s="2">
        <v>0.33400000000000002</v>
      </c>
      <c r="AA178" s="2">
        <v>0.34949999999999998</v>
      </c>
      <c r="AB178" s="2">
        <v>85.306299999999993</v>
      </c>
    </row>
    <row r="179" spans="2:28" x14ac:dyDescent="0.4">
      <c r="B179" s="11">
        <v>162</v>
      </c>
      <c r="C179" s="16">
        <f t="shared" si="9"/>
        <v>75.45827130847924</v>
      </c>
      <c r="D179" s="17">
        <f t="shared" si="11"/>
        <v>83.842523676088049</v>
      </c>
      <c r="E179" s="17">
        <f t="shared" si="10"/>
        <v>92.226776043696859</v>
      </c>
      <c r="F179" s="2">
        <v>84.2744</v>
      </c>
      <c r="G179" s="2" t="str">
        <f t="shared" si="8"/>
        <v>Pass</v>
      </c>
      <c r="Y179" s="2">
        <v>164</v>
      </c>
      <c r="Z179" s="2">
        <v>0.33379999999999999</v>
      </c>
      <c r="AA179" s="2">
        <v>0.3493</v>
      </c>
      <c r="AB179" s="2">
        <v>86.354600000000005</v>
      </c>
    </row>
    <row r="180" spans="2:28" x14ac:dyDescent="0.4">
      <c r="B180" s="11">
        <v>163</v>
      </c>
      <c r="C180" s="16">
        <f t="shared" si="9"/>
        <v>76.391328581480209</v>
      </c>
      <c r="D180" s="17">
        <f t="shared" si="11"/>
        <v>84.879253979422458</v>
      </c>
      <c r="E180" s="17">
        <f t="shared" si="10"/>
        <v>93.367179377364707</v>
      </c>
      <c r="F180" s="2">
        <v>85.306299999999993</v>
      </c>
      <c r="G180" s="2" t="str">
        <f t="shared" si="8"/>
        <v>Pass</v>
      </c>
      <c r="Y180" s="2">
        <v>165</v>
      </c>
      <c r="Z180" s="2">
        <v>0.3332</v>
      </c>
      <c r="AA180" s="2">
        <v>0.34720000000000001</v>
      </c>
      <c r="AB180" s="2">
        <v>86.652600000000007</v>
      </c>
    </row>
    <row r="181" spans="2:28" x14ac:dyDescent="0.4">
      <c r="B181" s="11">
        <v>164</v>
      </c>
      <c r="C181" s="16">
        <f t="shared" si="9"/>
        <v>77.330119185969053</v>
      </c>
      <c r="D181" s="17">
        <f t="shared" si="11"/>
        <v>85.922354651076731</v>
      </c>
      <c r="E181" s="17">
        <f t="shared" si="10"/>
        <v>94.514590116184408</v>
      </c>
      <c r="F181" s="2">
        <v>86.354600000000005</v>
      </c>
      <c r="G181" s="2" t="str">
        <f t="shared" si="8"/>
        <v>Pass</v>
      </c>
      <c r="Y181" s="2">
        <v>166</v>
      </c>
      <c r="Z181" s="2">
        <v>0.33300000000000002</v>
      </c>
      <c r="AA181" s="2">
        <v>0.34689999999999999</v>
      </c>
      <c r="AB181" s="2">
        <v>87.971100000000007</v>
      </c>
    </row>
    <row r="182" spans="2:28" x14ac:dyDescent="0.4">
      <c r="B182" s="11">
        <v>165</v>
      </c>
      <c r="C182" s="16">
        <f t="shared" si="9"/>
        <v>78.274643121945843</v>
      </c>
      <c r="D182" s="17">
        <f t="shared" si="11"/>
        <v>86.971825691050938</v>
      </c>
      <c r="E182" s="17">
        <f t="shared" si="10"/>
        <v>95.669008260156033</v>
      </c>
      <c r="F182" s="2">
        <v>86.652600000000007</v>
      </c>
      <c r="G182" s="2" t="str">
        <f t="shared" si="8"/>
        <v>Pass</v>
      </c>
      <c r="Y182" s="2">
        <v>167</v>
      </c>
      <c r="Z182" s="2">
        <v>0.33439999999999998</v>
      </c>
      <c r="AA182" s="2">
        <v>0.34849999999999998</v>
      </c>
      <c r="AB182" s="2">
        <v>89.088300000000004</v>
      </c>
    </row>
    <row r="183" spans="2:28" x14ac:dyDescent="0.4">
      <c r="B183" s="11">
        <v>166</v>
      </c>
      <c r="C183" s="16">
        <f t="shared" si="9"/>
        <v>79.224900389410465</v>
      </c>
      <c r="D183" s="17">
        <f t="shared" si="11"/>
        <v>88.027667099344967</v>
      </c>
      <c r="E183" s="17">
        <f t="shared" si="10"/>
        <v>96.830433809279469</v>
      </c>
      <c r="F183" s="2">
        <v>87.971100000000007</v>
      </c>
      <c r="G183" s="2" t="str">
        <f t="shared" si="8"/>
        <v>Pass</v>
      </c>
      <c r="Y183" s="2">
        <v>168</v>
      </c>
      <c r="Z183" s="2">
        <v>0.33339999999999997</v>
      </c>
      <c r="AA183" s="2">
        <v>0.34870000000000001</v>
      </c>
      <c r="AB183" s="2">
        <v>90.201400000000007</v>
      </c>
    </row>
    <row r="184" spans="2:28" x14ac:dyDescent="0.4">
      <c r="B184" s="11">
        <v>167</v>
      </c>
      <c r="C184" s="16">
        <f t="shared" si="9"/>
        <v>80.180890988363004</v>
      </c>
      <c r="D184" s="17">
        <f t="shared" si="11"/>
        <v>89.089878875958888</v>
      </c>
      <c r="E184" s="17">
        <f t="shared" si="10"/>
        <v>97.998866763554773</v>
      </c>
      <c r="F184" s="2">
        <v>89.088300000000004</v>
      </c>
      <c r="G184" s="2" t="str">
        <f t="shared" si="8"/>
        <v>Pass</v>
      </c>
      <c r="Y184" s="2">
        <v>169</v>
      </c>
      <c r="Z184" s="2">
        <v>0.3332</v>
      </c>
      <c r="AA184" s="2">
        <v>0.34860000000000002</v>
      </c>
      <c r="AB184" s="2">
        <v>91.348399999999998</v>
      </c>
    </row>
    <row r="185" spans="2:28" x14ac:dyDescent="0.4">
      <c r="B185" s="11">
        <v>168</v>
      </c>
      <c r="C185" s="16">
        <f t="shared" si="9"/>
        <v>81.142614918803403</v>
      </c>
      <c r="D185" s="17">
        <f t="shared" si="11"/>
        <v>90.158461020892673</v>
      </c>
      <c r="E185" s="17">
        <f t="shared" si="10"/>
        <v>99.174307122981944</v>
      </c>
      <c r="F185" s="2">
        <v>90.201400000000007</v>
      </c>
      <c r="G185" s="2" t="str">
        <f t="shared" si="8"/>
        <v>Pass</v>
      </c>
      <c r="Y185" s="2">
        <v>170</v>
      </c>
      <c r="Z185" s="2">
        <v>0.33300000000000002</v>
      </c>
      <c r="AA185" s="2">
        <v>0.34849999999999998</v>
      </c>
      <c r="AB185" s="2">
        <v>92.4636</v>
      </c>
    </row>
    <row r="186" spans="2:28" x14ac:dyDescent="0.4">
      <c r="B186" s="11">
        <v>169</v>
      </c>
      <c r="C186" s="16">
        <f t="shared" si="9"/>
        <v>82.110072180731706</v>
      </c>
      <c r="D186" s="17">
        <f t="shared" si="11"/>
        <v>91.233413534146337</v>
      </c>
      <c r="E186" s="17">
        <f t="shared" si="10"/>
        <v>100.35675488756097</v>
      </c>
      <c r="F186" s="2">
        <v>91.348399999999998</v>
      </c>
      <c r="G186" s="2" t="str">
        <f t="shared" si="8"/>
        <v>Pass</v>
      </c>
      <c r="Y186" s="2">
        <v>171</v>
      </c>
      <c r="Z186" s="2">
        <v>0.3332</v>
      </c>
      <c r="AA186" s="2">
        <v>0.3493</v>
      </c>
      <c r="AB186" s="2">
        <v>93.972099999999998</v>
      </c>
    </row>
    <row r="187" spans="2:28" x14ac:dyDescent="0.4">
      <c r="B187" s="11">
        <v>170</v>
      </c>
      <c r="C187" s="16">
        <f t="shared" si="9"/>
        <v>83.083262774147897</v>
      </c>
      <c r="D187" s="17">
        <f t="shared" si="11"/>
        <v>92.314736415719892</v>
      </c>
      <c r="E187" s="17">
        <f t="shared" si="10"/>
        <v>101.54621005729189</v>
      </c>
      <c r="F187" s="2">
        <v>92.4636</v>
      </c>
      <c r="G187" s="2" t="str">
        <f t="shared" si="8"/>
        <v>Pass</v>
      </c>
      <c r="Y187" s="2">
        <v>172</v>
      </c>
      <c r="Z187" s="2">
        <v>0.3332</v>
      </c>
      <c r="AA187" s="2">
        <v>0.34889999999999999</v>
      </c>
      <c r="AB187" s="2">
        <v>95.033900000000003</v>
      </c>
    </row>
    <row r="188" spans="2:28" x14ac:dyDescent="0.4">
      <c r="B188" s="11">
        <v>171</v>
      </c>
      <c r="C188" s="16">
        <f t="shared" si="9"/>
        <v>84.062186699051978</v>
      </c>
      <c r="D188" s="17">
        <f t="shared" si="11"/>
        <v>93.402429665613312</v>
      </c>
      <c r="E188" s="17">
        <f t="shared" si="10"/>
        <v>102.74267263217465</v>
      </c>
      <c r="F188" s="2">
        <v>93.972099999999998</v>
      </c>
      <c r="G188" s="2" t="str">
        <f t="shared" si="8"/>
        <v>Pass</v>
      </c>
      <c r="Y188" s="2">
        <v>173</v>
      </c>
      <c r="Z188" s="2">
        <v>0.3332</v>
      </c>
      <c r="AA188" s="2">
        <v>0.34739999999999999</v>
      </c>
      <c r="AB188" s="2">
        <v>95.3626</v>
      </c>
    </row>
    <row r="189" spans="2:28" x14ac:dyDescent="0.4">
      <c r="B189" s="11">
        <v>172</v>
      </c>
      <c r="C189" s="16">
        <f t="shared" si="9"/>
        <v>85.046843955443933</v>
      </c>
      <c r="D189" s="17">
        <f t="shared" si="11"/>
        <v>94.496493283826595</v>
      </c>
      <c r="E189" s="17">
        <f t="shared" si="10"/>
        <v>103.94614261220926</v>
      </c>
      <c r="F189" s="2">
        <v>95.033900000000003</v>
      </c>
      <c r="G189" s="2" t="str">
        <f t="shared" si="8"/>
        <v>Pass</v>
      </c>
      <c r="Y189" s="2">
        <v>174</v>
      </c>
      <c r="Z189" s="2">
        <v>0.3332</v>
      </c>
      <c r="AA189" s="2">
        <v>0.34739999999999999</v>
      </c>
      <c r="AB189" s="2">
        <v>96.446299999999994</v>
      </c>
    </row>
    <row r="190" spans="2:28" x14ac:dyDescent="0.4">
      <c r="B190" s="11">
        <v>173</v>
      </c>
      <c r="C190" s="16">
        <f t="shared" si="9"/>
        <v>86.037234543323834</v>
      </c>
      <c r="D190" s="17">
        <f t="shared" si="11"/>
        <v>95.596927270359814</v>
      </c>
      <c r="E190" s="17">
        <f t="shared" si="10"/>
        <v>105.15661999739579</v>
      </c>
      <c r="F190" s="2">
        <v>95.3626</v>
      </c>
      <c r="G190" s="2" t="str">
        <f t="shared" si="8"/>
        <v>Pass</v>
      </c>
      <c r="Y190" s="2">
        <v>175</v>
      </c>
      <c r="Z190" s="2">
        <v>0.33410000000000001</v>
      </c>
      <c r="AA190" s="2">
        <v>0.34910000000000002</v>
      </c>
      <c r="AB190" s="2">
        <v>97.935100000000006</v>
      </c>
    </row>
    <row r="191" spans="2:28" x14ac:dyDescent="0.4">
      <c r="B191" s="11">
        <v>174</v>
      </c>
      <c r="C191" s="16">
        <f t="shared" si="9"/>
        <v>87.033358462691581</v>
      </c>
      <c r="D191" s="17">
        <f t="shared" si="11"/>
        <v>96.703731625212868</v>
      </c>
      <c r="E191" s="17">
        <f t="shared" si="10"/>
        <v>106.37410478773415</v>
      </c>
      <c r="F191" s="2">
        <v>96.446299999999994</v>
      </c>
      <c r="G191" s="2" t="str">
        <f t="shared" si="8"/>
        <v>Pass</v>
      </c>
      <c r="Y191" s="2">
        <v>176</v>
      </c>
      <c r="Z191" s="2">
        <v>0.33389999999999997</v>
      </c>
      <c r="AA191" s="2">
        <v>0.3488</v>
      </c>
      <c r="AB191" s="2">
        <v>99.091300000000004</v>
      </c>
    </row>
    <row r="192" spans="2:28" x14ac:dyDescent="0.4">
      <c r="B192" s="11">
        <v>175</v>
      </c>
      <c r="C192" s="16">
        <f t="shared" si="9"/>
        <v>88.035215713547203</v>
      </c>
      <c r="D192" s="17">
        <f t="shared" si="11"/>
        <v>97.816906348385785</v>
      </c>
      <c r="E192" s="17">
        <f t="shared" si="10"/>
        <v>107.59859698322437</v>
      </c>
      <c r="F192" s="2">
        <v>97.935100000000006</v>
      </c>
      <c r="G192" s="2" t="str">
        <f t="shared" si="8"/>
        <v>Pass</v>
      </c>
      <c r="Y192" s="2">
        <v>177</v>
      </c>
      <c r="Z192" s="2">
        <v>0.3337</v>
      </c>
      <c r="AA192" s="2">
        <v>0.34860000000000002</v>
      </c>
      <c r="AB192" s="2">
        <v>100.2996</v>
      </c>
    </row>
    <row r="193" spans="2:28" x14ac:dyDescent="0.4">
      <c r="B193" s="11">
        <v>176</v>
      </c>
      <c r="C193" s="16">
        <f t="shared" si="9"/>
        <v>89.042806295890728</v>
      </c>
      <c r="D193" s="17">
        <f t="shared" si="11"/>
        <v>98.936451439878596</v>
      </c>
      <c r="E193" s="17">
        <f t="shared" si="10"/>
        <v>108.83009658386646</v>
      </c>
      <c r="F193" s="2">
        <v>99.091300000000004</v>
      </c>
      <c r="G193" s="2" t="str">
        <f t="shared" si="8"/>
        <v>Pass</v>
      </c>
      <c r="Y193" s="2">
        <v>178</v>
      </c>
      <c r="Z193" s="2">
        <v>0.33339999999999997</v>
      </c>
      <c r="AA193" s="2">
        <v>0.34849999999999998</v>
      </c>
      <c r="AB193" s="2">
        <v>101.8772</v>
      </c>
    </row>
    <row r="194" spans="2:28" x14ac:dyDescent="0.4">
      <c r="B194" s="11">
        <v>177</v>
      </c>
      <c r="C194" s="16">
        <f t="shared" si="9"/>
        <v>90.056130209722156</v>
      </c>
      <c r="D194" s="17">
        <f t="shared" si="11"/>
        <v>100.06236689969128</v>
      </c>
      <c r="E194" s="17">
        <f t="shared" si="10"/>
        <v>110.06860358966041</v>
      </c>
      <c r="F194" s="2">
        <v>100.2996</v>
      </c>
      <c r="G194" s="2" t="str">
        <f t="shared" si="8"/>
        <v>Pass</v>
      </c>
      <c r="Y194" s="2">
        <v>179</v>
      </c>
      <c r="Z194" s="2">
        <v>0.3342</v>
      </c>
      <c r="AA194" s="2">
        <v>0.35020000000000001</v>
      </c>
      <c r="AB194" s="2">
        <v>103.0723</v>
      </c>
    </row>
    <row r="195" spans="2:28" x14ac:dyDescent="0.4">
      <c r="B195" s="11">
        <v>178</v>
      </c>
      <c r="C195" s="16">
        <f t="shared" si="9"/>
        <v>91.075187455041458</v>
      </c>
      <c r="D195" s="17">
        <f t="shared" si="11"/>
        <v>101.19465272782385</v>
      </c>
      <c r="E195" s="17">
        <f t="shared" si="10"/>
        <v>111.31411800060624</v>
      </c>
      <c r="F195" s="2">
        <v>101.8772</v>
      </c>
      <c r="G195" s="2" t="str">
        <f t="shared" si="8"/>
        <v>Pass</v>
      </c>
      <c r="Y195" s="2">
        <v>180</v>
      </c>
      <c r="Z195" s="2">
        <v>0.33389999999999997</v>
      </c>
      <c r="AA195" s="2">
        <v>0.35</v>
      </c>
      <c r="AB195" s="2">
        <v>104.61499999999999</v>
      </c>
    </row>
    <row r="196" spans="2:28" x14ac:dyDescent="0.4">
      <c r="B196" s="11">
        <v>179</v>
      </c>
      <c r="C196" s="16">
        <f t="shared" si="9"/>
        <v>92.099978031848664</v>
      </c>
      <c r="D196" s="17">
        <f t="shared" si="11"/>
        <v>102.3333089242763</v>
      </c>
      <c r="E196" s="17">
        <f t="shared" si="10"/>
        <v>112.56663981670393</v>
      </c>
      <c r="F196" s="2">
        <v>103.0723</v>
      </c>
      <c r="G196" s="2" t="str">
        <f t="shared" si="8"/>
        <v>Pass</v>
      </c>
      <c r="Y196" s="2">
        <v>181</v>
      </c>
      <c r="Z196" s="2">
        <v>0.33310000000000001</v>
      </c>
      <c r="AA196" s="2">
        <v>0.34810000000000002</v>
      </c>
      <c r="AB196" s="2">
        <v>104.5834</v>
      </c>
    </row>
    <row r="197" spans="2:28" x14ac:dyDescent="0.4">
      <c r="B197" s="11">
        <v>180</v>
      </c>
      <c r="C197" s="16">
        <f t="shared" si="9"/>
        <v>93.130501940143731</v>
      </c>
      <c r="D197" s="17">
        <f t="shared" si="11"/>
        <v>103.47833548904859</v>
      </c>
      <c r="E197" s="17">
        <f t="shared" si="10"/>
        <v>113.82616903795345</v>
      </c>
      <c r="F197" s="2">
        <v>104.61499999999999</v>
      </c>
      <c r="G197" s="2" t="str">
        <f t="shared" si="8"/>
        <v>Pass</v>
      </c>
      <c r="Y197" s="2">
        <v>182</v>
      </c>
      <c r="Z197" s="2">
        <v>0.33289999999999997</v>
      </c>
      <c r="AA197" s="2">
        <v>0.34789999999999999</v>
      </c>
      <c r="AB197" s="2">
        <v>105.69840000000001</v>
      </c>
    </row>
    <row r="198" spans="2:28" x14ac:dyDescent="0.4">
      <c r="B198" s="11">
        <v>181</v>
      </c>
      <c r="C198" s="16">
        <f t="shared" si="9"/>
        <v>94.166759179926743</v>
      </c>
      <c r="D198" s="17">
        <f t="shared" si="11"/>
        <v>104.62973242214083</v>
      </c>
      <c r="E198" s="17">
        <f t="shared" si="10"/>
        <v>115.09270566435492</v>
      </c>
      <c r="F198" s="2">
        <v>104.5834</v>
      </c>
      <c r="G198" s="2" t="str">
        <f t="shared" si="8"/>
        <v>Pass</v>
      </c>
      <c r="Y198" s="2">
        <v>183</v>
      </c>
      <c r="Z198" s="2">
        <v>0.33360000000000001</v>
      </c>
      <c r="AA198" s="2">
        <v>0.34960000000000002</v>
      </c>
      <c r="AB198" s="2">
        <v>106.8412</v>
      </c>
    </row>
    <row r="199" spans="2:28" x14ac:dyDescent="0.4">
      <c r="B199" s="11">
        <v>182</v>
      </c>
      <c r="C199" s="16">
        <f t="shared" si="9"/>
        <v>95.208749751197615</v>
      </c>
      <c r="D199" s="17">
        <f t="shared" si="11"/>
        <v>105.7874997235529</v>
      </c>
      <c r="E199" s="17">
        <f t="shared" si="10"/>
        <v>116.36624969590818</v>
      </c>
      <c r="F199" s="2">
        <v>105.69840000000001</v>
      </c>
      <c r="G199" s="2" t="str">
        <f t="shared" si="8"/>
        <v>Pass</v>
      </c>
      <c r="Y199" s="2">
        <v>184</v>
      </c>
      <c r="Z199" s="2">
        <v>0.33339999999999997</v>
      </c>
      <c r="AA199" s="2">
        <v>0.34939999999999999</v>
      </c>
      <c r="AB199" s="2">
        <v>108.3583</v>
      </c>
    </row>
    <row r="200" spans="2:28" x14ac:dyDescent="0.4">
      <c r="B200" s="11">
        <v>183</v>
      </c>
      <c r="C200" s="16">
        <f t="shared" si="9"/>
        <v>96.256473653956363</v>
      </c>
      <c r="D200" s="17">
        <f t="shared" si="11"/>
        <v>106.95163739328484</v>
      </c>
      <c r="E200" s="17">
        <f t="shared" si="10"/>
        <v>117.64680113261332</v>
      </c>
      <c r="F200" s="2">
        <v>106.8412</v>
      </c>
      <c r="G200" s="2" t="str">
        <f t="shared" si="8"/>
        <v>Pass</v>
      </c>
      <c r="Y200" s="2">
        <v>185</v>
      </c>
      <c r="Z200" s="2">
        <v>0.33310000000000001</v>
      </c>
      <c r="AA200" s="2">
        <v>0.34920000000000001</v>
      </c>
      <c r="AB200" s="2">
        <v>109.5848</v>
      </c>
    </row>
    <row r="201" spans="2:28" x14ac:dyDescent="0.4">
      <c r="B201" s="11">
        <v>184</v>
      </c>
      <c r="C201" s="16">
        <f t="shared" si="9"/>
        <v>97.309930888202985</v>
      </c>
      <c r="D201" s="17">
        <f t="shared" si="11"/>
        <v>108.12214543133665</v>
      </c>
      <c r="E201" s="17">
        <f t="shared" si="10"/>
        <v>118.93435997447031</v>
      </c>
      <c r="F201" s="2">
        <v>108.3583</v>
      </c>
      <c r="G201" s="2" t="str">
        <f t="shared" si="8"/>
        <v>Pass</v>
      </c>
      <c r="Y201" s="2">
        <v>186</v>
      </c>
      <c r="Z201" s="2">
        <v>0.33310000000000001</v>
      </c>
      <c r="AA201" s="2">
        <v>0.34889999999999999</v>
      </c>
      <c r="AB201" s="2">
        <v>111.18040000000001</v>
      </c>
    </row>
    <row r="202" spans="2:28" x14ac:dyDescent="0.4">
      <c r="B202" s="11">
        <v>185</v>
      </c>
      <c r="C202" s="16">
        <f t="shared" si="9"/>
        <v>98.36912145393751</v>
      </c>
      <c r="D202" s="17">
        <f t="shared" si="11"/>
        <v>109.29902383770835</v>
      </c>
      <c r="E202" s="17">
        <f t="shared" si="10"/>
        <v>120.22892622147918</v>
      </c>
      <c r="F202" s="2">
        <v>109.5848</v>
      </c>
      <c r="G202" s="2" t="str">
        <f t="shared" si="8"/>
        <v>Pass</v>
      </c>
      <c r="Y202" s="2">
        <v>187</v>
      </c>
      <c r="Z202" s="2">
        <v>0.3332</v>
      </c>
      <c r="AA202" s="2">
        <v>0.34970000000000001</v>
      </c>
      <c r="AB202" s="2">
        <v>112.4695</v>
      </c>
    </row>
    <row r="203" spans="2:28" x14ac:dyDescent="0.4">
      <c r="B203" s="11">
        <v>186</v>
      </c>
      <c r="C203" s="16">
        <f t="shared" si="9"/>
        <v>99.434045351159938</v>
      </c>
      <c r="D203" s="17">
        <f t="shared" si="11"/>
        <v>110.48227261239994</v>
      </c>
      <c r="E203" s="17">
        <f t="shared" si="10"/>
        <v>121.53049987363994</v>
      </c>
      <c r="F203" s="2">
        <v>111.18040000000001</v>
      </c>
      <c r="G203" s="2" t="str">
        <f t="shared" si="8"/>
        <v>Pass</v>
      </c>
      <c r="Y203" s="2">
        <v>188</v>
      </c>
      <c r="Z203" s="2">
        <v>0.33329999999999999</v>
      </c>
      <c r="AA203" s="2">
        <v>0.34810000000000002</v>
      </c>
      <c r="AB203" s="2">
        <v>112.9029</v>
      </c>
    </row>
    <row r="204" spans="2:28" x14ac:dyDescent="0.4">
      <c r="B204" s="11">
        <v>187</v>
      </c>
      <c r="C204" s="16">
        <f t="shared" si="9"/>
        <v>100.50470257987025</v>
      </c>
      <c r="D204" s="17">
        <f t="shared" si="11"/>
        <v>111.67189175541139</v>
      </c>
      <c r="E204" s="17">
        <f t="shared" si="10"/>
        <v>122.83908093095253</v>
      </c>
      <c r="F204" s="2">
        <v>112.4695</v>
      </c>
      <c r="G204" s="2" t="str">
        <f t="shared" si="8"/>
        <v>Pass</v>
      </c>
      <c r="Y204" s="2">
        <v>189</v>
      </c>
      <c r="Z204" s="2">
        <v>0.33289999999999997</v>
      </c>
      <c r="AA204" s="2">
        <v>0.34760000000000002</v>
      </c>
      <c r="AB204" s="2">
        <v>114.0887</v>
      </c>
    </row>
    <row r="205" spans="2:28" x14ac:dyDescent="0.4">
      <c r="B205" s="11">
        <v>188</v>
      </c>
      <c r="C205" s="16">
        <f t="shared" si="9"/>
        <v>101.58109314006845</v>
      </c>
      <c r="D205" s="17">
        <f t="shared" si="11"/>
        <v>112.86788126674271</v>
      </c>
      <c r="E205" s="17">
        <f t="shared" si="10"/>
        <v>124.15466939341698</v>
      </c>
      <c r="F205" s="2">
        <v>112.9029</v>
      </c>
      <c r="G205" s="2" t="str">
        <f t="shared" si="8"/>
        <v>Pass</v>
      </c>
      <c r="Y205" s="2">
        <v>190</v>
      </c>
      <c r="Z205" s="2">
        <v>0.33260000000000001</v>
      </c>
      <c r="AA205" s="2">
        <v>0.34739999999999999</v>
      </c>
      <c r="AB205" s="2">
        <v>115.6653</v>
      </c>
    </row>
    <row r="206" spans="2:28" x14ac:dyDescent="0.4">
      <c r="B206" s="11">
        <v>189</v>
      </c>
      <c r="C206" s="16">
        <f t="shared" si="9"/>
        <v>102.66321703175457</v>
      </c>
      <c r="D206" s="17">
        <f t="shared" si="11"/>
        <v>114.07024114639397</v>
      </c>
      <c r="E206" s="17">
        <f t="shared" si="10"/>
        <v>125.47726526103337</v>
      </c>
      <c r="F206" s="2">
        <v>114.0887</v>
      </c>
      <c r="G206" s="2" t="str">
        <f t="shared" si="8"/>
        <v>Pass</v>
      </c>
      <c r="Y206" s="2">
        <v>191</v>
      </c>
      <c r="Z206" s="2">
        <v>0.33339999999999997</v>
      </c>
      <c r="AA206" s="2">
        <v>0.34889999999999999</v>
      </c>
      <c r="AB206" s="2">
        <v>116.7756</v>
      </c>
    </row>
    <row r="207" spans="2:28" x14ac:dyDescent="0.4">
      <c r="B207" s="11">
        <v>190</v>
      </c>
      <c r="C207" s="16">
        <f t="shared" si="9"/>
        <v>103.75107425492854</v>
      </c>
      <c r="D207" s="17">
        <f t="shared" si="11"/>
        <v>115.27897139436504</v>
      </c>
      <c r="E207" s="17">
        <f t="shared" si="10"/>
        <v>126.80686853380155</v>
      </c>
      <c r="F207" s="2">
        <v>115.6653</v>
      </c>
      <c r="G207" s="2" t="str">
        <f t="shared" si="8"/>
        <v>Pass</v>
      </c>
      <c r="Y207" s="2">
        <v>192</v>
      </c>
      <c r="Z207" s="2">
        <v>0.33329999999999999</v>
      </c>
      <c r="AA207" s="2">
        <v>0.3488</v>
      </c>
      <c r="AB207" s="2">
        <v>117.96259999999999</v>
      </c>
    </row>
    <row r="208" spans="2:28" x14ac:dyDescent="0.4">
      <c r="B208" s="11">
        <v>191</v>
      </c>
      <c r="C208" s="16">
        <f t="shared" si="9"/>
        <v>104.8446648095904</v>
      </c>
      <c r="D208" s="17">
        <f t="shared" si="11"/>
        <v>116.494072010656</v>
      </c>
      <c r="E208" s="17">
        <f t="shared" si="10"/>
        <v>128.1434792117216</v>
      </c>
      <c r="F208" s="2">
        <v>116.7756</v>
      </c>
      <c r="G208" s="2" t="str">
        <f t="shared" si="8"/>
        <v>Pass</v>
      </c>
      <c r="Y208" s="2">
        <v>193</v>
      </c>
      <c r="Z208" s="2">
        <v>0.33300000000000002</v>
      </c>
      <c r="AA208" s="2">
        <v>0.34849999999999998</v>
      </c>
      <c r="AB208" s="2">
        <v>119.6815</v>
      </c>
    </row>
    <row r="209" spans="2:28" x14ac:dyDescent="0.4">
      <c r="B209" s="11">
        <v>192</v>
      </c>
      <c r="C209" s="16">
        <f t="shared" si="9"/>
        <v>105.94398869574015</v>
      </c>
      <c r="D209" s="17">
        <f t="shared" si="11"/>
        <v>117.71554299526683</v>
      </c>
      <c r="E209" s="17">
        <f t="shared" si="10"/>
        <v>129.4870972947935</v>
      </c>
      <c r="F209" s="2">
        <v>117.96259999999999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0.33279999999999998</v>
      </c>
      <c r="AA209" s="2">
        <v>0.3483</v>
      </c>
      <c r="AB209" s="2">
        <v>120.9466</v>
      </c>
    </row>
    <row r="210" spans="2:28" x14ac:dyDescent="0.4">
      <c r="B210" s="11">
        <v>193</v>
      </c>
      <c r="C210" s="16">
        <f t="shared" ref="C210:C272" si="13">D210-D210*(C$14/100)</f>
        <v>107.04904591337778</v>
      </c>
      <c r="D210" s="17">
        <f t="shared" si="11"/>
        <v>118.94338434819754</v>
      </c>
      <c r="E210" s="17">
        <f t="shared" ref="E210:E272" si="14">D210+D210*(C$14/100)</f>
        <v>130.83772278301728</v>
      </c>
      <c r="F210" s="2">
        <v>119.6815</v>
      </c>
      <c r="G210" s="2" t="str">
        <f t="shared" si="12"/>
        <v>Pass</v>
      </c>
      <c r="Y210" s="2">
        <v>195</v>
      </c>
      <c r="Z210" s="2">
        <v>0.33350000000000002</v>
      </c>
      <c r="AA210" s="2">
        <v>0.34770000000000001</v>
      </c>
      <c r="AB210" s="2">
        <v>121.4068</v>
      </c>
    </row>
    <row r="211" spans="2:28" x14ac:dyDescent="0.4">
      <c r="B211" s="11">
        <v>194</v>
      </c>
      <c r="C211" s="16">
        <f t="shared" si="13"/>
        <v>108.15983646250334</v>
      </c>
      <c r="D211" s="17">
        <f t="shared" ref="D211:D271" si="15">D$272*((B211+F$17)/B$272)^C$13</f>
        <v>120.17759606944814</v>
      </c>
      <c r="E211" s="17">
        <f t="shared" si="14"/>
        <v>132.19535567639295</v>
      </c>
      <c r="F211" s="2">
        <v>120.9466</v>
      </c>
      <c r="G211" s="2" t="str">
        <f t="shared" si="12"/>
        <v>Pass</v>
      </c>
      <c r="Y211" s="2">
        <v>196</v>
      </c>
      <c r="Z211" s="2">
        <v>0.33329999999999999</v>
      </c>
      <c r="AA211" s="2">
        <v>0.34760000000000002</v>
      </c>
      <c r="AB211" s="2">
        <v>122.6529</v>
      </c>
    </row>
    <row r="212" spans="2:28" x14ac:dyDescent="0.4">
      <c r="B212" s="11">
        <v>195</v>
      </c>
      <c r="C212" s="16">
        <f t="shared" si="13"/>
        <v>109.27636034311675</v>
      </c>
      <c r="D212" s="17">
        <f t="shared" si="15"/>
        <v>121.41817815901861</v>
      </c>
      <c r="E212" s="17">
        <f t="shared" si="14"/>
        <v>133.55999597492047</v>
      </c>
      <c r="F212" s="2">
        <v>121.4068</v>
      </c>
      <c r="G212" s="2" t="str">
        <f t="shared" si="12"/>
        <v>Pass</v>
      </c>
      <c r="Y212" s="2">
        <v>197</v>
      </c>
      <c r="Z212" s="2">
        <v>0.33310000000000001</v>
      </c>
      <c r="AA212" s="2">
        <v>0.34739999999999999</v>
      </c>
      <c r="AB212" s="2">
        <v>124.3492</v>
      </c>
    </row>
    <row r="213" spans="2:28" x14ac:dyDescent="0.4">
      <c r="B213" s="11">
        <v>196</v>
      </c>
      <c r="C213" s="16">
        <f t="shared" si="13"/>
        <v>110.39861755521805</v>
      </c>
      <c r="D213" s="17">
        <f t="shared" si="15"/>
        <v>122.66513061690895</v>
      </c>
      <c r="E213" s="17">
        <f t="shared" si="14"/>
        <v>134.93164367859984</v>
      </c>
      <c r="F213" s="2">
        <v>122.6529</v>
      </c>
      <c r="G213" s="2" t="str">
        <f t="shared" si="12"/>
        <v>Pass</v>
      </c>
      <c r="Y213" s="2">
        <v>198</v>
      </c>
      <c r="Z213" s="2">
        <v>0.33289999999999997</v>
      </c>
      <c r="AA213" s="2">
        <v>0.34720000000000001</v>
      </c>
      <c r="AB213" s="2">
        <v>125.5782</v>
      </c>
    </row>
    <row r="214" spans="2:28" x14ac:dyDescent="0.4">
      <c r="B214" s="11">
        <v>197</v>
      </c>
      <c r="C214" s="16">
        <f t="shared" si="13"/>
        <v>111.5266080988073</v>
      </c>
      <c r="D214" s="17">
        <f t="shared" si="15"/>
        <v>123.91845344311922</v>
      </c>
      <c r="E214" s="17">
        <f t="shared" si="14"/>
        <v>136.31029878743115</v>
      </c>
      <c r="F214" s="2">
        <v>124.3492</v>
      </c>
      <c r="G214" s="2" t="str">
        <f t="shared" si="12"/>
        <v>Pass</v>
      </c>
      <c r="Y214" s="2">
        <v>199</v>
      </c>
      <c r="Z214" s="2">
        <v>0.33260000000000001</v>
      </c>
      <c r="AA214" s="2">
        <v>0.34820000000000001</v>
      </c>
      <c r="AB214" s="2">
        <v>126.8073</v>
      </c>
    </row>
    <row r="215" spans="2:28" x14ac:dyDescent="0.4">
      <c r="B215" s="11">
        <v>198</v>
      </c>
      <c r="C215" s="16">
        <f t="shared" si="13"/>
        <v>112.6603319738844</v>
      </c>
      <c r="D215" s="17">
        <f t="shared" si="15"/>
        <v>125.17814663764933</v>
      </c>
      <c r="E215" s="17">
        <f t="shared" si="14"/>
        <v>137.69596130141426</v>
      </c>
      <c r="F215" s="2">
        <v>125.5782</v>
      </c>
      <c r="G215" s="2" t="str">
        <f t="shared" si="12"/>
        <v>Pass</v>
      </c>
      <c r="Y215" s="2">
        <v>200</v>
      </c>
      <c r="Z215" s="2">
        <v>0.33239999999999997</v>
      </c>
      <c r="AA215" s="2">
        <v>0.34799999999999998</v>
      </c>
      <c r="AB215" s="2">
        <v>128.02500000000001</v>
      </c>
    </row>
    <row r="216" spans="2:28" x14ac:dyDescent="0.4">
      <c r="B216" s="11">
        <v>199</v>
      </c>
      <c r="C216" s="16">
        <f t="shared" si="13"/>
        <v>113.79978918044937</v>
      </c>
      <c r="D216" s="17">
        <f t="shared" si="15"/>
        <v>126.4442102004993</v>
      </c>
      <c r="E216" s="17">
        <f t="shared" si="14"/>
        <v>139.08863122054922</v>
      </c>
      <c r="F216" s="2">
        <v>126.8073</v>
      </c>
      <c r="G216" s="2" t="str">
        <f t="shared" si="12"/>
        <v>Pass</v>
      </c>
      <c r="Y216" s="2">
        <v>201</v>
      </c>
      <c r="Z216" s="2">
        <v>0.33260000000000001</v>
      </c>
      <c r="AA216" s="2">
        <v>0.34689999999999999</v>
      </c>
      <c r="AB216" s="2">
        <v>128.49270000000001</v>
      </c>
    </row>
    <row r="217" spans="2:28" x14ac:dyDescent="0.4">
      <c r="B217" s="11">
        <v>200</v>
      </c>
      <c r="C217" s="16">
        <f t="shared" si="13"/>
        <v>114.94497971850222</v>
      </c>
      <c r="D217" s="17">
        <f t="shared" si="15"/>
        <v>127.71664413166914</v>
      </c>
      <c r="E217" s="17">
        <f t="shared" si="14"/>
        <v>140.48830854483606</v>
      </c>
      <c r="F217" s="2">
        <v>128.02500000000001</v>
      </c>
      <c r="G217" s="2" t="str">
        <f t="shared" si="12"/>
        <v>Pass</v>
      </c>
      <c r="Y217" s="2">
        <v>202</v>
      </c>
      <c r="Z217" s="2">
        <v>0.33239999999999997</v>
      </c>
      <c r="AA217" s="2">
        <v>0.34660000000000002</v>
      </c>
      <c r="AB217" s="2">
        <v>130.17490000000001</v>
      </c>
    </row>
    <row r="218" spans="2:28" x14ac:dyDescent="0.4">
      <c r="B218" s="11">
        <v>201</v>
      </c>
      <c r="C218" s="16">
        <f t="shared" si="13"/>
        <v>116.09590358804299</v>
      </c>
      <c r="D218" s="17">
        <f t="shared" si="15"/>
        <v>128.99544843115888</v>
      </c>
      <c r="E218" s="17">
        <f t="shared" si="14"/>
        <v>141.89499327427475</v>
      </c>
      <c r="F218" s="2">
        <v>128.49270000000001</v>
      </c>
      <c r="G218" s="2" t="str">
        <f t="shared" si="12"/>
        <v>Pass</v>
      </c>
      <c r="Y218" s="2">
        <v>203</v>
      </c>
      <c r="Z218" s="2">
        <v>0.33310000000000001</v>
      </c>
      <c r="AA218" s="2">
        <v>0.34799999999999998</v>
      </c>
      <c r="AB218" s="2">
        <v>131.38679999999999</v>
      </c>
    </row>
    <row r="219" spans="2:28" x14ac:dyDescent="0.4">
      <c r="B219" s="11">
        <v>202</v>
      </c>
      <c r="C219" s="16">
        <f t="shared" si="13"/>
        <v>117.25256078907165</v>
      </c>
      <c r="D219" s="17">
        <f t="shared" si="15"/>
        <v>130.2806230989685</v>
      </c>
      <c r="E219" s="17">
        <f t="shared" si="14"/>
        <v>143.30868540886536</v>
      </c>
      <c r="F219" s="2">
        <v>130.17490000000001</v>
      </c>
      <c r="G219" s="2" t="str">
        <f t="shared" si="12"/>
        <v>Pass</v>
      </c>
      <c r="Y219" s="2">
        <v>204</v>
      </c>
      <c r="Z219" s="2">
        <v>0.33289999999999997</v>
      </c>
      <c r="AA219" s="2">
        <v>0.3478</v>
      </c>
      <c r="AB219" s="2">
        <v>132.64410000000001</v>
      </c>
    </row>
    <row r="220" spans="2:28" x14ac:dyDescent="0.4">
      <c r="B220" s="11">
        <v>203</v>
      </c>
      <c r="C220" s="16">
        <f t="shared" si="13"/>
        <v>118.41495132158818</v>
      </c>
      <c r="D220" s="17">
        <f t="shared" si="15"/>
        <v>131.57216813509797</v>
      </c>
      <c r="E220" s="17">
        <f t="shared" si="14"/>
        <v>144.72938494860776</v>
      </c>
      <c r="F220" s="2">
        <v>131.38679999999999</v>
      </c>
      <c r="G220" s="2" t="str">
        <f t="shared" si="12"/>
        <v>Pass</v>
      </c>
      <c r="Y220" s="2">
        <v>205</v>
      </c>
      <c r="Z220" s="2">
        <v>0.33279999999999998</v>
      </c>
      <c r="AA220" s="2">
        <v>0.34749999999999998</v>
      </c>
      <c r="AB220" s="2">
        <v>134.35890000000001</v>
      </c>
    </row>
    <row r="221" spans="2:28" x14ac:dyDescent="0.4">
      <c r="B221" s="11">
        <v>204</v>
      </c>
      <c r="C221" s="16">
        <f t="shared" si="13"/>
        <v>119.58307518559259</v>
      </c>
      <c r="D221" s="17">
        <f t="shared" si="15"/>
        <v>132.87008353954732</v>
      </c>
      <c r="E221" s="17">
        <f t="shared" si="14"/>
        <v>146.15709189350207</v>
      </c>
      <c r="F221" s="2">
        <v>132.64410000000001</v>
      </c>
      <c r="G221" s="2" t="str">
        <f t="shared" si="12"/>
        <v>Pass</v>
      </c>
      <c r="Y221" s="2">
        <v>206</v>
      </c>
      <c r="Z221" s="2">
        <v>0.33260000000000001</v>
      </c>
      <c r="AA221" s="2">
        <v>0.3473</v>
      </c>
      <c r="AB221" s="2">
        <v>135.6627</v>
      </c>
    </row>
    <row r="222" spans="2:28" x14ac:dyDescent="0.4">
      <c r="B222" s="11">
        <v>205</v>
      </c>
      <c r="C222" s="16">
        <f t="shared" si="13"/>
        <v>120.75693238108494</v>
      </c>
      <c r="D222" s="17">
        <f t="shared" si="15"/>
        <v>134.1743693123166</v>
      </c>
      <c r="E222" s="17">
        <f t="shared" si="14"/>
        <v>147.59180624354826</v>
      </c>
      <c r="F222" s="2">
        <v>134.35890000000001</v>
      </c>
      <c r="G222" s="2" t="str">
        <f t="shared" si="12"/>
        <v>Pass</v>
      </c>
      <c r="Y222" s="2">
        <v>207</v>
      </c>
      <c r="Z222" s="2">
        <v>0.33329999999999999</v>
      </c>
      <c r="AA222" s="2">
        <v>0.3488</v>
      </c>
      <c r="AB222" s="2">
        <v>137.0164</v>
      </c>
    </row>
    <row r="223" spans="2:28" x14ac:dyDescent="0.4">
      <c r="B223" s="11">
        <v>206</v>
      </c>
      <c r="C223" s="16">
        <f t="shared" si="13"/>
        <v>121.93652290806514</v>
      </c>
      <c r="D223" s="17">
        <f t="shared" si="15"/>
        <v>135.48502545340571</v>
      </c>
      <c r="E223" s="17">
        <f t="shared" si="14"/>
        <v>149.03352799874628</v>
      </c>
      <c r="F223" s="2">
        <v>135.6627</v>
      </c>
      <c r="G223" s="2" t="str">
        <f t="shared" si="12"/>
        <v>Pass</v>
      </c>
      <c r="Y223" s="2">
        <v>208</v>
      </c>
      <c r="Z223" s="2">
        <v>0.3327</v>
      </c>
      <c r="AA223" s="2">
        <v>0.34699999999999998</v>
      </c>
      <c r="AB223" s="2">
        <v>137.46860000000001</v>
      </c>
    </row>
    <row r="224" spans="2:28" x14ac:dyDescent="0.4">
      <c r="B224" s="11">
        <v>207</v>
      </c>
      <c r="C224" s="16">
        <f t="shared" si="13"/>
        <v>123.12184676653324</v>
      </c>
      <c r="D224" s="17">
        <f t="shared" si="15"/>
        <v>136.80205196281472</v>
      </c>
      <c r="E224" s="17">
        <f t="shared" si="14"/>
        <v>150.48225715909618</v>
      </c>
      <c r="F224" s="2">
        <v>137.0164</v>
      </c>
      <c r="G224" s="2" t="str">
        <f t="shared" si="12"/>
        <v>Pass</v>
      </c>
      <c r="Y224" s="2">
        <v>209</v>
      </c>
      <c r="Z224" s="2">
        <v>0.33260000000000001</v>
      </c>
      <c r="AA224" s="2">
        <v>0.3468</v>
      </c>
      <c r="AB224" s="2">
        <v>139.2011</v>
      </c>
    </row>
    <row r="225" spans="2:28" x14ac:dyDescent="0.4">
      <c r="B225" s="11">
        <v>208</v>
      </c>
      <c r="C225" s="16">
        <f t="shared" si="13"/>
        <v>124.31290395648922</v>
      </c>
      <c r="D225" s="17">
        <f t="shared" si="15"/>
        <v>138.12544884054358</v>
      </c>
      <c r="E225" s="17">
        <f t="shared" si="14"/>
        <v>151.93799372459793</v>
      </c>
      <c r="F225" s="2">
        <v>137.46860000000001</v>
      </c>
      <c r="G225" s="2" t="str">
        <f t="shared" si="12"/>
        <v>Pass</v>
      </c>
      <c r="Y225" s="2">
        <v>210</v>
      </c>
      <c r="Z225" s="2">
        <v>0.33239999999999997</v>
      </c>
      <c r="AA225" s="2">
        <v>0.34670000000000001</v>
      </c>
      <c r="AB225" s="2">
        <v>140.5367</v>
      </c>
    </row>
    <row r="226" spans="2:28" x14ac:dyDescent="0.4">
      <c r="B226" s="11">
        <v>209</v>
      </c>
      <c r="C226" s="16">
        <f t="shared" si="13"/>
        <v>125.50969447793308</v>
      </c>
      <c r="D226" s="17">
        <f t="shared" si="15"/>
        <v>139.45521608659232</v>
      </c>
      <c r="E226" s="17">
        <f t="shared" si="14"/>
        <v>153.40073769525154</v>
      </c>
      <c r="F226" s="2">
        <v>139.2011</v>
      </c>
      <c r="G226" s="2" t="str">
        <f t="shared" si="12"/>
        <v>Pass</v>
      </c>
      <c r="Y226" s="2">
        <v>211</v>
      </c>
      <c r="Z226" s="2">
        <v>0.3322</v>
      </c>
      <c r="AA226" s="2">
        <v>0.34649999999999997</v>
      </c>
      <c r="AB226" s="2">
        <v>142.32149999999999</v>
      </c>
    </row>
    <row r="227" spans="2:28" x14ac:dyDescent="0.4">
      <c r="B227" s="11">
        <v>210</v>
      </c>
      <c r="C227" s="16">
        <f t="shared" si="13"/>
        <v>126.71221833086484</v>
      </c>
      <c r="D227" s="17">
        <f t="shared" si="15"/>
        <v>140.79135370096094</v>
      </c>
      <c r="E227" s="17">
        <f t="shared" si="14"/>
        <v>154.87048907105702</v>
      </c>
      <c r="F227" s="2">
        <v>140.5367</v>
      </c>
      <c r="G227" s="2" t="str">
        <f t="shared" si="12"/>
        <v>Pass</v>
      </c>
      <c r="Y227" s="2">
        <v>212</v>
      </c>
      <c r="Z227" s="2">
        <v>0.3332</v>
      </c>
      <c r="AA227" s="2">
        <v>0.3478</v>
      </c>
      <c r="AB227" s="2">
        <v>143.6883</v>
      </c>
    </row>
    <row r="228" spans="2:28" x14ac:dyDescent="0.4">
      <c r="B228" s="11">
        <v>211</v>
      </c>
      <c r="C228" s="16">
        <f t="shared" si="13"/>
        <v>127.92047551528451</v>
      </c>
      <c r="D228" s="17">
        <f t="shared" si="15"/>
        <v>142.13386168364946</v>
      </c>
      <c r="E228" s="17">
        <f t="shared" si="14"/>
        <v>156.34724785201439</v>
      </c>
      <c r="F228" s="2">
        <v>142.32149999999999</v>
      </c>
      <c r="G228" s="2" t="str">
        <f t="shared" si="12"/>
        <v>Pass</v>
      </c>
      <c r="Y228" s="2">
        <v>213</v>
      </c>
      <c r="Z228" s="2">
        <v>0.33279999999999998</v>
      </c>
      <c r="AA228" s="2">
        <v>0.34760000000000002</v>
      </c>
      <c r="AB228" s="2">
        <v>144.92269999999999</v>
      </c>
    </row>
    <row r="229" spans="2:28" x14ac:dyDescent="0.4">
      <c r="B229" s="11">
        <v>212</v>
      </c>
      <c r="C229" s="16">
        <f t="shared" si="13"/>
        <v>129.13446603119203</v>
      </c>
      <c r="D229" s="17">
        <f t="shared" si="15"/>
        <v>143.48274003465781</v>
      </c>
      <c r="E229" s="17">
        <f t="shared" si="14"/>
        <v>157.83101403812358</v>
      </c>
      <c r="F229" s="2">
        <v>143.6883</v>
      </c>
      <c r="G229" s="2" t="str">
        <f t="shared" si="12"/>
        <v>Pass</v>
      </c>
      <c r="Y229" s="2">
        <v>214</v>
      </c>
      <c r="Z229" s="2">
        <v>0.33239999999999997</v>
      </c>
      <c r="AA229" s="2">
        <v>0.3473</v>
      </c>
      <c r="AB229" s="2">
        <v>146.57560000000001</v>
      </c>
    </row>
    <row r="230" spans="2:28" x14ac:dyDescent="0.4">
      <c r="B230" s="11">
        <v>213</v>
      </c>
      <c r="C230" s="16">
        <f t="shared" si="13"/>
        <v>130.3541898785875</v>
      </c>
      <c r="D230" s="17">
        <f t="shared" si="15"/>
        <v>144.83798875398611</v>
      </c>
      <c r="E230" s="17">
        <f t="shared" si="14"/>
        <v>159.32178762938472</v>
      </c>
      <c r="F230" s="2">
        <v>144.92269999999999</v>
      </c>
      <c r="G230" s="2" t="str">
        <f t="shared" si="12"/>
        <v>Pass</v>
      </c>
      <c r="Y230" s="2">
        <v>215</v>
      </c>
      <c r="Z230" s="2">
        <v>0.33310000000000001</v>
      </c>
      <c r="AA230" s="2">
        <v>0.34870000000000001</v>
      </c>
      <c r="AB230" s="2">
        <v>147.98830000000001</v>
      </c>
    </row>
    <row r="231" spans="2:28" x14ac:dyDescent="0.4">
      <c r="B231" s="11">
        <v>214</v>
      </c>
      <c r="C231" s="16">
        <f t="shared" si="13"/>
        <v>131.57964705747082</v>
      </c>
      <c r="D231" s="17">
        <f t="shared" si="15"/>
        <v>146.19960784163425</v>
      </c>
      <c r="E231" s="17">
        <f t="shared" si="14"/>
        <v>160.81956862579767</v>
      </c>
      <c r="F231" s="2">
        <v>146.57560000000001</v>
      </c>
      <c r="G231" s="2" t="str">
        <f t="shared" si="12"/>
        <v>Pass</v>
      </c>
      <c r="Y231" s="2">
        <v>216</v>
      </c>
      <c r="Z231" s="2">
        <v>0.33300000000000002</v>
      </c>
      <c r="AA231" s="2">
        <v>0.34860000000000002</v>
      </c>
      <c r="AB231" s="2">
        <v>149.35390000000001</v>
      </c>
    </row>
    <row r="232" spans="2:28" x14ac:dyDescent="0.4">
      <c r="B232" s="11">
        <v>215</v>
      </c>
      <c r="C232" s="16">
        <f t="shared" si="13"/>
        <v>132.81083756784201</v>
      </c>
      <c r="D232" s="17">
        <f t="shared" si="15"/>
        <v>147.56759729760225</v>
      </c>
      <c r="E232" s="17">
        <f t="shared" si="14"/>
        <v>162.32435702736248</v>
      </c>
      <c r="F232" s="2">
        <v>147.98830000000001</v>
      </c>
      <c r="G232" s="2" t="str">
        <f t="shared" si="12"/>
        <v>Pass</v>
      </c>
      <c r="Y232" s="2">
        <v>217</v>
      </c>
      <c r="Z232" s="2">
        <v>0.33239999999999997</v>
      </c>
      <c r="AA232" s="2">
        <v>0.34689999999999999</v>
      </c>
      <c r="AB232" s="2">
        <v>149.8005</v>
      </c>
    </row>
    <row r="233" spans="2:28" x14ac:dyDescent="0.4">
      <c r="B233" s="11">
        <v>216</v>
      </c>
      <c r="C233" s="16">
        <f t="shared" si="13"/>
        <v>134.04776140970114</v>
      </c>
      <c r="D233" s="17">
        <f t="shared" si="15"/>
        <v>148.94195712189014</v>
      </c>
      <c r="E233" s="17">
        <f t="shared" si="14"/>
        <v>163.83615283407914</v>
      </c>
      <c r="F233" s="2">
        <v>149.35390000000001</v>
      </c>
      <c r="G233" s="2" t="str">
        <f t="shared" si="12"/>
        <v>Pass</v>
      </c>
      <c r="Y233" s="2">
        <v>218</v>
      </c>
      <c r="Z233" s="2">
        <v>0.3322</v>
      </c>
      <c r="AA233" s="2">
        <v>0.3468</v>
      </c>
      <c r="AB233" s="2">
        <v>151.61580000000001</v>
      </c>
    </row>
    <row r="234" spans="2:28" x14ac:dyDescent="0.4">
      <c r="B234" s="11">
        <v>217</v>
      </c>
      <c r="C234" s="16">
        <f t="shared" si="13"/>
        <v>135.29041858304811</v>
      </c>
      <c r="D234" s="17">
        <f t="shared" si="15"/>
        <v>150.3226873144979</v>
      </c>
      <c r="E234" s="17">
        <f t="shared" si="14"/>
        <v>165.35495604594769</v>
      </c>
      <c r="F234" s="2">
        <v>149.8005</v>
      </c>
      <c r="G234" s="2" t="str">
        <f t="shared" si="12"/>
        <v>Pass</v>
      </c>
      <c r="Y234" s="2">
        <v>219</v>
      </c>
      <c r="Z234" s="2">
        <v>0.3332</v>
      </c>
      <c r="AA234" s="2">
        <v>0.34789999999999999</v>
      </c>
      <c r="AB234" s="2">
        <v>153.02869999999999</v>
      </c>
    </row>
    <row r="235" spans="2:28" x14ac:dyDescent="0.4">
      <c r="B235" s="11">
        <v>218</v>
      </c>
      <c r="C235" s="16">
        <f t="shared" si="13"/>
        <v>136.53880908788295</v>
      </c>
      <c r="D235" s="17">
        <f t="shared" si="15"/>
        <v>151.70978787542552</v>
      </c>
      <c r="E235" s="17">
        <f t="shared" si="14"/>
        <v>166.88076666296809</v>
      </c>
      <c r="F235" s="2">
        <v>151.61580000000001</v>
      </c>
      <c r="G235" s="2" t="str">
        <f t="shared" si="12"/>
        <v>Pass</v>
      </c>
      <c r="Y235" s="2">
        <v>220</v>
      </c>
      <c r="Z235" s="2">
        <v>0.33300000000000002</v>
      </c>
      <c r="AA235" s="2">
        <v>0.3478</v>
      </c>
      <c r="AB235" s="2">
        <v>154.39439999999999</v>
      </c>
    </row>
    <row r="236" spans="2:28" x14ac:dyDescent="0.4">
      <c r="B236" s="11">
        <v>219</v>
      </c>
      <c r="C236" s="16">
        <f t="shared" si="13"/>
        <v>137.79293292420576</v>
      </c>
      <c r="D236" s="17">
        <f t="shared" si="15"/>
        <v>153.10325880467306</v>
      </c>
      <c r="E236" s="17">
        <f t="shared" si="14"/>
        <v>168.41358468514036</v>
      </c>
      <c r="F236" s="2">
        <v>153.02869999999999</v>
      </c>
      <c r="G236" s="2" t="str">
        <f t="shared" si="12"/>
        <v>Pass</v>
      </c>
      <c r="Y236" s="2">
        <v>221</v>
      </c>
      <c r="Z236" s="2">
        <v>0.33229999999999998</v>
      </c>
      <c r="AA236" s="2">
        <v>0.34799999999999998</v>
      </c>
      <c r="AB236" s="2">
        <v>155.7551</v>
      </c>
    </row>
    <row r="237" spans="2:28" x14ac:dyDescent="0.4">
      <c r="B237" s="11">
        <v>220</v>
      </c>
      <c r="C237" s="16">
        <f t="shared" si="13"/>
        <v>139.05279009201638</v>
      </c>
      <c r="D237" s="17">
        <f t="shared" si="15"/>
        <v>154.50310010224044</v>
      </c>
      <c r="E237" s="17">
        <f t="shared" si="14"/>
        <v>169.9534101124645</v>
      </c>
      <c r="F237" s="2">
        <v>154.39439999999999</v>
      </c>
      <c r="G237" s="2" t="str">
        <f t="shared" si="12"/>
        <v>Pass</v>
      </c>
      <c r="Y237" s="2">
        <v>222</v>
      </c>
      <c r="Z237" s="2">
        <v>0.33210000000000001</v>
      </c>
      <c r="AA237" s="2">
        <v>0.34789999999999999</v>
      </c>
      <c r="AB237" s="2">
        <v>157.16659999999999</v>
      </c>
    </row>
    <row r="238" spans="2:28" x14ac:dyDescent="0.4">
      <c r="B238" s="11">
        <v>221</v>
      </c>
      <c r="C238" s="16">
        <f t="shared" si="13"/>
        <v>140.31838059131499</v>
      </c>
      <c r="D238" s="17">
        <f t="shared" si="15"/>
        <v>155.90931176812776</v>
      </c>
      <c r="E238" s="17">
        <f t="shared" si="14"/>
        <v>171.50024294494054</v>
      </c>
      <c r="F238" s="2">
        <v>155.7551</v>
      </c>
      <c r="G238" s="2" t="str">
        <f t="shared" si="12"/>
        <v>Pass</v>
      </c>
      <c r="Y238" s="2">
        <v>223</v>
      </c>
      <c r="Z238" s="2">
        <v>0.3327</v>
      </c>
      <c r="AA238" s="2">
        <v>0.34920000000000001</v>
      </c>
      <c r="AB238" s="2">
        <v>159.04949999999999</v>
      </c>
    </row>
    <row r="239" spans="2:28" x14ac:dyDescent="0.4">
      <c r="B239" s="11">
        <v>222</v>
      </c>
      <c r="C239" s="16">
        <f t="shared" si="13"/>
        <v>141.58970442210142</v>
      </c>
      <c r="D239" s="17">
        <f t="shared" si="15"/>
        <v>157.3218938023349</v>
      </c>
      <c r="E239" s="17">
        <f t="shared" si="14"/>
        <v>173.05408318256838</v>
      </c>
      <c r="F239" s="2">
        <v>157.16659999999999</v>
      </c>
      <c r="G239" s="2" t="str">
        <f t="shared" si="12"/>
        <v>Pass</v>
      </c>
      <c r="Y239" s="2">
        <v>224</v>
      </c>
      <c r="Z239" s="2">
        <v>0.33250000000000002</v>
      </c>
      <c r="AA239" s="2">
        <v>0.34899999999999998</v>
      </c>
      <c r="AB239" s="2">
        <v>160.43889999999999</v>
      </c>
    </row>
    <row r="240" spans="2:28" x14ac:dyDescent="0.4">
      <c r="B240" s="11">
        <v>223</v>
      </c>
      <c r="C240" s="16">
        <f t="shared" si="13"/>
        <v>142.86676158437572</v>
      </c>
      <c r="D240" s="17">
        <f t="shared" si="15"/>
        <v>158.74084620486192</v>
      </c>
      <c r="E240" s="17">
        <f t="shared" si="14"/>
        <v>174.61493082534813</v>
      </c>
      <c r="F240" s="2">
        <v>159.04949999999999</v>
      </c>
      <c r="G240" s="2" t="str">
        <f t="shared" si="12"/>
        <v>Pass</v>
      </c>
      <c r="Y240" s="2">
        <v>225</v>
      </c>
      <c r="Z240" s="2">
        <v>0.33229999999999998</v>
      </c>
      <c r="AA240" s="2">
        <v>0.3473</v>
      </c>
      <c r="AB240" s="2">
        <v>160.84700000000001</v>
      </c>
    </row>
    <row r="241" spans="2:28" x14ac:dyDescent="0.4">
      <c r="B241" s="11">
        <v>224</v>
      </c>
      <c r="C241" s="16">
        <f t="shared" si="13"/>
        <v>144.14955207813796</v>
      </c>
      <c r="D241" s="17">
        <f t="shared" si="15"/>
        <v>160.16616897570884</v>
      </c>
      <c r="E241" s="17">
        <f t="shared" si="14"/>
        <v>176.18278587327973</v>
      </c>
      <c r="F241" s="2">
        <v>160.43889999999999</v>
      </c>
      <c r="G241" s="2" t="str">
        <f t="shared" si="12"/>
        <v>Pass</v>
      </c>
      <c r="Y241" s="2">
        <v>226</v>
      </c>
      <c r="Z241" s="2">
        <v>0.3322</v>
      </c>
      <c r="AA241" s="2">
        <v>0.34720000000000001</v>
      </c>
      <c r="AB241" s="2">
        <v>162.24510000000001</v>
      </c>
    </row>
    <row r="242" spans="2:28" x14ac:dyDescent="0.4">
      <c r="B242" s="11">
        <v>225</v>
      </c>
      <c r="C242" s="16">
        <f t="shared" si="13"/>
        <v>145.43807590338804</v>
      </c>
      <c r="D242" s="17">
        <f t="shared" si="15"/>
        <v>161.5978621148756</v>
      </c>
      <c r="E242" s="17">
        <f t="shared" si="14"/>
        <v>177.75764832636315</v>
      </c>
      <c r="F242" s="2">
        <v>160.84700000000001</v>
      </c>
      <c r="G242" s="2" t="str">
        <f t="shared" si="12"/>
        <v>Pass</v>
      </c>
      <c r="Y242" s="2">
        <v>227</v>
      </c>
      <c r="Z242" s="2">
        <v>0.33250000000000002</v>
      </c>
      <c r="AA242" s="2">
        <v>0.34849999999999998</v>
      </c>
      <c r="AB242" s="2">
        <v>164.04089999999999</v>
      </c>
    </row>
    <row r="243" spans="2:28" x14ac:dyDescent="0.4">
      <c r="B243" s="11">
        <v>226</v>
      </c>
      <c r="C243" s="16">
        <f t="shared" si="13"/>
        <v>146.73233306012602</v>
      </c>
      <c r="D243" s="17">
        <f t="shared" si="15"/>
        <v>163.03592562236224</v>
      </c>
      <c r="E243" s="17">
        <f t="shared" si="14"/>
        <v>179.33951818459846</v>
      </c>
      <c r="F243" s="2">
        <v>162.24510000000001</v>
      </c>
      <c r="G243" s="2" t="str">
        <f t="shared" si="12"/>
        <v>Pass</v>
      </c>
      <c r="Y243" s="2">
        <v>228</v>
      </c>
      <c r="Z243" s="2">
        <v>0.33239999999999997</v>
      </c>
      <c r="AA243" s="2">
        <v>0.34839999999999999</v>
      </c>
      <c r="AB243" s="2">
        <v>165.4068</v>
      </c>
    </row>
    <row r="244" spans="2:28" x14ac:dyDescent="0.4">
      <c r="B244" s="11">
        <v>227</v>
      </c>
      <c r="C244" s="16">
        <f t="shared" si="13"/>
        <v>148.03232354835194</v>
      </c>
      <c r="D244" s="17">
        <f t="shared" si="15"/>
        <v>164.48035949816881</v>
      </c>
      <c r="E244" s="17">
        <f t="shared" si="14"/>
        <v>180.92839544798568</v>
      </c>
      <c r="F244" s="2">
        <v>164.04089999999999</v>
      </c>
      <c r="G244" s="2" t="str">
        <f t="shared" si="12"/>
        <v>Pass</v>
      </c>
      <c r="Y244" s="2">
        <v>229</v>
      </c>
      <c r="Z244" s="2">
        <v>0.33229999999999998</v>
      </c>
      <c r="AA244" s="2">
        <v>0.34820000000000001</v>
      </c>
      <c r="AB244" s="2">
        <v>166.8458</v>
      </c>
    </row>
    <row r="245" spans="2:28" x14ac:dyDescent="0.4">
      <c r="B245" s="11">
        <v>228</v>
      </c>
      <c r="C245" s="16">
        <f t="shared" si="13"/>
        <v>149.33804736806567</v>
      </c>
      <c r="D245" s="17">
        <f t="shared" si="15"/>
        <v>165.93116374229518</v>
      </c>
      <c r="E245" s="17">
        <f t="shared" si="14"/>
        <v>182.52428011652469</v>
      </c>
      <c r="F245" s="2">
        <v>165.4068</v>
      </c>
      <c r="G245" s="2" t="str">
        <f t="shared" si="12"/>
        <v>Pass</v>
      </c>
      <c r="Y245" s="2">
        <v>230</v>
      </c>
      <c r="Z245" s="2">
        <v>0.33210000000000001</v>
      </c>
      <c r="AA245" s="2">
        <v>0.34799999999999998</v>
      </c>
      <c r="AB245" s="2">
        <v>168.79900000000001</v>
      </c>
    </row>
    <row r="246" spans="2:28" x14ac:dyDescent="0.4">
      <c r="B246" s="11">
        <v>229</v>
      </c>
      <c r="C246" s="16">
        <f t="shared" si="13"/>
        <v>150.64950451926737</v>
      </c>
      <c r="D246" s="17">
        <f t="shared" si="15"/>
        <v>167.38833835474151</v>
      </c>
      <c r="E246" s="17">
        <f t="shared" si="14"/>
        <v>184.12717219021565</v>
      </c>
      <c r="F246" s="2">
        <v>166.8458</v>
      </c>
      <c r="G246" s="2" t="str">
        <f t="shared" si="12"/>
        <v>Pass</v>
      </c>
      <c r="Y246" s="2">
        <v>231</v>
      </c>
      <c r="Z246" s="2">
        <v>0.3327</v>
      </c>
      <c r="AA246" s="2">
        <v>0.34920000000000001</v>
      </c>
      <c r="AB246" s="2">
        <v>170.2011</v>
      </c>
    </row>
    <row r="247" spans="2:28" x14ac:dyDescent="0.4">
      <c r="B247" s="11">
        <v>230</v>
      </c>
      <c r="C247" s="16">
        <f t="shared" si="13"/>
        <v>151.96669500195694</v>
      </c>
      <c r="D247" s="17">
        <f t="shared" si="15"/>
        <v>168.85188333550769</v>
      </c>
      <c r="E247" s="17">
        <f t="shared" si="14"/>
        <v>185.73707166905845</v>
      </c>
      <c r="F247" s="2">
        <v>168.79900000000001</v>
      </c>
      <c r="G247" s="2" t="str">
        <f t="shared" si="12"/>
        <v>Pass</v>
      </c>
      <c r="Y247" s="2">
        <v>232</v>
      </c>
      <c r="Z247" s="2">
        <v>0.33260000000000001</v>
      </c>
      <c r="AA247" s="2">
        <v>0.34899999999999998</v>
      </c>
      <c r="AB247" s="2">
        <v>171.65309999999999</v>
      </c>
    </row>
    <row r="248" spans="2:28" x14ac:dyDescent="0.4">
      <c r="B248" s="11">
        <v>231</v>
      </c>
      <c r="C248" s="16">
        <f t="shared" si="13"/>
        <v>153.28961881613435</v>
      </c>
      <c r="D248" s="17">
        <f t="shared" si="15"/>
        <v>170.32179868459372</v>
      </c>
      <c r="E248" s="17">
        <f t="shared" si="14"/>
        <v>187.35397855305308</v>
      </c>
      <c r="F248" s="2">
        <v>170.2011</v>
      </c>
      <c r="G248" s="2" t="str">
        <f t="shared" si="12"/>
        <v>Pass</v>
      </c>
      <c r="Y248" s="2">
        <v>233</v>
      </c>
      <c r="Z248" s="2">
        <v>0.33239999999999997</v>
      </c>
      <c r="AA248" s="2">
        <v>0.3488</v>
      </c>
      <c r="AB248" s="2">
        <v>173.60509999999999</v>
      </c>
    </row>
    <row r="249" spans="2:28" x14ac:dyDescent="0.4">
      <c r="B249" s="11">
        <v>232</v>
      </c>
      <c r="C249" s="16">
        <f t="shared" si="13"/>
        <v>154.61827596179967</v>
      </c>
      <c r="D249" s="17">
        <f t="shared" si="15"/>
        <v>171.79808440199963</v>
      </c>
      <c r="E249" s="17">
        <f t="shared" si="14"/>
        <v>188.97789284219959</v>
      </c>
      <c r="F249" s="2">
        <v>171.65309999999999</v>
      </c>
      <c r="G249" s="2" t="str">
        <f t="shared" si="12"/>
        <v>Pass</v>
      </c>
      <c r="Y249" s="2">
        <v>234</v>
      </c>
      <c r="Z249" s="2">
        <v>0.33179999999999998</v>
      </c>
      <c r="AA249" s="2">
        <v>0.34720000000000001</v>
      </c>
      <c r="AB249" s="2">
        <v>174.08619999999999</v>
      </c>
    </row>
    <row r="250" spans="2:28" x14ac:dyDescent="0.4">
      <c r="B250" s="11">
        <v>233</v>
      </c>
      <c r="C250" s="16">
        <f t="shared" si="13"/>
        <v>155.95266643895289</v>
      </c>
      <c r="D250" s="17">
        <f t="shared" si="15"/>
        <v>173.28074048772544</v>
      </c>
      <c r="E250" s="17">
        <f t="shared" si="14"/>
        <v>190.60881453649799</v>
      </c>
      <c r="F250" s="2">
        <v>173.60509999999999</v>
      </c>
      <c r="G250" s="2" t="str">
        <f t="shared" si="12"/>
        <v>Pass</v>
      </c>
      <c r="Y250" s="2">
        <v>235</v>
      </c>
      <c r="Z250" s="2">
        <v>0.33279999999999998</v>
      </c>
      <c r="AA250" s="2">
        <v>0.3483</v>
      </c>
      <c r="AB250" s="2">
        <v>175.51130000000001</v>
      </c>
    </row>
    <row r="251" spans="2:28" x14ac:dyDescent="0.4">
      <c r="B251" s="11">
        <v>234</v>
      </c>
      <c r="C251" s="16">
        <f t="shared" si="13"/>
        <v>157.29279024759398</v>
      </c>
      <c r="D251" s="17">
        <f t="shared" si="15"/>
        <v>174.76976694177111</v>
      </c>
      <c r="E251" s="17">
        <f t="shared" si="14"/>
        <v>192.24674363594823</v>
      </c>
      <c r="F251" s="2">
        <v>174.08619999999999</v>
      </c>
      <c r="G251" s="2" t="str">
        <f t="shared" si="12"/>
        <v>Pass</v>
      </c>
      <c r="Y251" s="2">
        <v>236</v>
      </c>
      <c r="Z251" s="2">
        <v>0.33260000000000001</v>
      </c>
      <c r="AA251" s="2">
        <v>0.34820000000000001</v>
      </c>
      <c r="AB251" s="2">
        <v>177.42339999999999</v>
      </c>
    </row>
    <row r="252" spans="2:28" x14ac:dyDescent="0.4">
      <c r="B252" s="11">
        <v>235</v>
      </c>
      <c r="C252" s="16">
        <f t="shared" si="13"/>
        <v>158.63864738772298</v>
      </c>
      <c r="D252" s="17">
        <f t="shared" si="15"/>
        <v>176.26516376413664</v>
      </c>
      <c r="E252" s="17">
        <f t="shared" si="14"/>
        <v>193.89168014055031</v>
      </c>
      <c r="F252" s="2">
        <v>175.51130000000001</v>
      </c>
      <c r="G252" s="2" t="str">
        <f t="shared" si="12"/>
        <v>Pass</v>
      </c>
      <c r="Y252" s="2">
        <v>237</v>
      </c>
      <c r="Z252" s="2">
        <v>0.33239999999999997</v>
      </c>
      <c r="AA252" s="2">
        <v>0.34789999999999999</v>
      </c>
      <c r="AB252" s="2">
        <v>178.83949999999999</v>
      </c>
    </row>
    <row r="253" spans="2:28" x14ac:dyDescent="0.4">
      <c r="B253" s="11">
        <v>236</v>
      </c>
      <c r="C253" s="16">
        <f t="shared" si="13"/>
        <v>159.99023785933986</v>
      </c>
      <c r="D253" s="17">
        <f t="shared" si="15"/>
        <v>177.76693095482207</v>
      </c>
      <c r="E253" s="17">
        <f t="shared" si="14"/>
        <v>195.54362405030429</v>
      </c>
      <c r="F253" s="2">
        <v>177.42339999999999</v>
      </c>
      <c r="G253" s="2" t="str">
        <f t="shared" si="12"/>
        <v>Pass</v>
      </c>
      <c r="Y253" s="2">
        <v>238</v>
      </c>
      <c r="Z253" s="2">
        <v>0.33300000000000002</v>
      </c>
      <c r="AA253" s="2">
        <v>0.34910000000000002</v>
      </c>
      <c r="AB253" s="2">
        <v>180.3202</v>
      </c>
    </row>
    <row r="254" spans="2:28" x14ac:dyDescent="0.4">
      <c r="B254" s="11">
        <v>237</v>
      </c>
      <c r="C254" s="16">
        <f t="shared" si="13"/>
        <v>161.34756166244469</v>
      </c>
      <c r="D254" s="17">
        <f t="shared" si="15"/>
        <v>179.27506851382742</v>
      </c>
      <c r="E254" s="17">
        <f t="shared" si="14"/>
        <v>197.20257536521015</v>
      </c>
      <c r="F254" s="2">
        <v>178.83949999999999</v>
      </c>
      <c r="G254" s="2" t="str">
        <f t="shared" si="12"/>
        <v>Pass</v>
      </c>
      <c r="Y254" s="2">
        <v>239</v>
      </c>
      <c r="Z254" s="2">
        <v>0.3327</v>
      </c>
      <c r="AA254" s="2">
        <v>0.34889999999999999</v>
      </c>
      <c r="AB254" s="2">
        <v>182.29130000000001</v>
      </c>
    </row>
    <row r="255" spans="2:28" x14ac:dyDescent="0.4">
      <c r="B255" s="11">
        <v>238</v>
      </c>
      <c r="C255" s="16">
        <f t="shared" si="13"/>
        <v>162.71061879703734</v>
      </c>
      <c r="D255" s="17">
        <f t="shared" si="15"/>
        <v>180.7895764411526</v>
      </c>
      <c r="E255" s="17">
        <f t="shared" si="14"/>
        <v>198.86853408526787</v>
      </c>
      <c r="F255" s="2">
        <v>180.3202</v>
      </c>
      <c r="G255" s="2" t="str">
        <f t="shared" si="12"/>
        <v>Pass</v>
      </c>
      <c r="Y255" s="2">
        <v>240</v>
      </c>
      <c r="Z255" s="2">
        <v>0.33279999999999998</v>
      </c>
      <c r="AA255" s="2">
        <v>0.3488</v>
      </c>
      <c r="AB255" s="2">
        <v>183.84540000000001</v>
      </c>
    </row>
    <row r="256" spans="2:28" x14ac:dyDescent="0.4">
      <c r="B256" s="11">
        <v>239</v>
      </c>
      <c r="C256" s="16">
        <f t="shared" si="13"/>
        <v>164.0794092631179</v>
      </c>
      <c r="D256" s="17">
        <f t="shared" si="15"/>
        <v>182.31045473679765</v>
      </c>
      <c r="E256" s="17">
        <f t="shared" si="14"/>
        <v>200.54150021047741</v>
      </c>
      <c r="F256" s="2">
        <v>182.29130000000001</v>
      </c>
      <c r="G256" s="2" t="str">
        <f t="shared" si="12"/>
        <v>Pass</v>
      </c>
      <c r="Y256" s="2">
        <v>241</v>
      </c>
      <c r="Z256" s="2">
        <v>0.3327</v>
      </c>
      <c r="AA256" s="2">
        <v>0.34860000000000002</v>
      </c>
      <c r="AB256" s="2">
        <v>185.34639999999999</v>
      </c>
    </row>
    <row r="257" spans="2:28" x14ac:dyDescent="0.4">
      <c r="B257" s="11">
        <v>240</v>
      </c>
      <c r="C257" s="16">
        <f t="shared" si="13"/>
        <v>165.45393306068632</v>
      </c>
      <c r="D257" s="17">
        <f t="shared" si="15"/>
        <v>183.83770340076259</v>
      </c>
      <c r="E257" s="17">
        <f t="shared" si="14"/>
        <v>202.22147374083886</v>
      </c>
      <c r="F257" s="2">
        <v>183.84540000000001</v>
      </c>
      <c r="G257" s="2" t="str">
        <f t="shared" si="12"/>
        <v>Pass</v>
      </c>
      <c r="Y257" s="2">
        <v>242</v>
      </c>
      <c r="Z257" s="2">
        <v>0.3332</v>
      </c>
      <c r="AA257" s="2">
        <v>0.34960000000000002</v>
      </c>
      <c r="AB257" s="2">
        <v>187.32679999999999</v>
      </c>
    </row>
    <row r="258" spans="2:28" x14ac:dyDescent="0.4">
      <c r="B258" s="11">
        <v>241</v>
      </c>
      <c r="C258" s="16">
        <f t="shared" si="13"/>
        <v>166.83419018974266</v>
      </c>
      <c r="D258" s="17">
        <f t="shared" si="15"/>
        <v>185.3713224330474</v>
      </c>
      <c r="E258" s="17">
        <f t="shared" si="14"/>
        <v>203.90845467635214</v>
      </c>
      <c r="F258" s="2">
        <v>185.34639999999999</v>
      </c>
      <c r="G258" s="2" t="str">
        <f t="shared" si="12"/>
        <v>Pass</v>
      </c>
      <c r="Y258" s="2">
        <v>243</v>
      </c>
      <c r="Z258" s="2">
        <v>0.3327</v>
      </c>
      <c r="AA258" s="2">
        <v>0.34799999999999998</v>
      </c>
      <c r="AB258" s="2">
        <v>187.64009999999999</v>
      </c>
    </row>
    <row r="259" spans="2:28" x14ac:dyDescent="0.4">
      <c r="B259" s="11">
        <v>242</v>
      </c>
      <c r="C259" s="16">
        <f t="shared" si="13"/>
        <v>168.22018065028686</v>
      </c>
      <c r="D259" s="17">
        <f t="shared" si="15"/>
        <v>186.91131183365206</v>
      </c>
      <c r="E259" s="17">
        <f t="shared" si="14"/>
        <v>205.60244301701726</v>
      </c>
      <c r="F259" s="2">
        <v>187.32679999999999</v>
      </c>
      <c r="G259" s="2" t="str">
        <f t="shared" si="12"/>
        <v>Pass</v>
      </c>
      <c r="Y259" s="2">
        <v>244</v>
      </c>
      <c r="Z259" s="2">
        <v>0.3322</v>
      </c>
      <c r="AA259" s="2">
        <v>0.34789999999999999</v>
      </c>
      <c r="AB259" s="2">
        <v>189.04169999999999</v>
      </c>
    </row>
    <row r="260" spans="2:28" x14ac:dyDescent="0.4">
      <c r="B260" s="11">
        <v>243</v>
      </c>
      <c r="C260" s="16">
        <f t="shared" si="13"/>
        <v>169.61190444231897</v>
      </c>
      <c r="D260" s="17">
        <f t="shared" si="15"/>
        <v>188.45767160257662</v>
      </c>
      <c r="E260" s="17">
        <f t="shared" si="14"/>
        <v>207.30343876283428</v>
      </c>
      <c r="F260" s="2">
        <v>187.64009999999999</v>
      </c>
      <c r="G260" s="2" t="str">
        <f t="shared" si="12"/>
        <v>Pass</v>
      </c>
      <c r="Y260" s="2">
        <v>245</v>
      </c>
      <c r="Z260" s="2">
        <v>0.33169999999999999</v>
      </c>
      <c r="AA260" s="2">
        <v>0.3478</v>
      </c>
      <c r="AB260" s="2">
        <v>190.41579999999999</v>
      </c>
    </row>
    <row r="261" spans="2:28" x14ac:dyDescent="0.4">
      <c r="B261" s="11">
        <v>244</v>
      </c>
      <c r="C261" s="16">
        <f t="shared" si="13"/>
        <v>171.00936156583896</v>
      </c>
      <c r="D261" s="17">
        <f t="shared" si="15"/>
        <v>190.01040173982108</v>
      </c>
      <c r="E261" s="17">
        <f t="shared" si="14"/>
        <v>209.0114419138032</v>
      </c>
      <c r="F261" s="2">
        <v>189.04169999999999</v>
      </c>
      <c r="G261" s="2" t="str">
        <f t="shared" si="12"/>
        <v>Pass</v>
      </c>
      <c r="Y261" s="2">
        <v>246</v>
      </c>
      <c r="Z261" s="2">
        <v>0.33189999999999997</v>
      </c>
      <c r="AA261" s="2">
        <v>0.34889999999999999</v>
      </c>
      <c r="AB261" s="2">
        <v>192.18559999999999</v>
      </c>
    </row>
    <row r="262" spans="2:28" x14ac:dyDescent="0.4">
      <c r="B262" s="11">
        <v>245</v>
      </c>
      <c r="C262" s="16">
        <f t="shared" si="13"/>
        <v>172.41255202084687</v>
      </c>
      <c r="D262" s="17">
        <f t="shared" si="15"/>
        <v>191.56950224538542</v>
      </c>
      <c r="E262" s="17">
        <f t="shared" si="14"/>
        <v>210.72645246992397</v>
      </c>
      <c r="F262" s="2">
        <v>190.41579999999999</v>
      </c>
      <c r="G262" s="2" t="str">
        <f t="shared" si="12"/>
        <v>Pass</v>
      </c>
      <c r="Y262" s="2">
        <v>247</v>
      </c>
      <c r="Z262" s="2">
        <v>0.33150000000000002</v>
      </c>
      <c r="AA262" s="2">
        <v>0.3488</v>
      </c>
      <c r="AB262" s="2">
        <v>193.58879999999999</v>
      </c>
    </row>
    <row r="263" spans="2:28" x14ac:dyDescent="0.4">
      <c r="B263" s="11">
        <v>246</v>
      </c>
      <c r="C263" s="16">
        <f t="shared" si="13"/>
        <v>173.82147580734267</v>
      </c>
      <c r="D263" s="17">
        <f t="shared" si="15"/>
        <v>193.13497311926963</v>
      </c>
      <c r="E263" s="17">
        <f t="shared" si="14"/>
        <v>212.4484704311966</v>
      </c>
      <c r="F263" s="2">
        <v>192.18559999999999</v>
      </c>
      <c r="G263" s="2" t="str">
        <f t="shared" si="12"/>
        <v>Pass</v>
      </c>
      <c r="Y263" s="2">
        <v>248</v>
      </c>
      <c r="Z263" s="2">
        <v>0.33110000000000001</v>
      </c>
      <c r="AA263" s="2">
        <v>0.34870000000000001</v>
      </c>
      <c r="AB263" s="2">
        <v>195.61510000000001</v>
      </c>
    </row>
    <row r="264" spans="2:28" x14ac:dyDescent="0.4">
      <c r="B264" s="11">
        <v>247</v>
      </c>
      <c r="C264" s="16">
        <f t="shared" si="13"/>
        <v>175.23613292532633</v>
      </c>
      <c r="D264" s="17">
        <f t="shared" si="15"/>
        <v>194.7068143614737</v>
      </c>
      <c r="E264" s="17">
        <f t="shared" si="14"/>
        <v>214.17749579762108</v>
      </c>
      <c r="F264" s="2">
        <v>193.58879999999999</v>
      </c>
      <c r="G264" s="2" t="str">
        <f t="shared" si="12"/>
        <v>Pass</v>
      </c>
      <c r="Y264" s="2">
        <v>249</v>
      </c>
      <c r="Z264" s="2">
        <v>0.33189999999999997</v>
      </c>
      <c r="AA264" s="2">
        <v>0.3498</v>
      </c>
      <c r="AB264" s="2">
        <v>197.35759999999999</v>
      </c>
    </row>
    <row r="265" spans="2:28" x14ac:dyDescent="0.4">
      <c r="B265" s="11">
        <v>248</v>
      </c>
      <c r="C265" s="16">
        <f t="shared" si="13"/>
        <v>176.65652337479787</v>
      </c>
      <c r="D265" s="17">
        <f t="shared" si="15"/>
        <v>196.28502597199764</v>
      </c>
      <c r="E265" s="17">
        <f t="shared" si="14"/>
        <v>215.91352856919741</v>
      </c>
      <c r="F265" s="2">
        <v>195.61510000000001</v>
      </c>
      <c r="G265" s="2" t="str">
        <f t="shared" si="12"/>
        <v>Pass</v>
      </c>
      <c r="Y265" s="2">
        <v>250</v>
      </c>
      <c r="Z265" s="2">
        <v>0.33200000000000002</v>
      </c>
      <c r="AA265" s="2">
        <v>0.34970000000000001</v>
      </c>
      <c r="AB265" s="2">
        <v>199.06710000000001</v>
      </c>
    </row>
    <row r="266" spans="2:28" x14ac:dyDescent="0.4">
      <c r="B266" s="11">
        <v>249</v>
      </c>
      <c r="C266" s="16">
        <f t="shared" si="13"/>
        <v>178.08264715575731</v>
      </c>
      <c r="D266" s="17">
        <f t="shared" si="15"/>
        <v>197.86960795084147</v>
      </c>
      <c r="E266" s="17">
        <f t="shared" si="14"/>
        <v>217.65656874592563</v>
      </c>
      <c r="F266" s="2">
        <v>197.35759999999999</v>
      </c>
      <c r="G266" s="2" t="str">
        <f t="shared" si="12"/>
        <v>Pass</v>
      </c>
      <c r="Y266" s="2">
        <v>251</v>
      </c>
      <c r="Z266" s="2">
        <v>0.33229999999999998</v>
      </c>
      <c r="AA266" s="2">
        <v>0.34939999999999999</v>
      </c>
      <c r="AB266" s="2">
        <v>201.45259999999999</v>
      </c>
    </row>
    <row r="267" spans="2:28" x14ac:dyDescent="0.4">
      <c r="B267" s="11">
        <v>250</v>
      </c>
      <c r="C267" s="16">
        <f t="shared" si="13"/>
        <v>179.51450426820463</v>
      </c>
      <c r="D267" s="17">
        <f t="shared" si="15"/>
        <v>199.46056029800516</v>
      </c>
      <c r="E267" s="17">
        <f t="shared" si="14"/>
        <v>219.40661632780569</v>
      </c>
      <c r="F267" s="2">
        <v>199.06710000000001</v>
      </c>
      <c r="G267" s="2" t="str">
        <f t="shared" si="12"/>
        <v>Pass</v>
      </c>
      <c r="Y267" s="2">
        <v>252</v>
      </c>
      <c r="Z267" s="2">
        <v>0.33210000000000001</v>
      </c>
      <c r="AA267" s="2">
        <v>0.34799999999999998</v>
      </c>
      <c r="AB267" s="2">
        <v>202.18090000000001</v>
      </c>
    </row>
    <row r="268" spans="2:28" x14ac:dyDescent="0.4">
      <c r="B268" s="11">
        <v>251</v>
      </c>
      <c r="C268" s="16">
        <f t="shared" si="13"/>
        <v>180.95209471213985</v>
      </c>
      <c r="D268" s="17">
        <f t="shared" si="15"/>
        <v>201.05788301348872</v>
      </c>
      <c r="E268" s="17">
        <f t="shared" si="14"/>
        <v>221.16367131483759</v>
      </c>
      <c r="F268" s="2">
        <v>201.45259999999999</v>
      </c>
      <c r="G268" s="2" t="str">
        <f t="shared" si="12"/>
        <v>Pass</v>
      </c>
      <c r="Y268" s="2">
        <v>253</v>
      </c>
      <c r="Z268" s="2">
        <v>0.33310000000000001</v>
      </c>
      <c r="AA268" s="2">
        <v>0.34899999999999998</v>
      </c>
      <c r="AB268" s="2">
        <v>203.91139999999999</v>
      </c>
    </row>
    <row r="269" spans="2:28" x14ac:dyDescent="0.4">
      <c r="B269" s="11">
        <v>252</v>
      </c>
      <c r="C269" s="16">
        <f t="shared" si="13"/>
        <v>182.39541848756298</v>
      </c>
      <c r="D269" s="17">
        <f t="shared" si="15"/>
        <v>202.6615760972922</v>
      </c>
      <c r="E269" s="17">
        <f t="shared" si="14"/>
        <v>222.92773370702142</v>
      </c>
      <c r="F269" s="2">
        <v>202.18090000000001</v>
      </c>
      <c r="G269" s="2" t="str">
        <f t="shared" si="12"/>
        <v>Pass</v>
      </c>
      <c r="Y269" s="2">
        <v>254</v>
      </c>
      <c r="Z269" s="2">
        <v>0.33300000000000002</v>
      </c>
      <c r="AA269" s="2">
        <v>0.34870000000000001</v>
      </c>
      <c r="AB269" s="2">
        <v>205.48949999999999</v>
      </c>
    </row>
    <row r="270" spans="2:28" x14ac:dyDescent="0.4">
      <c r="B270" s="11">
        <v>253</v>
      </c>
      <c r="C270" s="16">
        <f t="shared" si="13"/>
        <v>183.84447559447403</v>
      </c>
      <c r="D270" s="17">
        <f t="shared" si="15"/>
        <v>204.2716395494156</v>
      </c>
      <c r="E270" s="17">
        <f t="shared" si="14"/>
        <v>224.69880350435716</v>
      </c>
      <c r="F270" s="2">
        <v>203.91139999999999</v>
      </c>
      <c r="G270" s="2" t="str">
        <f t="shared" si="12"/>
        <v>Pass</v>
      </c>
      <c r="Y270" s="2">
        <v>255</v>
      </c>
      <c r="Z270" s="2">
        <v>0.33229999999999998</v>
      </c>
      <c r="AA270" s="2">
        <v>0.34839999999999999</v>
      </c>
      <c r="AB270" s="2">
        <v>207.11660000000001</v>
      </c>
    </row>
    <row r="271" spans="2:28" x14ac:dyDescent="0.4">
      <c r="B271" s="11">
        <v>254</v>
      </c>
      <c r="C271" s="16">
        <f t="shared" si="13"/>
        <v>185.29926603287288</v>
      </c>
      <c r="D271" s="17">
        <f t="shared" si="15"/>
        <v>205.88807336985877</v>
      </c>
      <c r="E271" s="17">
        <f t="shared" si="14"/>
        <v>226.47688070684467</v>
      </c>
      <c r="F271" s="2">
        <v>205.48949999999999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24</v>
      </c>
    </row>
    <row r="272" spans="2:28" x14ac:dyDescent="0.4">
      <c r="B272" s="11">
        <v>255</v>
      </c>
      <c r="C272" s="16">
        <f t="shared" si="13"/>
        <v>186.40494000000001</v>
      </c>
      <c r="D272" s="18">
        <f>C12</f>
        <v>207.11660000000001</v>
      </c>
      <c r="E272" s="17">
        <f t="shared" si="14"/>
        <v>227.82826</v>
      </c>
      <c r="F272" s="2">
        <v>207.11660000000001</v>
      </c>
      <c r="G272" s="2" t="str">
        <f t="shared" si="12"/>
        <v>Pass</v>
      </c>
    </row>
  </sheetData>
  <protectedRanges>
    <protectedRange password="EBF1" sqref="C2:D2 C4:D4" name="範圍1_2"/>
    <protectedRange password="EBF1" sqref="C11:C13" name="範圍1_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9" priority="1" operator="equal">
      <formula>"Fail"</formula>
    </cfRule>
    <cfRule type="cellIs" dxfId="8" priority="2" operator="equal">
      <formula>"Pass"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6254-378F-4815-BE27-71E10A7B62D8}">
  <dimension ref="B2:AB272"/>
  <sheetViews>
    <sheetView topLeftCell="A7" zoomScale="70" zoomScaleNormal="70" workbookViewId="0">
      <selection activeCell="AC13" sqref="AC13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45736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0.23960000000000001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206.4684</v>
      </c>
      <c r="D12" s="4" t="s">
        <v>9</v>
      </c>
      <c r="E12" s="4"/>
      <c r="Y12" s="9" t="s">
        <v>42</v>
      </c>
    </row>
    <row r="13" spans="2:28" x14ac:dyDescent="0.4">
      <c r="B13" s="1" t="s">
        <v>11</v>
      </c>
      <c r="C13" s="8">
        <v>2.2000000000000002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0.27050000000000002</v>
      </c>
      <c r="AA15" s="2">
        <v>0.27310000000000001</v>
      </c>
      <c r="AB15" s="2">
        <v>0.23960000000000001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0.27039999999999997</v>
      </c>
      <c r="AA16" s="2">
        <v>0.27260000000000001</v>
      </c>
      <c r="AB16" s="2">
        <v>0.23949999999999999</v>
      </c>
    </row>
    <row r="17" spans="2:28" ht="17.5" thickTop="1" x14ac:dyDescent="0.4">
      <c r="B17" s="11">
        <v>0</v>
      </c>
      <c r="C17" s="16">
        <f>D17-D17*(C$14/100)</f>
        <v>4.0698527359675984E-5</v>
      </c>
      <c r="D17" s="17">
        <f>D$272*((B17+F$17)/B$272)^C$13</f>
        <v>4.5220585955195535E-5</v>
      </c>
      <c r="E17" s="17">
        <f>D17+D17*(C$14/100)</f>
        <v>4.9742644550715087E-5</v>
      </c>
      <c r="F17" s="2">
        <v>0.23960000000000001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0.2702</v>
      </c>
      <c r="AA17" s="2">
        <v>0.27289999999999998</v>
      </c>
      <c r="AB17" s="2">
        <v>0.23899999999999999</v>
      </c>
    </row>
    <row r="18" spans="2:28" x14ac:dyDescent="0.4">
      <c r="B18" s="11">
        <v>1</v>
      </c>
      <c r="C18" s="16">
        <f t="shared" ref="C18:C81" si="1">D18-D18*(C$14/100)</f>
        <v>1.5133073918394478E-3</v>
      </c>
      <c r="D18" s="17">
        <f>D$272*((B18+F$17)/B$272)^C$13</f>
        <v>1.6814526575993863E-3</v>
      </c>
      <c r="E18" s="17">
        <f t="shared" ref="E18:E81" si="2">D18+D18*(C$14/100)</f>
        <v>1.8495979233593249E-3</v>
      </c>
      <c r="F18" s="2">
        <v>0.23949999999999999</v>
      </c>
      <c r="G18" s="2" t="str">
        <f t="shared" si="0"/>
        <v>Fail</v>
      </c>
      <c r="Y18" s="2">
        <v>3</v>
      </c>
      <c r="Z18" s="2">
        <v>0.27410000000000001</v>
      </c>
      <c r="AA18" s="2">
        <v>0.28070000000000001</v>
      </c>
      <c r="AB18" s="2">
        <v>0.25309999999999999</v>
      </c>
    </row>
    <row r="19" spans="2:28" x14ac:dyDescent="0.4">
      <c r="B19" s="11">
        <v>2</v>
      </c>
      <c r="C19" s="16">
        <f t="shared" si="1"/>
        <v>5.5601014289690526E-3</v>
      </c>
      <c r="D19" s="17">
        <f t="shared" ref="D19:D82" si="3">D$272*((B19+F$17)/B$272)^C$13</f>
        <v>6.1778904766322806E-3</v>
      </c>
      <c r="E19" s="17">
        <f t="shared" si="2"/>
        <v>6.7956795242955087E-3</v>
      </c>
      <c r="F19" s="2">
        <v>0.23899999999999999</v>
      </c>
      <c r="G19" s="2" t="str">
        <f t="shared" si="0"/>
        <v>Fail</v>
      </c>
      <c r="Y19" s="2">
        <v>4</v>
      </c>
      <c r="Z19" s="2">
        <v>0.27460000000000001</v>
      </c>
      <c r="AA19" s="2">
        <v>0.27439999999999998</v>
      </c>
      <c r="AB19" s="2">
        <v>0.25559999999999999</v>
      </c>
    </row>
    <row r="20" spans="2:28" x14ac:dyDescent="0.4">
      <c r="B20" s="11">
        <v>3</v>
      </c>
      <c r="C20" s="16">
        <f t="shared" si="1"/>
        <v>1.2525318075483306E-2</v>
      </c>
      <c r="D20" s="17">
        <f t="shared" si="3"/>
        <v>1.391702008387034E-2</v>
      </c>
      <c r="E20" s="17">
        <f t="shared" si="2"/>
        <v>1.5308722092257374E-2</v>
      </c>
      <c r="F20" s="2">
        <v>0.25309999999999999</v>
      </c>
      <c r="G20" s="2" t="str">
        <f t="shared" si="0"/>
        <v>Fail</v>
      </c>
      <c r="Y20" s="2">
        <v>5</v>
      </c>
      <c r="Z20" s="2">
        <v>0.27600000000000002</v>
      </c>
      <c r="AA20" s="2">
        <v>0.28410000000000002</v>
      </c>
      <c r="AB20" s="2">
        <v>0.26910000000000001</v>
      </c>
    </row>
    <row r="21" spans="2:28" x14ac:dyDescent="0.4">
      <c r="B21" s="11">
        <v>4</v>
      </c>
      <c r="C21" s="16">
        <f t="shared" si="1"/>
        <v>2.2637186477307648E-2</v>
      </c>
      <c r="D21" s="17">
        <f t="shared" si="3"/>
        <v>2.515242941923072E-2</v>
      </c>
      <c r="E21" s="17">
        <f t="shared" si="2"/>
        <v>2.7667672361153792E-2</v>
      </c>
      <c r="F21" s="2">
        <v>0.25559999999999999</v>
      </c>
      <c r="G21" s="2" t="str">
        <f t="shared" si="0"/>
        <v>Fail</v>
      </c>
      <c r="Y21" s="2">
        <v>6</v>
      </c>
      <c r="Z21" s="2">
        <v>0.27579999999999999</v>
      </c>
      <c r="AA21" s="2">
        <v>0.28399999999999997</v>
      </c>
      <c r="AB21" s="2">
        <v>0.28399999999999997</v>
      </c>
    </row>
    <row r="22" spans="2:28" x14ac:dyDescent="0.4">
      <c r="B22" s="11">
        <v>5</v>
      </c>
      <c r="C22" s="16">
        <f t="shared" si="1"/>
        <v>3.6071449830621528E-2</v>
      </c>
      <c r="D22" s="17">
        <f t="shared" si="3"/>
        <v>4.0079388700690589E-2</v>
      </c>
      <c r="E22" s="17">
        <f t="shared" si="2"/>
        <v>4.408732757075965E-2</v>
      </c>
      <c r="F22" s="2">
        <v>0.26910000000000001</v>
      </c>
      <c r="G22" s="2" t="str">
        <f t="shared" si="0"/>
        <v>Fail</v>
      </c>
      <c r="Y22" s="2">
        <v>7</v>
      </c>
      <c r="Z22" s="2">
        <v>0.28110000000000002</v>
      </c>
      <c r="AA22" s="2">
        <v>0.29249999999999998</v>
      </c>
      <c r="AB22" s="2">
        <v>0.29930000000000001</v>
      </c>
    </row>
    <row r="23" spans="2:28" x14ac:dyDescent="0.4">
      <c r="B23" s="11">
        <v>6</v>
      </c>
      <c r="C23" s="16">
        <f t="shared" si="1"/>
        <v>5.2972754170151119E-2</v>
      </c>
      <c r="D23" s="17">
        <f t="shared" si="3"/>
        <v>5.8858615744612354E-2</v>
      </c>
      <c r="E23" s="17">
        <f t="shared" si="2"/>
        <v>6.4744477319073596E-2</v>
      </c>
      <c r="F23" s="2">
        <v>0.28399999999999997</v>
      </c>
      <c r="G23" s="2" t="str">
        <f t="shared" si="0"/>
        <v>Fail</v>
      </c>
      <c r="Y23" s="2">
        <v>8</v>
      </c>
      <c r="Z23" s="2">
        <v>0.27800000000000002</v>
      </c>
      <c r="AA23" s="2">
        <v>0.28239999999999998</v>
      </c>
      <c r="AB23" s="2">
        <v>0.30259999999999998</v>
      </c>
    </row>
    <row r="24" spans="2:28" x14ac:dyDescent="0.4">
      <c r="B24" s="11">
        <v>7</v>
      </c>
      <c r="C24" s="16">
        <f t="shared" si="1"/>
        <v>7.3464878008564882E-2</v>
      </c>
      <c r="D24" s="17">
        <f t="shared" si="3"/>
        <v>8.1627642231738753E-2</v>
      </c>
      <c r="E24" s="17">
        <f t="shared" si="2"/>
        <v>8.9790406454912625E-2</v>
      </c>
      <c r="F24" s="2">
        <v>0.29930000000000001</v>
      </c>
      <c r="G24" s="2" t="str">
        <f t="shared" si="0"/>
        <v>Fail</v>
      </c>
      <c r="Y24" s="2">
        <v>9</v>
      </c>
      <c r="Z24" s="2">
        <v>0.28149999999999997</v>
      </c>
      <c r="AA24" s="2">
        <v>0.29759999999999998</v>
      </c>
      <c r="AB24" s="2">
        <v>0.33229999999999998</v>
      </c>
    </row>
    <row r="25" spans="2:28" x14ac:dyDescent="0.4">
      <c r="B25" s="11">
        <v>8</v>
      </c>
      <c r="C25" s="16">
        <f t="shared" si="1"/>
        <v>9.7656507478878607E-2</v>
      </c>
      <c r="D25" s="17">
        <f t="shared" si="3"/>
        <v>0.10850723053208734</v>
      </c>
      <c r="E25" s="17">
        <f t="shared" si="2"/>
        <v>0.11935795358529608</v>
      </c>
      <c r="F25" s="2">
        <v>0.30259999999999998</v>
      </c>
      <c r="G25" s="2" t="str">
        <f t="shared" si="0"/>
        <v>Fail</v>
      </c>
      <c r="Y25" s="2">
        <v>10</v>
      </c>
      <c r="Z25" s="2">
        <v>0.2828</v>
      </c>
      <c r="AA25" s="2">
        <v>0.30080000000000001</v>
      </c>
      <c r="AB25" s="2">
        <v>0.36209999999999998</v>
      </c>
    </row>
    <row r="26" spans="2:28" x14ac:dyDescent="0.4">
      <c r="B26" s="11">
        <v>9</v>
      </c>
      <c r="C26" s="16">
        <f t="shared" si="1"/>
        <v>0.12564484623474437</v>
      </c>
      <c r="D26" s="17">
        <f t="shared" si="3"/>
        <v>0.13960538470527153</v>
      </c>
      <c r="E26" s="17">
        <f t="shared" si="2"/>
        <v>0.1535659231757987</v>
      </c>
      <c r="F26" s="2">
        <v>0.33229999999999998</v>
      </c>
      <c r="G26" s="2" t="str">
        <f t="shared" si="0"/>
        <v>Fail</v>
      </c>
      <c r="Y26" s="2">
        <v>11</v>
      </c>
      <c r="Z26" s="2">
        <v>0.2883</v>
      </c>
      <c r="AA26" s="2">
        <v>0.3075</v>
      </c>
      <c r="AB26" s="2">
        <v>0.39389999999999997</v>
      </c>
    </row>
    <row r="27" spans="2:28" x14ac:dyDescent="0.4">
      <c r="B27" s="11">
        <v>10</v>
      </c>
      <c r="C27" s="16">
        <f t="shared" si="1"/>
        <v>0.15751803537056586</v>
      </c>
      <c r="D27" s="17">
        <f t="shared" si="3"/>
        <v>0.17502003930062873</v>
      </c>
      <c r="E27" s="17">
        <f t="shared" si="2"/>
        <v>0.19252204323069161</v>
      </c>
      <c r="F27" s="2">
        <v>0.36209999999999998</v>
      </c>
      <c r="G27" s="2" t="str">
        <f t="shared" si="0"/>
        <v>Fail</v>
      </c>
      <c r="Y27" s="2">
        <v>12</v>
      </c>
      <c r="Z27" s="2">
        <v>0.29049999999999998</v>
      </c>
      <c r="AA27" s="2">
        <v>0.30130000000000001</v>
      </c>
      <c r="AB27" s="2">
        <v>0.40400000000000003</v>
      </c>
    </row>
    <row r="28" spans="2:28" x14ac:dyDescent="0.4">
      <c r="B28" s="11">
        <v>11</v>
      </c>
      <c r="C28" s="16">
        <f t="shared" si="1"/>
        <v>0.19335686106827574</v>
      </c>
      <c r="D28" s="17">
        <f t="shared" si="3"/>
        <v>0.21484095674252859</v>
      </c>
      <c r="E28" s="17">
        <f t="shared" si="2"/>
        <v>0.23632505241678145</v>
      </c>
      <c r="F28" s="2">
        <v>0.39389999999999997</v>
      </c>
      <c r="G28" s="2" t="str">
        <f t="shared" si="0"/>
        <v>Fail</v>
      </c>
      <c r="Y28" s="2">
        <v>13</v>
      </c>
      <c r="Z28" s="2">
        <v>0.29709999999999998</v>
      </c>
      <c r="AA28" s="2">
        <v>0.31359999999999999</v>
      </c>
      <c r="AB28" s="2">
        <v>0.43769999999999998</v>
      </c>
    </row>
    <row r="29" spans="2:28" x14ac:dyDescent="0.4">
      <c r="B29" s="11">
        <v>12</v>
      </c>
      <c r="C29" s="16">
        <f t="shared" si="1"/>
        <v>0.23323600805326886</v>
      </c>
      <c r="D29" s="17">
        <f t="shared" si="3"/>
        <v>0.25915112005918761</v>
      </c>
      <c r="E29" s="17">
        <f t="shared" si="2"/>
        <v>0.2850662320651064</v>
      </c>
      <c r="F29" s="2">
        <v>0.40400000000000003</v>
      </c>
      <c r="G29" s="2" t="str">
        <f t="shared" si="0"/>
        <v>Fail</v>
      </c>
      <c r="Y29" s="2">
        <v>14</v>
      </c>
      <c r="Z29" s="2">
        <v>0.30359999999999998</v>
      </c>
      <c r="AA29" s="2">
        <v>0.32079999999999997</v>
      </c>
      <c r="AB29" s="2">
        <v>0.50600000000000001</v>
      </c>
    </row>
    <row r="30" spans="2:28" x14ac:dyDescent="0.4">
      <c r="B30" s="11">
        <v>13</v>
      </c>
      <c r="C30" s="16">
        <f t="shared" si="1"/>
        <v>0.27722500888564372</v>
      </c>
      <c r="D30" s="17">
        <f t="shared" si="3"/>
        <v>0.30802778765071526</v>
      </c>
      <c r="E30" s="17">
        <f t="shared" si="2"/>
        <v>0.33883056641578679</v>
      </c>
      <c r="F30" s="2">
        <v>0.43769999999999998</v>
      </c>
      <c r="G30" s="2" t="str">
        <f t="shared" si="0"/>
        <v>Fail</v>
      </c>
      <c r="Y30" s="2">
        <v>15</v>
      </c>
      <c r="Z30" s="2">
        <v>0.30480000000000002</v>
      </c>
      <c r="AA30" s="2">
        <v>0.3271</v>
      </c>
      <c r="AB30" s="2">
        <v>0.56200000000000006</v>
      </c>
    </row>
    <row r="31" spans="2:28" x14ac:dyDescent="0.4">
      <c r="B31" s="11">
        <v>14</v>
      </c>
      <c r="C31" s="16">
        <f t="shared" si="1"/>
        <v>0.32538898142388734</v>
      </c>
      <c r="D31" s="17">
        <f t="shared" si="3"/>
        <v>0.36154331269320816</v>
      </c>
      <c r="E31" s="17">
        <f t="shared" si="2"/>
        <v>0.39769764396252899</v>
      </c>
      <c r="F31" s="2">
        <v>0.50600000000000001</v>
      </c>
      <c r="G31" s="2" t="str">
        <f t="shared" si="0"/>
        <v>Fail</v>
      </c>
      <c r="Y31" s="2">
        <v>16</v>
      </c>
      <c r="Z31" s="2">
        <v>0.30809999999999998</v>
      </c>
      <c r="AA31" s="2">
        <v>0.33779999999999999</v>
      </c>
      <c r="AB31" s="2">
        <v>0.61950000000000005</v>
      </c>
    </row>
    <row r="32" spans="2:28" x14ac:dyDescent="0.4">
      <c r="B32" s="11">
        <v>15</v>
      </c>
      <c r="C32" s="16">
        <f t="shared" si="1"/>
        <v>0.37778921396172505</v>
      </c>
      <c r="D32" s="17">
        <f t="shared" si="3"/>
        <v>0.4197657932908056</v>
      </c>
      <c r="E32" s="17">
        <f t="shared" si="2"/>
        <v>0.46174237261988615</v>
      </c>
      <c r="F32" s="2">
        <v>0.56200000000000006</v>
      </c>
      <c r="G32" s="2" t="str">
        <f t="shared" si="0"/>
        <v>Fail</v>
      </c>
      <c r="Y32" s="2">
        <v>17</v>
      </c>
      <c r="Z32" s="2">
        <v>0.309</v>
      </c>
      <c r="AA32" s="2">
        <v>0.33860000000000001</v>
      </c>
      <c r="AB32" s="2">
        <v>0.68269999999999997</v>
      </c>
    </row>
    <row r="33" spans="2:28" x14ac:dyDescent="0.4">
      <c r="B33" s="11">
        <v>16</v>
      </c>
      <c r="C33" s="16">
        <f t="shared" si="1"/>
        <v>0.4344836378556286</v>
      </c>
      <c r="D33" s="17">
        <f t="shared" si="3"/>
        <v>0.48275959761736514</v>
      </c>
      <c r="E33" s="17">
        <f t="shared" si="2"/>
        <v>0.53103555737910169</v>
      </c>
      <c r="F33" s="2">
        <v>0.61950000000000005</v>
      </c>
      <c r="G33" s="2" t="str">
        <f t="shared" si="0"/>
        <v>Fail</v>
      </c>
      <c r="Y33" s="2">
        <v>18</v>
      </c>
      <c r="Z33" s="2">
        <v>0.31019999999999998</v>
      </c>
      <c r="AA33" s="2">
        <v>0.34150000000000003</v>
      </c>
      <c r="AB33" s="2">
        <v>0.78449999999999998</v>
      </c>
    </row>
    <row r="34" spans="2:28" x14ac:dyDescent="0.4">
      <c r="B34" s="11">
        <v>17</v>
      </c>
      <c r="C34" s="16">
        <f t="shared" si="1"/>
        <v>0.49552721514597653</v>
      </c>
      <c r="D34" s="17">
        <f t="shared" si="3"/>
        <v>0.55058579460664059</v>
      </c>
      <c r="E34" s="17">
        <f t="shared" si="2"/>
        <v>0.60564437406730465</v>
      </c>
      <c r="F34" s="2">
        <v>0.68269999999999997</v>
      </c>
      <c r="G34" s="2" t="str">
        <f t="shared" si="0"/>
        <v>Fail</v>
      </c>
      <c r="Y34" s="2">
        <v>19</v>
      </c>
      <c r="Z34" s="2">
        <v>0.31269999999999998</v>
      </c>
      <c r="AA34" s="2">
        <v>0.33389999999999997</v>
      </c>
      <c r="AB34" s="2">
        <v>0.8095</v>
      </c>
    </row>
    <row r="35" spans="2:28" x14ac:dyDescent="0.4">
      <c r="B35" s="11">
        <v>18</v>
      </c>
      <c r="C35" s="16">
        <f t="shared" si="1"/>
        <v>0.56097226068801043</v>
      </c>
      <c r="D35" s="17">
        <f t="shared" si="3"/>
        <v>0.62330251187556718</v>
      </c>
      <c r="E35" s="17">
        <f t="shared" si="2"/>
        <v>0.68563276306312393</v>
      </c>
      <c r="F35" s="2">
        <v>0.78449999999999998</v>
      </c>
      <c r="G35" s="2" t="str">
        <f t="shared" si="0"/>
        <v>Fail</v>
      </c>
      <c r="Y35" s="2">
        <v>20</v>
      </c>
      <c r="Z35" s="2">
        <v>0.31659999999999999</v>
      </c>
      <c r="AA35" s="2">
        <v>0.34200000000000003</v>
      </c>
      <c r="AB35" s="2">
        <v>0.88490000000000002</v>
      </c>
    </row>
    <row r="36" spans="2:28" x14ac:dyDescent="0.4">
      <c r="B36" s="11">
        <v>19</v>
      </c>
      <c r="C36" s="16">
        <f t="shared" si="1"/>
        <v>0.63086871296684899</v>
      </c>
      <c r="D36" s="17">
        <f t="shared" si="3"/>
        <v>0.70096523662983223</v>
      </c>
      <c r="E36" s="17">
        <f t="shared" si="2"/>
        <v>0.77106176029281548</v>
      </c>
      <c r="F36" s="2">
        <v>0.8095</v>
      </c>
      <c r="G36" s="2" t="str">
        <f t="shared" si="0"/>
        <v>Fail</v>
      </c>
      <c r="Y36" s="2">
        <v>21</v>
      </c>
      <c r="Z36" s="2">
        <v>0.31909999999999999</v>
      </c>
      <c r="AA36" s="2">
        <v>0.34289999999999998</v>
      </c>
      <c r="AB36" s="2">
        <v>0.96850000000000003</v>
      </c>
    </row>
    <row r="37" spans="2:28" x14ac:dyDescent="0.4">
      <c r="B37" s="11">
        <v>20</v>
      </c>
      <c r="C37" s="16">
        <f t="shared" si="1"/>
        <v>0.70526436410172311</v>
      </c>
      <c r="D37" s="17">
        <f t="shared" si="3"/>
        <v>0.78362707122413677</v>
      </c>
      <c r="E37" s="17">
        <f t="shared" si="2"/>
        <v>0.86198977834655044</v>
      </c>
      <c r="F37" s="2">
        <v>0.88490000000000002</v>
      </c>
      <c r="G37" s="2" t="str">
        <f t="shared" si="0"/>
        <v>Fail</v>
      </c>
      <c r="Y37" s="2">
        <v>22</v>
      </c>
      <c r="Z37" s="2">
        <v>0.31950000000000001</v>
      </c>
      <c r="AA37" s="2">
        <v>0.34210000000000002</v>
      </c>
      <c r="AB37" s="2">
        <v>1.0875999999999999</v>
      </c>
    </row>
    <row r="38" spans="2:28" x14ac:dyDescent="0.4">
      <c r="B38" s="11">
        <v>21</v>
      </c>
      <c r="C38" s="16">
        <f t="shared" si="1"/>
        <v>0.7842050569651372</v>
      </c>
      <c r="D38" s="17">
        <f t="shared" si="3"/>
        <v>0.87133895218348578</v>
      </c>
      <c r="E38" s="17">
        <f t="shared" si="2"/>
        <v>0.95847284740183436</v>
      </c>
      <c r="F38" s="2">
        <v>0.96850000000000003</v>
      </c>
      <c r="G38" s="2" t="str">
        <f t="shared" si="0"/>
        <v>Fail</v>
      </c>
      <c r="Y38" s="2">
        <v>23</v>
      </c>
      <c r="Z38" s="2">
        <v>0.31840000000000002</v>
      </c>
      <c r="AA38" s="2">
        <v>0.34050000000000002</v>
      </c>
      <c r="AB38" s="2">
        <v>1.1626000000000001</v>
      </c>
    </row>
    <row r="39" spans="2:28" x14ac:dyDescent="0.4">
      <c r="B39" s="11">
        <v>22</v>
      </c>
      <c r="C39" s="16">
        <f t="shared" si="1"/>
        <v>0.86773485549176443</v>
      </c>
      <c r="D39" s="17">
        <f t="shared" si="3"/>
        <v>0.96414983943529387</v>
      </c>
      <c r="E39" s="17">
        <f t="shared" si="2"/>
        <v>1.0605648233788232</v>
      </c>
      <c r="F39" s="2">
        <v>1.0875999999999999</v>
      </c>
      <c r="G39" s="2" t="str">
        <f t="shared" si="0"/>
        <v>Fail</v>
      </c>
      <c r="Y39" s="2">
        <v>24</v>
      </c>
      <c r="Z39" s="2">
        <v>0.31769999999999998</v>
      </c>
      <c r="AA39" s="2">
        <v>0.33889999999999998</v>
      </c>
      <c r="AB39" s="2">
        <v>1.2755000000000001</v>
      </c>
    </row>
    <row r="40" spans="2:28" x14ac:dyDescent="0.4">
      <c r="B40" s="11">
        <v>23</v>
      </c>
      <c r="C40" s="16">
        <f t="shared" si="1"/>
        <v>0.95589619289931738</v>
      </c>
      <c r="D40" s="17">
        <f t="shared" si="3"/>
        <v>1.0621068809992416</v>
      </c>
      <c r="E40" s="17">
        <f t="shared" si="2"/>
        <v>1.1683175690991656</v>
      </c>
      <c r="F40" s="2">
        <v>1.1626000000000001</v>
      </c>
      <c r="G40" s="2" t="str">
        <f t="shared" si="0"/>
        <v>Pass</v>
      </c>
      <c r="Y40" s="2">
        <v>25</v>
      </c>
      <c r="Z40" s="2">
        <v>0.3165</v>
      </c>
      <c r="AA40" s="2">
        <v>0.33800000000000002</v>
      </c>
      <c r="AB40" s="2">
        <v>1.3502000000000001</v>
      </c>
    </row>
    <row r="41" spans="2:28" x14ac:dyDescent="0.4">
      <c r="B41" s="11">
        <v>24</v>
      </c>
      <c r="C41" s="16">
        <f t="shared" si="1"/>
        <v>1.048730001539004</v>
      </c>
      <c r="D41" s="17">
        <f t="shared" si="3"/>
        <v>1.1652555572655598</v>
      </c>
      <c r="E41" s="17">
        <f t="shared" si="2"/>
        <v>1.2817811129921157</v>
      </c>
      <c r="F41" s="2">
        <v>1.2755000000000001</v>
      </c>
      <c r="G41" s="2" t="str">
        <f t="shared" si="0"/>
        <v>Pass</v>
      </c>
      <c r="Y41" s="2">
        <v>26</v>
      </c>
      <c r="Z41" s="2">
        <v>0.32379999999999998</v>
      </c>
      <c r="AA41" s="2">
        <v>0.34539999999999998</v>
      </c>
      <c r="AB41" s="2">
        <v>1.4332</v>
      </c>
    </row>
    <row r="42" spans="2:28" x14ac:dyDescent="0.4">
      <c r="B42" s="11">
        <v>25</v>
      </c>
      <c r="C42" s="16">
        <f t="shared" si="1"/>
        <v>1.1462758273359999</v>
      </c>
      <c r="D42" s="17">
        <f t="shared" si="3"/>
        <v>1.2736398081511109</v>
      </c>
      <c r="E42" s="17">
        <f t="shared" si="2"/>
        <v>1.4010037889662219</v>
      </c>
      <c r="F42" s="2">
        <v>1.3502000000000001</v>
      </c>
      <c r="G42" s="2" t="str">
        <f t="shared" si="0"/>
        <v>Pass</v>
      </c>
      <c r="Y42" s="2">
        <v>27</v>
      </c>
      <c r="Z42" s="2">
        <v>0.32729999999999998</v>
      </c>
      <c r="AA42" s="2">
        <v>0.3488</v>
      </c>
      <c r="AB42" s="2">
        <v>1.5492999999999999</v>
      </c>
    </row>
    <row r="43" spans="2:28" x14ac:dyDescent="0.4">
      <c r="B43" s="11">
        <v>26</v>
      </c>
      <c r="C43" s="16">
        <f t="shared" si="1"/>
        <v>1.2485719312019512</v>
      </c>
      <c r="D43" s="17">
        <f t="shared" si="3"/>
        <v>1.3873021457799457</v>
      </c>
      <c r="E43" s="17">
        <f t="shared" si="2"/>
        <v>1.5260323603579402</v>
      </c>
      <c r="F43" s="2">
        <v>1.4332</v>
      </c>
      <c r="G43" s="2" t="str">
        <f t="shared" si="0"/>
        <v>Pass</v>
      </c>
      <c r="Y43" s="2">
        <v>28</v>
      </c>
      <c r="Z43" s="2">
        <v>0.32769999999999999</v>
      </c>
      <c r="AA43" s="2">
        <v>0.34810000000000002</v>
      </c>
      <c r="AB43" s="2">
        <v>1.6685000000000001</v>
      </c>
    </row>
    <row r="44" spans="2:28" x14ac:dyDescent="0.4">
      <c r="B44" s="11">
        <v>27</v>
      </c>
      <c r="C44" s="16">
        <f t="shared" si="1"/>
        <v>1.3556553793544941</v>
      </c>
      <c r="D44" s="17">
        <f t="shared" si="3"/>
        <v>1.5062837548383268</v>
      </c>
      <c r="E44" s="17">
        <f t="shared" si="2"/>
        <v>1.6569121303221594</v>
      </c>
      <c r="F44" s="2">
        <v>1.5492999999999999</v>
      </c>
      <c r="G44" s="2" t="str">
        <f t="shared" si="0"/>
        <v>Pass</v>
      </c>
      <c r="Y44" s="2">
        <v>29</v>
      </c>
      <c r="Z44" s="2">
        <v>0.3261</v>
      </c>
      <c r="AA44" s="2">
        <v>0.34820000000000001</v>
      </c>
      <c r="AB44" s="2">
        <v>1.7549999999999999</v>
      </c>
    </row>
    <row r="45" spans="2:28" x14ac:dyDescent="0.4">
      <c r="B45" s="11">
        <v>28</v>
      </c>
      <c r="C45" s="16">
        <f t="shared" si="1"/>
        <v>1.4675621241291898</v>
      </c>
      <c r="D45" s="17">
        <f t="shared" si="3"/>
        <v>1.6306245823657666</v>
      </c>
      <c r="E45" s="17">
        <f t="shared" si="2"/>
        <v>1.7936870406023433</v>
      </c>
      <c r="F45" s="2">
        <v>1.6685000000000001</v>
      </c>
      <c r="G45" s="2" t="str">
        <f t="shared" si="0"/>
        <v>Pass</v>
      </c>
      <c r="Y45" s="2">
        <v>30</v>
      </c>
      <c r="Z45" s="2">
        <v>0.32640000000000002</v>
      </c>
      <c r="AA45" s="2">
        <v>0.34760000000000002</v>
      </c>
      <c r="AB45" s="2">
        <v>1.88</v>
      </c>
    </row>
    <row r="46" spans="2:28" x14ac:dyDescent="0.4">
      <c r="B46" s="11">
        <v>29</v>
      </c>
      <c r="C46" s="16">
        <f t="shared" si="1"/>
        <v>1.5843270765934332</v>
      </c>
      <c r="D46" s="17">
        <f t="shared" si="3"/>
        <v>1.7603634184371479</v>
      </c>
      <c r="E46" s="17">
        <f t="shared" si="2"/>
        <v>1.9363997602808627</v>
      </c>
      <c r="F46" s="2">
        <v>1.7549999999999999</v>
      </c>
      <c r="G46" s="2" t="str">
        <f t="shared" si="0"/>
        <v>Pass</v>
      </c>
      <c r="Y46" s="2">
        <v>31</v>
      </c>
      <c r="Z46" s="2">
        <v>0.32640000000000002</v>
      </c>
      <c r="AA46" s="2">
        <v>0.3473</v>
      </c>
      <c r="AB46" s="2">
        <v>1.9946999999999999</v>
      </c>
    </row>
    <row r="47" spans="2:28" x14ac:dyDescent="0.4">
      <c r="B47" s="11">
        <v>30</v>
      </c>
      <c r="C47" s="16">
        <f t="shared" si="1"/>
        <v>1.7059841720518525</v>
      </c>
      <c r="D47" s="17">
        <f t="shared" si="3"/>
        <v>1.8955379689465028</v>
      </c>
      <c r="E47" s="17">
        <f t="shared" si="2"/>
        <v>2.085091765841153</v>
      </c>
      <c r="F47" s="2">
        <v>1.88</v>
      </c>
      <c r="G47" s="2" t="str">
        <f t="shared" si="0"/>
        <v>Pass</v>
      </c>
      <c r="Y47" s="2">
        <v>32</v>
      </c>
      <c r="Z47" s="2">
        <v>0.32600000000000001</v>
      </c>
      <c r="AA47" s="2">
        <v>0.34849999999999998</v>
      </c>
      <c r="AB47" s="2">
        <v>2.1383999999999999</v>
      </c>
    </row>
    <row r="48" spans="2:28" x14ac:dyDescent="0.4">
      <c r="B48" s="11">
        <v>31</v>
      </c>
      <c r="C48" s="16">
        <f t="shared" si="1"/>
        <v>1.8325664293560426</v>
      </c>
      <c r="D48" s="17">
        <f t="shared" si="3"/>
        <v>2.036184921506714</v>
      </c>
      <c r="E48" s="17">
        <f t="shared" si="2"/>
        <v>2.2398034136573854</v>
      </c>
      <c r="F48" s="2">
        <v>1.9946999999999999</v>
      </c>
      <c r="G48" s="2" t="str">
        <f t="shared" si="0"/>
        <v>Pass</v>
      </c>
      <c r="Y48" s="2">
        <v>33</v>
      </c>
      <c r="Z48" s="2">
        <v>0.3241</v>
      </c>
      <c r="AA48" s="2">
        <v>0.3498</v>
      </c>
      <c r="AB48" s="2">
        <v>2.2374000000000001</v>
      </c>
    </row>
    <row r="49" spans="2:28" x14ac:dyDescent="0.4">
      <c r="B49" s="11">
        <v>32</v>
      </c>
      <c r="C49" s="16">
        <f t="shared" si="1"/>
        <v>1.9641060047880914</v>
      </c>
      <c r="D49" s="17">
        <f t="shared" si="3"/>
        <v>2.1823400053201016</v>
      </c>
      <c r="E49" s="17">
        <f t="shared" si="2"/>
        <v>2.4005740058521119</v>
      </c>
      <c r="F49" s="2">
        <v>2.1383999999999999</v>
      </c>
      <c r="G49" s="2" t="str">
        <f t="shared" si="0"/>
        <v>Pass</v>
      </c>
      <c r="Y49" s="2">
        <v>34</v>
      </c>
      <c r="Z49" s="2">
        <v>0.32290000000000002</v>
      </c>
      <c r="AA49" s="2">
        <v>0.35039999999999999</v>
      </c>
      <c r="AB49" s="2">
        <v>2.3488000000000002</v>
      </c>
    </row>
    <row r="50" spans="2:28" x14ac:dyDescent="0.4">
      <c r="B50" s="11">
        <v>33</v>
      </c>
      <c r="C50" s="16">
        <f t="shared" si="1"/>
        <v>2.1006342411705612</v>
      </c>
      <c r="D50" s="17">
        <f t="shared" si="3"/>
        <v>2.3340380457450678</v>
      </c>
      <c r="E50" s="17">
        <f t="shared" si="2"/>
        <v>2.5674418503195744</v>
      </c>
      <c r="F50" s="2">
        <v>2.2374000000000001</v>
      </c>
      <c r="G50" s="2" t="str">
        <f t="shared" si="0"/>
        <v>Pass</v>
      </c>
      <c r="Y50" s="2">
        <v>35</v>
      </c>
      <c r="Z50" s="2">
        <v>0.32800000000000001</v>
      </c>
      <c r="AA50" s="2">
        <v>0.3483</v>
      </c>
      <c r="AB50" s="2">
        <v>2.5617000000000001</v>
      </c>
    </row>
    <row r="51" spans="2:28" x14ac:dyDescent="0.4">
      <c r="B51" s="11">
        <v>34</v>
      </c>
      <c r="C51" s="16">
        <f t="shared" si="1"/>
        <v>2.24218171275932</v>
      </c>
      <c r="D51" s="17">
        <f t="shared" si="3"/>
        <v>2.4913130141770221</v>
      </c>
      <c r="E51" s="17">
        <f t="shared" si="2"/>
        <v>2.7404443155947242</v>
      </c>
      <c r="F51" s="2">
        <v>2.3488000000000002</v>
      </c>
      <c r="G51" s="2" t="str">
        <f t="shared" si="0"/>
        <v>Pass</v>
      </c>
      <c r="Y51" s="2">
        <v>36</v>
      </c>
      <c r="Z51" s="2">
        <v>0.33329999999999999</v>
      </c>
      <c r="AA51" s="2">
        <v>0.34699999999999998</v>
      </c>
      <c r="AB51" s="2">
        <v>2.7515999999999998</v>
      </c>
    </row>
    <row r="52" spans="2:28" x14ac:dyDescent="0.4">
      <c r="B52" s="11">
        <v>35</v>
      </c>
      <c r="C52" s="16">
        <f t="shared" si="1"/>
        <v>2.3887782663962391</v>
      </c>
      <c r="D52" s="17">
        <f t="shared" si="3"/>
        <v>2.6541980737735988</v>
      </c>
      <c r="E52" s="17">
        <f t="shared" si="2"/>
        <v>2.9196178811509585</v>
      </c>
      <c r="F52" s="2">
        <v>2.5617000000000001</v>
      </c>
      <c r="G52" s="2" t="str">
        <f t="shared" si="0"/>
        <v>Pass</v>
      </c>
      <c r="Y52" s="2">
        <v>37</v>
      </c>
      <c r="Z52" s="2">
        <v>0.33450000000000002</v>
      </c>
      <c r="AA52" s="2">
        <v>0.34710000000000002</v>
      </c>
      <c r="AB52" s="2">
        <v>2.8967000000000001</v>
      </c>
    </row>
    <row r="53" spans="2:28" x14ac:dyDescent="0.4">
      <c r="B53" s="11">
        <v>36</v>
      </c>
      <c r="C53" s="16">
        <f t="shared" si="1"/>
        <v>2.5404530593324495</v>
      </c>
      <c r="D53" s="17">
        <f t="shared" si="3"/>
        <v>2.8227256214804997</v>
      </c>
      <c r="E53" s="17">
        <f t="shared" si="2"/>
        <v>3.1049981836285498</v>
      </c>
      <c r="F53" s="2">
        <v>2.7515999999999998</v>
      </c>
      <c r="G53" s="2" t="str">
        <f t="shared" si="0"/>
        <v>Pass</v>
      </c>
      <c r="Y53" s="2">
        <v>38</v>
      </c>
      <c r="Z53" s="2">
        <v>0.33189999999999997</v>
      </c>
      <c r="AA53" s="2">
        <v>0.34749999999999998</v>
      </c>
      <c r="AB53" s="2">
        <v>3.0901999999999998</v>
      </c>
    </row>
    <row r="54" spans="2:28" x14ac:dyDescent="0.4">
      <c r="B54" s="11">
        <v>37</v>
      </c>
      <c r="C54" s="16">
        <f t="shared" si="1"/>
        <v>2.6972345940776137</v>
      </c>
      <c r="D54" s="17">
        <f t="shared" si="3"/>
        <v>2.9969273267529042</v>
      </c>
      <c r="E54" s="17">
        <f t="shared" si="2"/>
        <v>3.2966200594281947</v>
      </c>
      <c r="F54" s="2">
        <v>2.8967000000000001</v>
      </c>
      <c r="G54" s="2" t="str">
        <f t="shared" si="0"/>
        <v>Pass</v>
      </c>
      <c r="Y54" s="2">
        <v>39</v>
      </c>
      <c r="Z54" s="2">
        <v>0.33189999999999997</v>
      </c>
      <c r="AA54" s="2">
        <v>0.34620000000000001</v>
      </c>
      <c r="AB54" s="2">
        <v>3.2277</v>
      </c>
    </row>
    <row r="55" spans="2:28" x14ac:dyDescent="0.4">
      <c r="B55" s="11">
        <v>38</v>
      </c>
      <c r="C55" s="16">
        <f t="shared" si="1"/>
        <v>2.8591507505838623</v>
      </c>
      <c r="D55" s="17">
        <f t="shared" si="3"/>
        <v>3.1768341673154024</v>
      </c>
      <c r="E55" s="17">
        <f t="shared" si="2"/>
        <v>3.4945175840469425</v>
      </c>
      <c r="F55" s="2">
        <v>3.0901999999999998</v>
      </c>
      <c r="G55" s="2" t="str">
        <f t="shared" si="0"/>
        <v>Pass</v>
      </c>
      <c r="Y55" s="2">
        <v>40</v>
      </c>
      <c r="Z55" s="2">
        <v>0.33100000000000002</v>
      </c>
      <c r="AA55" s="2">
        <v>0.34689999999999999</v>
      </c>
      <c r="AB55" s="2">
        <v>3.3896999999999999</v>
      </c>
    </row>
    <row r="56" spans="2:28" x14ac:dyDescent="0.4">
      <c r="B56" s="11">
        <v>39</v>
      </c>
      <c r="C56" s="16">
        <f t="shared" si="1"/>
        <v>3.0262288160338469</v>
      </c>
      <c r="D56" s="17">
        <f t="shared" si="3"/>
        <v>3.36247646225983</v>
      </c>
      <c r="E56" s="17">
        <f t="shared" si="2"/>
        <v>3.6987241084858131</v>
      </c>
      <c r="F56" s="2">
        <v>3.2277</v>
      </c>
      <c r="G56" s="2" t="str">
        <f t="shared" si="0"/>
        <v>Pass</v>
      </c>
      <c r="Y56" s="2">
        <v>41</v>
      </c>
      <c r="Z56" s="2">
        <v>0.33090000000000003</v>
      </c>
      <c r="AA56" s="2">
        <v>0.34760000000000002</v>
      </c>
      <c r="AB56" s="2">
        <v>3.6088</v>
      </c>
    </row>
    <row r="57" spans="2:28" x14ac:dyDescent="0.4">
      <c r="B57" s="11">
        <v>40</v>
      </c>
      <c r="C57" s="16">
        <f t="shared" si="1"/>
        <v>3.1984955124686625</v>
      </c>
      <c r="D57" s="17">
        <f t="shared" si="3"/>
        <v>3.5538839027429585</v>
      </c>
      <c r="E57" s="17">
        <f t="shared" si="2"/>
        <v>3.9092722930172545</v>
      </c>
      <c r="F57" s="2">
        <v>3.3896999999999999</v>
      </c>
      <c r="G57" s="2" t="str">
        <f t="shared" si="0"/>
        <v>Pass</v>
      </c>
      <c r="Y57" s="2">
        <v>42</v>
      </c>
      <c r="Z57" s="2">
        <v>0.33239999999999997</v>
      </c>
      <c r="AA57" s="2">
        <v>0.34649999999999997</v>
      </c>
      <c r="AB57" s="2">
        <v>3.7776999999999998</v>
      </c>
    </row>
    <row r="58" spans="2:28" x14ac:dyDescent="0.4">
      <c r="B58" s="11">
        <v>41</v>
      </c>
      <c r="C58" s="16">
        <f t="shared" si="1"/>
        <v>3.3759770224629291</v>
      </c>
      <c r="D58" s="17">
        <f t="shared" si="3"/>
        <v>3.7510855805143657</v>
      </c>
      <c r="E58" s="17">
        <f t="shared" si="2"/>
        <v>4.1261941385658023</v>
      </c>
      <c r="F58" s="2">
        <v>3.6088</v>
      </c>
      <c r="G58" s="2" t="str">
        <f t="shared" si="0"/>
        <v>Pass</v>
      </c>
      <c r="Y58" s="2">
        <v>43</v>
      </c>
      <c r="Z58" s="2">
        <v>0.3276</v>
      </c>
      <c r="AA58" s="2">
        <v>0.34760000000000002</v>
      </c>
      <c r="AB58" s="2">
        <v>4.1113</v>
      </c>
    </row>
    <row r="59" spans="2:28" x14ac:dyDescent="0.4">
      <c r="B59" s="11">
        <v>42</v>
      </c>
      <c r="C59" s="16">
        <f t="shared" si="1"/>
        <v>3.5586990130297851</v>
      </c>
      <c r="D59" s="17">
        <f t="shared" si="3"/>
        <v>3.9541100144775392</v>
      </c>
      <c r="E59" s="17">
        <f t="shared" si="2"/>
        <v>4.3495210159252933</v>
      </c>
      <c r="F59" s="2">
        <v>3.7776999999999998</v>
      </c>
      <c r="G59" s="2" t="str">
        <f t="shared" si="0"/>
        <v>Pass</v>
      </c>
      <c r="Y59" s="2">
        <v>44</v>
      </c>
      <c r="Z59" s="2">
        <v>0.32779999999999998</v>
      </c>
      <c r="AA59" s="2">
        <v>0.34739999999999999</v>
      </c>
      <c r="AB59" s="2">
        <v>4.3498999999999999</v>
      </c>
    </row>
    <row r="60" spans="2:28" x14ac:dyDescent="0.4">
      <c r="B60" s="11">
        <v>43</v>
      </c>
      <c r="C60" s="16">
        <f t="shared" si="1"/>
        <v>3.7466866579174414</v>
      </c>
      <c r="D60" s="17">
        <f t="shared" si="3"/>
        <v>4.1629851754638239</v>
      </c>
      <c r="E60" s="17">
        <f t="shared" si="2"/>
        <v>4.5792836930102059</v>
      </c>
      <c r="F60" s="2">
        <v>4.1113</v>
      </c>
      <c r="G60" s="2" t="str">
        <f t="shared" si="0"/>
        <v>Pass</v>
      </c>
      <c r="Y60" s="2">
        <v>45</v>
      </c>
      <c r="Z60" s="2">
        <v>0.3342</v>
      </c>
      <c r="AA60" s="2">
        <v>0.34799999999999998</v>
      </c>
      <c r="AB60" s="2">
        <v>4.5991</v>
      </c>
    </row>
    <row r="61" spans="2:28" x14ac:dyDescent="0.4">
      <c r="B61" s="11">
        <v>44</v>
      </c>
      <c r="C61" s="16">
        <f t="shared" si="1"/>
        <v>3.9399646584407444</v>
      </c>
      <c r="D61" s="17">
        <f t="shared" si="3"/>
        <v>4.377738509378605</v>
      </c>
      <c r="E61" s="17">
        <f t="shared" si="2"/>
        <v>4.8155123603164656</v>
      </c>
      <c r="F61" s="2">
        <v>4.3498999999999999</v>
      </c>
      <c r="G61" s="2" t="str">
        <f t="shared" si="0"/>
        <v>Pass</v>
      </c>
      <c r="Y61" s="2">
        <v>46</v>
      </c>
      <c r="Z61" s="2">
        <v>0.33360000000000001</v>
      </c>
      <c r="AA61" s="2">
        <v>0.3488</v>
      </c>
      <c r="AB61" s="2">
        <v>4.8074000000000003</v>
      </c>
    </row>
    <row r="62" spans="2:28" x14ac:dyDescent="0.4">
      <c r="B62" s="11">
        <v>45</v>
      </c>
      <c r="C62" s="16">
        <f t="shared" si="1"/>
        <v>4.1385572629754321</v>
      </c>
      <c r="D62" s="17">
        <f t="shared" si="3"/>
        <v>4.5983969588615912</v>
      </c>
      <c r="E62" s="17">
        <f t="shared" si="2"/>
        <v>5.0582366547477502</v>
      </c>
      <c r="F62" s="2">
        <v>4.5991</v>
      </c>
      <c r="G62" s="2" t="str">
        <f t="shared" si="0"/>
        <v>Pass</v>
      </c>
      <c r="Y62" s="2">
        <v>47</v>
      </c>
      <c r="Z62" s="2">
        <v>0.3327</v>
      </c>
      <c r="AA62" s="2">
        <v>0.3498</v>
      </c>
      <c r="AB62" s="2">
        <v>5.0980999999999996</v>
      </c>
    </row>
    <row r="63" spans="2:28" x14ac:dyDescent="0.4">
      <c r="B63" s="11">
        <v>46</v>
      </c>
      <c r="C63" s="16">
        <f t="shared" si="1"/>
        <v>4.3424882852289413</v>
      </c>
      <c r="D63" s="17">
        <f t="shared" si="3"/>
        <v>4.8249869835877126</v>
      </c>
      <c r="E63" s="17">
        <f t="shared" si="2"/>
        <v>5.307485681946484</v>
      </c>
      <c r="F63" s="2">
        <v>4.8074000000000003</v>
      </c>
      <c r="G63" s="2" t="str">
        <f t="shared" si="0"/>
        <v>Pass</v>
      </c>
      <c r="Y63" s="2">
        <v>48</v>
      </c>
      <c r="Z63" s="2">
        <v>0.33250000000000002</v>
      </c>
      <c r="AA63" s="2">
        <v>0.35010000000000002</v>
      </c>
      <c r="AB63" s="2">
        <v>5.2990000000000004</v>
      </c>
    </row>
    <row r="64" spans="2:28" x14ac:dyDescent="0.4">
      <c r="B64" s="11">
        <v>47</v>
      </c>
      <c r="C64" s="16">
        <f t="shared" si="1"/>
        <v>4.5517811213897765</v>
      </c>
      <c r="D64" s="17">
        <f t="shared" si="3"/>
        <v>5.0575345793219739</v>
      </c>
      <c r="E64" s="17">
        <f t="shared" si="2"/>
        <v>5.5632880372541713</v>
      </c>
      <c r="F64" s="2">
        <v>5.0980999999999996</v>
      </c>
      <c r="G64" s="2" t="str">
        <f t="shared" si="0"/>
        <v>Pass</v>
      </c>
      <c r="Y64" s="2">
        <v>49</v>
      </c>
      <c r="Z64" s="2">
        <v>0.33350000000000002</v>
      </c>
      <c r="AA64" s="2">
        <v>0.34949999999999998</v>
      </c>
      <c r="AB64" s="2">
        <v>5.6101999999999999</v>
      </c>
    </row>
    <row r="65" spans="2:28" x14ac:dyDescent="0.4">
      <c r="B65" s="11">
        <v>48</v>
      </c>
      <c r="C65" s="16">
        <f t="shared" si="1"/>
        <v>4.7664587662467799</v>
      </c>
      <c r="D65" s="17">
        <f t="shared" si="3"/>
        <v>5.2960652958297549</v>
      </c>
      <c r="E65" s="17">
        <f t="shared" si="2"/>
        <v>5.82567182541273</v>
      </c>
      <c r="F65" s="2">
        <v>5.2990000000000004</v>
      </c>
      <c r="G65" s="2" t="str">
        <f t="shared" si="0"/>
        <v>Pass</v>
      </c>
      <c r="Y65" s="2">
        <v>50</v>
      </c>
      <c r="Z65" s="2">
        <v>0.33210000000000001</v>
      </c>
      <c r="AA65" s="2">
        <v>0.34910000000000002</v>
      </c>
      <c r="AB65" s="2">
        <v>5.8079000000000001</v>
      </c>
    </row>
    <row r="66" spans="2:28" x14ac:dyDescent="0.4">
      <c r="B66" s="11">
        <v>49</v>
      </c>
      <c r="C66" s="16">
        <f t="shared" si="1"/>
        <v>4.9865438283606114</v>
      </c>
      <c r="D66" s="17">
        <f t="shared" si="3"/>
        <v>5.5406042537340126</v>
      </c>
      <c r="E66" s="17">
        <f t="shared" si="2"/>
        <v>6.0946646791074137</v>
      </c>
      <c r="F66" s="2">
        <v>5.6101999999999999</v>
      </c>
      <c r="G66" s="2" t="str">
        <f t="shared" si="0"/>
        <v>Pass</v>
      </c>
      <c r="Y66" s="2">
        <v>51</v>
      </c>
      <c r="Z66" s="2">
        <v>0.33160000000000001</v>
      </c>
      <c r="AA66" s="2">
        <v>0.34910000000000002</v>
      </c>
      <c r="AB66" s="2">
        <v>6.1208</v>
      </c>
    </row>
    <row r="67" spans="2:28" x14ac:dyDescent="0.4">
      <c r="B67" s="11">
        <v>50</v>
      </c>
      <c r="C67" s="16">
        <f t="shared" si="1"/>
        <v>5.2120585443614225</v>
      </c>
      <c r="D67" s="17">
        <f t="shared" si="3"/>
        <v>5.7911761604015801</v>
      </c>
      <c r="E67" s="17">
        <f t="shared" si="2"/>
        <v>6.3702937764417378</v>
      </c>
      <c r="F67" s="2">
        <v>5.8079000000000001</v>
      </c>
      <c r="G67" s="2" t="str">
        <f t="shared" si="0"/>
        <v>Pass</v>
      </c>
      <c r="Y67" s="2">
        <v>52</v>
      </c>
      <c r="Z67" s="2">
        <v>0.33169999999999999</v>
      </c>
      <c r="AA67" s="2">
        <v>0.34860000000000002</v>
      </c>
      <c r="AB67" s="2">
        <v>6.3556999999999997</v>
      </c>
    </row>
    <row r="68" spans="2:28" x14ac:dyDescent="0.4">
      <c r="B68" s="11">
        <v>51</v>
      </c>
      <c r="C68" s="16">
        <f t="shared" si="1"/>
        <v>5.443024792439755</v>
      </c>
      <c r="D68" s="17">
        <f t="shared" si="3"/>
        <v>6.0478053249330612</v>
      </c>
      <c r="E68" s="17">
        <f t="shared" si="2"/>
        <v>6.6525858574263674</v>
      </c>
      <c r="F68" s="2">
        <v>6.1208</v>
      </c>
      <c r="G68" s="2" t="str">
        <f t="shared" si="0"/>
        <v>Pass</v>
      </c>
      <c r="Y68" s="2">
        <v>53</v>
      </c>
      <c r="Z68" s="2">
        <v>0.33200000000000002</v>
      </c>
      <c r="AA68" s="2">
        <v>0.34810000000000002</v>
      </c>
      <c r="AB68" s="2">
        <v>6.6889000000000003</v>
      </c>
    </row>
    <row r="69" spans="2:28" x14ac:dyDescent="0.4">
      <c r="B69" s="11">
        <v>52</v>
      </c>
      <c r="C69" s="16">
        <f t="shared" si="1"/>
        <v>5.6794641050911432</v>
      </c>
      <c r="D69" s="17">
        <f t="shared" si="3"/>
        <v>6.3105156723234925</v>
      </c>
      <c r="E69" s="17">
        <f t="shared" si="2"/>
        <v>6.9415672395558419</v>
      </c>
      <c r="F69" s="2">
        <v>6.3556999999999997</v>
      </c>
      <c r="G69" s="2" t="str">
        <f t="shared" si="0"/>
        <v>Pass</v>
      </c>
      <c r="Y69" s="2">
        <v>54</v>
      </c>
      <c r="Z69" s="2">
        <v>0.33250000000000002</v>
      </c>
      <c r="AA69" s="2">
        <v>0.3473</v>
      </c>
      <c r="AB69" s="2">
        <v>6.9523999999999999</v>
      </c>
    </row>
    <row r="70" spans="2:28" x14ac:dyDescent="0.4">
      <c r="B70" s="11">
        <v>53</v>
      </c>
      <c r="C70" s="16">
        <f t="shared" si="1"/>
        <v>5.9213976811694575</v>
      </c>
      <c r="D70" s="17">
        <f t="shared" si="3"/>
        <v>6.5793307568549526</v>
      </c>
      <c r="E70" s="17">
        <f t="shared" si="2"/>
        <v>7.2372638325404477</v>
      </c>
      <c r="F70" s="2">
        <v>6.6889000000000003</v>
      </c>
      <c r="G70" s="2" t="str">
        <f t="shared" si="0"/>
        <v>Pass</v>
      </c>
      <c r="Y70" s="2">
        <v>55</v>
      </c>
      <c r="Z70" s="2">
        <v>0.33</v>
      </c>
      <c r="AA70" s="2">
        <v>0.3458</v>
      </c>
      <c r="AB70" s="2">
        <v>7.1848000000000001</v>
      </c>
    </row>
    <row r="71" spans="2:28" x14ac:dyDescent="0.4">
      <c r="B71" s="11">
        <v>54</v>
      </c>
      <c r="C71" s="16">
        <f t="shared" si="1"/>
        <v>6.1688463972988083</v>
      </c>
      <c r="D71" s="17">
        <f t="shared" si="3"/>
        <v>6.8542737747764537</v>
      </c>
      <c r="E71" s="17">
        <f t="shared" si="2"/>
        <v>7.5397011522540991</v>
      </c>
      <c r="F71" s="2">
        <v>6.9523999999999999</v>
      </c>
      <c r="G71" s="2" t="str">
        <f t="shared" si="0"/>
        <v>Pass</v>
      </c>
      <c r="Y71" s="2">
        <v>56</v>
      </c>
      <c r="Z71" s="2">
        <v>0.33</v>
      </c>
      <c r="AA71" s="2">
        <v>0.34570000000000001</v>
      </c>
      <c r="AB71" s="2">
        <v>7.5324</v>
      </c>
    </row>
    <row r="72" spans="2:28" x14ac:dyDescent="0.4">
      <c r="B72" s="11">
        <v>55</v>
      </c>
      <c r="C72" s="16">
        <f t="shared" si="1"/>
        <v>6.4218308186896005</v>
      </c>
      <c r="D72" s="17">
        <f t="shared" si="3"/>
        <v>7.1353675763217783</v>
      </c>
      <c r="E72" s="17">
        <f t="shared" si="2"/>
        <v>7.8489043339539561</v>
      </c>
      <c r="F72" s="2">
        <v>7.1848000000000001</v>
      </c>
      <c r="G72" s="2" t="str">
        <f t="shared" si="0"/>
        <v>Pass</v>
      </c>
      <c r="Y72" s="2">
        <v>57</v>
      </c>
      <c r="Z72" s="2">
        <v>0.33160000000000001</v>
      </c>
      <c r="AA72" s="2">
        <v>0.35139999999999999</v>
      </c>
      <c r="AB72" s="2">
        <v>7.7922000000000002</v>
      </c>
    </row>
    <row r="73" spans="2:28" x14ac:dyDescent="0.4">
      <c r="B73" s="11">
        <v>56</v>
      </c>
      <c r="C73" s="16">
        <f t="shared" si="1"/>
        <v>6.6803712094000574</v>
      </c>
      <c r="D73" s="17">
        <f t="shared" si="3"/>
        <v>7.4226346771111746</v>
      </c>
      <c r="E73" s="17">
        <f t="shared" si="2"/>
        <v>8.1648981448222919</v>
      </c>
      <c r="F73" s="2">
        <v>7.5324</v>
      </c>
      <c r="G73" s="2" t="str">
        <f t="shared" si="0"/>
        <v>Pass</v>
      </c>
      <c r="Y73" s="2">
        <v>58</v>
      </c>
      <c r="Z73" s="2">
        <v>0.33129999999999998</v>
      </c>
      <c r="AA73" s="2">
        <v>0.3513</v>
      </c>
      <c r="AB73" s="2">
        <v>8.0526</v>
      </c>
    </row>
    <row r="74" spans="2:28" x14ac:dyDescent="0.4">
      <c r="B74" s="11">
        <v>57</v>
      </c>
      <c r="C74" s="16">
        <f t="shared" si="1"/>
        <v>6.9444875420812098</v>
      </c>
      <c r="D74" s="17">
        <f t="shared" si="3"/>
        <v>7.7160972689791221</v>
      </c>
      <c r="E74" s="17">
        <f t="shared" si="2"/>
        <v>8.4877069958770335</v>
      </c>
      <c r="F74" s="2">
        <v>7.7922000000000002</v>
      </c>
      <c r="G74" s="2" t="str">
        <f t="shared" si="0"/>
        <v>Pass</v>
      </c>
      <c r="Y74" s="2">
        <v>59</v>
      </c>
      <c r="Z74" s="2">
        <v>0.33069999999999999</v>
      </c>
      <c r="AA74" s="2">
        <v>0.34989999999999999</v>
      </c>
      <c r="AB74" s="2">
        <v>8.4041999999999994</v>
      </c>
    </row>
    <row r="75" spans="2:28" x14ac:dyDescent="0.4">
      <c r="B75" s="11">
        <v>58</v>
      </c>
      <c r="C75" s="16">
        <f t="shared" si="1"/>
        <v>7.2141995072399991</v>
      </c>
      <c r="D75" s="17">
        <f t="shared" si="3"/>
        <v>8.0157772302666661</v>
      </c>
      <c r="E75" s="17">
        <f t="shared" si="2"/>
        <v>8.8173549532933322</v>
      </c>
      <c r="F75" s="2">
        <v>8.0526</v>
      </c>
      <c r="G75" s="2" t="str">
        <f t="shared" si="0"/>
        <v>Pass</v>
      </c>
      <c r="Y75" s="2">
        <v>60</v>
      </c>
      <c r="Z75" s="2">
        <v>0.33090000000000003</v>
      </c>
      <c r="AA75" s="2">
        <v>0.3498</v>
      </c>
      <c r="AB75" s="2">
        <v>8.6875999999999998</v>
      </c>
    </row>
    <row r="76" spans="2:28" x14ac:dyDescent="0.4">
      <c r="B76" s="11">
        <v>59</v>
      </c>
      <c r="C76" s="16">
        <f t="shared" si="1"/>
        <v>7.4895265220521949</v>
      </c>
      <c r="D76" s="17">
        <f t="shared" si="3"/>
        <v>8.3216961356135499</v>
      </c>
      <c r="E76" s="17">
        <f t="shared" si="2"/>
        <v>9.1538657491749049</v>
      </c>
      <c r="F76" s="2">
        <v>8.4041999999999994</v>
      </c>
      <c r="G76" s="2" t="str">
        <f t="shared" si="0"/>
        <v>Pass</v>
      </c>
      <c r="Y76" s="2">
        <v>61</v>
      </c>
      <c r="Z76" s="2">
        <v>0.32979999999999998</v>
      </c>
      <c r="AA76" s="2">
        <v>0.34970000000000001</v>
      </c>
      <c r="AB76" s="2">
        <v>9.0523000000000007</v>
      </c>
    </row>
    <row r="77" spans="2:28" x14ac:dyDescent="0.4">
      <c r="B77" s="11">
        <v>60</v>
      </c>
      <c r="C77" s="16">
        <f t="shared" si="1"/>
        <v>7.7704877387544418</v>
      </c>
      <c r="D77" s="17">
        <f t="shared" si="3"/>
        <v>8.6338752652827129</v>
      </c>
      <c r="E77" s="17">
        <f t="shared" si="2"/>
        <v>9.497262791810984</v>
      </c>
      <c r="F77" s="2">
        <v>8.6875999999999998</v>
      </c>
      <c r="G77" s="2" t="str">
        <f t="shared" si="0"/>
        <v>Pass</v>
      </c>
      <c r="Y77" s="2">
        <v>62</v>
      </c>
      <c r="Z77" s="2">
        <v>0.33040000000000003</v>
      </c>
      <c r="AA77" s="2">
        <v>0.34960000000000002</v>
      </c>
      <c r="AB77" s="2">
        <v>9.3942999999999994</v>
      </c>
    </row>
    <row r="78" spans="2:28" x14ac:dyDescent="0.4">
      <c r="B78" s="11">
        <v>61</v>
      </c>
      <c r="C78" s="16">
        <f t="shared" si="1"/>
        <v>8.0571020526421755</v>
      </c>
      <c r="D78" s="17">
        <f t="shared" si="3"/>
        <v>8.9523356140468611</v>
      </c>
      <c r="E78" s="17">
        <f t="shared" si="2"/>
        <v>9.8475691754515466</v>
      </c>
      <c r="F78" s="2">
        <v>9.0523000000000007</v>
      </c>
      <c r="G78" s="2" t="str">
        <f t="shared" si="0"/>
        <v>Pass</v>
      </c>
      <c r="Y78" s="2">
        <v>63</v>
      </c>
      <c r="Z78" s="2">
        <v>0.32919999999999999</v>
      </c>
      <c r="AA78" s="2">
        <v>0.34939999999999999</v>
      </c>
      <c r="AB78" s="2">
        <v>9.8374000000000006</v>
      </c>
    </row>
    <row r="79" spans="2:28" x14ac:dyDescent="0.4">
      <c r="B79" s="11">
        <v>62</v>
      </c>
      <c r="C79" s="16">
        <f t="shared" si="1"/>
        <v>8.3493881096980953</v>
      </c>
      <c r="D79" s="17">
        <f t="shared" si="3"/>
        <v>9.2770978996645503</v>
      </c>
      <c r="E79" s="17">
        <f t="shared" si="2"/>
        <v>10.204807689631005</v>
      </c>
      <c r="F79" s="2">
        <v>9.3942999999999994</v>
      </c>
      <c r="G79" s="2" t="str">
        <f t="shared" si="0"/>
        <v>Pass</v>
      </c>
      <c r="Y79" s="2">
        <v>64</v>
      </c>
      <c r="Z79" s="2">
        <v>0.33090000000000003</v>
      </c>
      <c r="AA79" s="2">
        <v>0.35470000000000002</v>
      </c>
      <c r="AB79" s="2">
        <v>10.1539</v>
      </c>
    </row>
    <row r="80" spans="2:28" x14ac:dyDescent="0.4">
      <c r="B80" s="11">
        <v>63</v>
      </c>
      <c r="C80" s="16">
        <f t="shared" si="1"/>
        <v>8.647364313874089</v>
      </c>
      <c r="D80" s="17">
        <f t="shared" si="3"/>
        <v>9.608182570971211</v>
      </c>
      <c r="E80" s="17">
        <f t="shared" si="2"/>
        <v>10.569000828068333</v>
      </c>
      <c r="F80" s="2">
        <v>9.8374000000000006</v>
      </c>
      <c r="G80" s="2" t="str">
        <f t="shared" si="0"/>
        <v>Pass</v>
      </c>
      <c r="Y80" s="2">
        <v>65</v>
      </c>
      <c r="Z80" s="2">
        <v>0.3337</v>
      </c>
      <c r="AA80" s="2">
        <v>0.35060000000000002</v>
      </c>
      <c r="AB80" s="2">
        <v>10.245900000000001</v>
      </c>
    </row>
    <row r="81" spans="2:28" x14ac:dyDescent="0.4">
      <c r="B81" s="11">
        <v>64</v>
      </c>
      <c r="C81" s="16">
        <f t="shared" si="1"/>
        <v>8.9510488340474961</v>
      </c>
      <c r="D81" s="17">
        <f t="shared" si="3"/>
        <v>9.9456098156083286</v>
      </c>
      <c r="E81" s="17">
        <f t="shared" si="2"/>
        <v>10.940170797169161</v>
      </c>
      <c r="F81" s="2">
        <v>10.1539</v>
      </c>
      <c r="G81" s="2" t="str">
        <f t="shared" ref="G81:G144" si="4">IF(F81&lt;=C81,"Fail",IF(AND(C81&lt;F81,F81&lt;E81),"Pass",IF(E81&lt;=F81,"Fail")))</f>
        <v>Pass</v>
      </c>
      <c r="Y81" s="2">
        <v>66</v>
      </c>
      <c r="Z81" s="2">
        <v>0.33329999999999999</v>
      </c>
      <c r="AA81" s="2">
        <v>0.35039999999999999</v>
      </c>
      <c r="AB81" s="2">
        <v>10.6165</v>
      </c>
    </row>
    <row r="82" spans="2:28" x14ac:dyDescent="0.4">
      <c r="B82" s="11">
        <v>65</v>
      </c>
      <c r="C82" s="16">
        <f t="shared" ref="C82:C145" si="5">D82-D82*(C$14/100)</f>
        <v>9.2604596106712833</v>
      </c>
      <c r="D82" s="17">
        <f t="shared" si="3"/>
        <v>10.289399567412538</v>
      </c>
      <c r="E82" s="17">
        <f t="shared" ref="E82:E145" si="6">D82+D82*(C$14/100)</f>
        <v>11.318339524153792</v>
      </c>
      <c r="F82" s="2">
        <v>10.245900000000001</v>
      </c>
      <c r="G82" s="2" t="str">
        <f t="shared" si="4"/>
        <v>Pass</v>
      </c>
      <c r="Y82" s="2">
        <v>67</v>
      </c>
      <c r="Z82" s="2">
        <v>0.33279999999999998</v>
      </c>
      <c r="AA82" s="2">
        <v>0.35010000000000002</v>
      </c>
      <c r="AB82" s="2">
        <v>11.042400000000001</v>
      </c>
    </row>
    <row r="83" spans="2:28" x14ac:dyDescent="0.4">
      <c r="B83" s="11">
        <v>66</v>
      </c>
      <c r="C83" s="16">
        <f t="shared" si="5"/>
        <v>9.5756143621360756</v>
      </c>
      <c r="D83" s="17">
        <f t="shared" ref="D83:D146" si="7">D$272*((B83+F$17)/B$272)^C$13</f>
        <v>10.639571513484528</v>
      </c>
      <c r="E83" s="17">
        <f t="shared" si="6"/>
        <v>11.70352866483298</v>
      </c>
      <c r="F83" s="2">
        <v>10.6165</v>
      </c>
      <c r="G83" s="2" t="str">
        <f t="shared" si="4"/>
        <v>Pass</v>
      </c>
      <c r="Y83" s="2">
        <v>68</v>
      </c>
      <c r="Z83" s="2">
        <v>0.33129999999999998</v>
      </c>
      <c r="AA83" s="2">
        <v>0.35339999999999999</v>
      </c>
      <c r="AB83" s="2">
        <v>11.2738</v>
      </c>
    </row>
    <row r="84" spans="2:28" x14ac:dyDescent="0.4">
      <c r="B84" s="11">
        <v>67</v>
      </c>
      <c r="C84" s="16">
        <f t="shared" si="5"/>
        <v>9.8965305908606744</v>
      </c>
      <c r="D84" s="17">
        <f t="shared" si="7"/>
        <v>10.996145100956305</v>
      </c>
      <c r="E84" s="17">
        <f t="shared" si="6"/>
        <v>12.095759611051935</v>
      </c>
      <c r="F84" s="2">
        <v>11.042400000000001</v>
      </c>
      <c r="G84" s="2" t="str">
        <f t="shared" si="4"/>
        <v>Pass</v>
      </c>
      <c r="Y84" s="2">
        <v>69</v>
      </c>
      <c r="Z84" s="2">
        <v>0.33119999999999999</v>
      </c>
      <c r="AA84" s="2">
        <v>0.35270000000000001</v>
      </c>
      <c r="AB84" s="2">
        <v>11.7128</v>
      </c>
    </row>
    <row r="85" spans="2:28" x14ac:dyDescent="0.4">
      <c r="B85" s="11">
        <v>68</v>
      </c>
      <c r="C85" s="16">
        <f t="shared" si="5"/>
        <v>10.223225589126736</v>
      </c>
      <c r="D85" s="17">
        <f t="shared" si="7"/>
        <v>11.359139543474152</v>
      </c>
      <c r="E85" s="17">
        <f t="shared" si="6"/>
        <v>12.495053497821567</v>
      </c>
      <c r="F85" s="2">
        <v>11.2738</v>
      </c>
      <c r="G85" s="2" t="str">
        <f t="shared" si="4"/>
        <v>Pass</v>
      </c>
      <c r="Y85" s="2">
        <v>70</v>
      </c>
      <c r="Z85" s="2">
        <v>0.33090000000000003</v>
      </c>
      <c r="AA85" s="2">
        <v>0.35260000000000002</v>
      </c>
      <c r="AB85" s="2">
        <v>12.071400000000001</v>
      </c>
    </row>
    <row r="86" spans="2:28" x14ac:dyDescent="0.4">
      <c r="B86" s="11">
        <v>69</v>
      </c>
      <c r="C86" s="16">
        <f t="shared" si="5"/>
        <v>10.555716444671717</v>
      </c>
      <c r="D86" s="17">
        <f t="shared" si="7"/>
        <v>11.728573827413019</v>
      </c>
      <c r="E86" s="17">
        <f t="shared" si="6"/>
        <v>12.901431210154321</v>
      </c>
      <c r="F86" s="2">
        <v>11.7128</v>
      </c>
      <c r="G86" s="2" t="str">
        <f t="shared" si="4"/>
        <v>Pass</v>
      </c>
      <c r="Y86" s="2">
        <v>71</v>
      </c>
      <c r="Z86" s="2">
        <v>0.3301</v>
      </c>
      <c r="AA86" s="2">
        <v>0.35139999999999999</v>
      </c>
      <c r="AB86" s="2">
        <v>12.331</v>
      </c>
    </row>
    <row r="87" spans="2:28" x14ac:dyDescent="0.4">
      <c r="B87" s="11">
        <v>70</v>
      </c>
      <c r="C87" s="16">
        <f t="shared" si="5"/>
        <v>10.894020046053736</v>
      </c>
      <c r="D87" s="17">
        <f t="shared" si="7"/>
        <v>12.104466717837484</v>
      </c>
      <c r="E87" s="17">
        <f t="shared" si="6"/>
        <v>13.314913389621232</v>
      </c>
      <c r="F87" s="2">
        <v>12.071400000000001</v>
      </c>
      <c r="G87" s="2" t="str">
        <f t="shared" si="4"/>
        <v>Pass</v>
      </c>
      <c r="Y87" s="2">
        <v>72</v>
      </c>
      <c r="Z87" s="2">
        <v>0.33129999999999998</v>
      </c>
      <c r="AA87" s="2">
        <v>0.34770000000000001</v>
      </c>
      <c r="AB87" s="2">
        <v>12.471299999999999</v>
      </c>
    </row>
    <row r="88" spans="2:28" x14ac:dyDescent="0.4">
      <c r="B88" s="11">
        <v>71</v>
      </c>
      <c r="C88" s="16">
        <f t="shared" si="5"/>
        <v>11.238153087800617</v>
      </c>
      <c r="D88" s="17">
        <f t="shared" si="7"/>
        <v>12.486836764222907</v>
      </c>
      <c r="E88" s="17">
        <f t="shared" si="6"/>
        <v>13.735520440645198</v>
      </c>
      <c r="F88" s="2">
        <v>12.331</v>
      </c>
      <c r="G88" s="2" t="str">
        <f t="shared" si="4"/>
        <v>Pass</v>
      </c>
      <c r="Y88" s="2">
        <v>73</v>
      </c>
      <c r="Z88" s="2">
        <v>0.33189999999999997</v>
      </c>
      <c r="AA88" s="2">
        <v>0.3498</v>
      </c>
      <c r="AB88" s="2">
        <v>12.979799999999999</v>
      </c>
    </row>
    <row r="89" spans="2:28" x14ac:dyDescent="0.4">
      <c r="B89" s="11">
        <v>72</v>
      </c>
      <c r="C89" s="16">
        <f t="shared" si="5"/>
        <v>11.58813207535481</v>
      </c>
      <c r="D89" s="17">
        <f t="shared" si="7"/>
        <v>12.875702305949789</v>
      </c>
      <c r="E89" s="17">
        <f t="shared" si="6"/>
        <v>14.163272536544767</v>
      </c>
      <c r="F89" s="2">
        <v>12.471299999999999</v>
      </c>
      <c r="G89" s="2" t="str">
        <f t="shared" si="4"/>
        <v>Pass</v>
      </c>
      <c r="Y89" s="2">
        <v>74</v>
      </c>
      <c r="Z89" s="2">
        <v>0.3322</v>
      </c>
      <c r="AA89" s="2">
        <v>0.34989999999999999</v>
      </c>
      <c r="AB89" s="2">
        <v>13.3248</v>
      </c>
    </row>
    <row r="90" spans="2:28" x14ac:dyDescent="0.4">
      <c r="B90" s="11">
        <v>73</v>
      </c>
      <c r="C90" s="16">
        <f t="shared" si="5"/>
        <v>11.94397332982502</v>
      </c>
      <c r="D90" s="17">
        <f t="shared" si="7"/>
        <v>13.271081477583357</v>
      </c>
      <c r="E90" s="17">
        <f t="shared" si="6"/>
        <v>14.598189625341693</v>
      </c>
      <c r="F90" s="2">
        <v>12.979799999999999</v>
      </c>
      <c r="G90" s="2" t="str">
        <f t="shared" si="4"/>
        <v>Pass</v>
      </c>
      <c r="Y90" s="2">
        <v>75</v>
      </c>
      <c r="Z90" s="2">
        <v>0.33179999999999998</v>
      </c>
      <c r="AA90" s="2">
        <v>0.34989999999999999</v>
      </c>
      <c r="AB90" s="2">
        <v>13.7342</v>
      </c>
    </row>
    <row r="91" spans="2:28" x14ac:dyDescent="0.4">
      <c r="B91" s="11">
        <v>74</v>
      </c>
      <c r="C91" s="16">
        <f t="shared" si="5"/>
        <v>12.305692992554642</v>
      </c>
      <c r="D91" s="17">
        <f t="shared" si="7"/>
        <v>13.672992213949602</v>
      </c>
      <c r="E91" s="17">
        <f t="shared" si="6"/>
        <v>15.040291435344562</v>
      </c>
      <c r="F91" s="2">
        <v>13.3248</v>
      </c>
      <c r="G91" s="2" t="str">
        <f t="shared" si="4"/>
        <v>Pass</v>
      </c>
      <c r="Y91" s="2">
        <v>76</v>
      </c>
      <c r="Z91" s="2">
        <v>0.33200000000000002</v>
      </c>
      <c r="AA91" s="2">
        <v>0.3493</v>
      </c>
      <c r="AB91" s="2">
        <v>14.2616</v>
      </c>
    </row>
    <row r="92" spans="2:28" x14ac:dyDescent="0.4">
      <c r="B92" s="11">
        <v>75</v>
      </c>
      <c r="C92" s="16">
        <f t="shared" si="5"/>
        <v>12.673307029516385</v>
      </c>
      <c r="D92" s="17">
        <f t="shared" si="7"/>
        <v>14.081452255018206</v>
      </c>
      <c r="E92" s="17">
        <f t="shared" si="6"/>
        <v>15.489597480520027</v>
      </c>
      <c r="F92" s="2">
        <v>13.7342</v>
      </c>
      <c r="G92" s="2" t="str">
        <f t="shared" si="4"/>
        <v>Pass</v>
      </c>
      <c r="Y92" s="2">
        <v>77</v>
      </c>
      <c r="Z92" s="2">
        <v>0.3332</v>
      </c>
      <c r="AA92" s="2">
        <v>0.35389999999999999</v>
      </c>
      <c r="AB92" s="2">
        <v>14.6624</v>
      </c>
    </row>
    <row r="93" spans="2:28" x14ac:dyDescent="0.4">
      <c r="B93" s="11">
        <v>76</v>
      </c>
      <c r="C93" s="16">
        <f t="shared" si="5"/>
        <v>13.046831235542136</v>
      </c>
      <c r="D93" s="17">
        <f t="shared" si="7"/>
        <v>14.496479150602374</v>
      </c>
      <c r="E93" s="17">
        <f t="shared" si="6"/>
        <v>15.946127065662612</v>
      </c>
      <c r="F93" s="2">
        <v>14.2616</v>
      </c>
      <c r="G93" s="2" t="str">
        <f t="shared" si="4"/>
        <v>Pass</v>
      </c>
      <c r="Y93" s="2">
        <v>78</v>
      </c>
      <c r="Z93" s="2">
        <v>0.33210000000000001</v>
      </c>
      <c r="AA93" s="2">
        <v>0.35239999999999999</v>
      </c>
      <c r="AB93" s="2">
        <v>15.1045</v>
      </c>
    </row>
    <row r="94" spans="2:28" x14ac:dyDescent="0.4">
      <c r="B94" s="11">
        <v>77</v>
      </c>
      <c r="C94" s="16">
        <f t="shared" si="5"/>
        <v>13.426281238396117</v>
      </c>
      <c r="D94" s="17">
        <f t="shared" si="7"/>
        <v>14.918090264884574</v>
      </c>
      <c r="E94" s="17">
        <f t="shared" si="6"/>
        <v>16.40989929137303</v>
      </c>
      <c r="F94" s="2">
        <v>14.6624</v>
      </c>
      <c r="G94" s="2" t="str">
        <f t="shared" si="4"/>
        <v>Pass</v>
      </c>
      <c r="Y94" s="2">
        <v>79</v>
      </c>
      <c r="Z94" s="2">
        <v>0.3322</v>
      </c>
      <c r="AA94" s="2">
        <v>0.35210000000000002</v>
      </c>
      <c r="AB94" s="2">
        <v>15.6198</v>
      </c>
    </row>
    <row r="95" spans="2:28" x14ac:dyDescent="0.4">
      <c r="B95" s="11">
        <v>78</v>
      </c>
      <c r="C95" s="16">
        <f t="shared" si="5"/>
        <v>13.811672502699214</v>
      </c>
      <c r="D95" s="17">
        <f t="shared" si="7"/>
        <v>15.346302780776904</v>
      </c>
      <c r="E95" s="17">
        <f t="shared" si="6"/>
        <v>16.880933058854595</v>
      </c>
      <c r="F95" s="2">
        <v>15.1045</v>
      </c>
      <c r="G95" s="2" t="str">
        <f t="shared" si="4"/>
        <v>Pass</v>
      </c>
      <c r="Y95" s="2">
        <v>80</v>
      </c>
      <c r="Z95" s="2">
        <v>0.33339999999999997</v>
      </c>
      <c r="AA95" s="2">
        <v>0.34920000000000001</v>
      </c>
      <c r="AB95" s="2">
        <v>15.783200000000001</v>
      </c>
    </row>
    <row r="96" spans="2:28" x14ac:dyDescent="0.4">
      <c r="B96" s="11">
        <v>79</v>
      </c>
      <c r="C96" s="16">
        <f t="shared" si="5"/>
        <v>14.203020333711788</v>
      </c>
      <c r="D96" s="17">
        <f t="shared" si="7"/>
        <v>15.781133704124208</v>
      </c>
      <c r="E96" s="17">
        <f t="shared" si="6"/>
        <v>17.359247074536629</v>
      </c>
      <c r="F96" s="2">
        <v>15.6198</v>
      </c>
      <c r="G96" s="2" t="str">
        <f t="shared" si="4"/>
        <v>Pass</v>
      </c>
      <c r="Y96" s="2">
        <v>81</v>
      </c>
      <c r="Z96" s="2">
        <v>0.33289999999999997</v>
      </c>
      <c r="AA96" s="2">
        <v>0.34839999999999999</v>
      </c>
      <c r="AB96" s="2">
        <v>16.215599999999998</v>
      </c>
    </row>
    <row r="97" spans="2:28" x14ac:dyDescent="0.4">
      <c r="B97" s="11">
        <v>80</v>
      </c>
      <c r="C97" s="16">
        <f t="shared" si="5"/>
        <v>14.60033988098178</v>
      </c>
      <c r="D97" s="17">
        <f t="shared" si="7"/>
        <v>16.222599867757534</v>
      </c>
      <c r="E97" s="17">
        <f t="shared" si="6"/>
        <v>17.844859854533286</v>
      </c>
      <c r="F97" s="2">
        <v>15.783200000000001</v>
      </c>
      <c r="G97" s="2" t="str">
        <f t="shared" si="4"/>
        <v>Pass</v>
      </c>
      <c r="Y97" s="2">
        <v>82</v>
      </c>
      <c r="Z97" s="2">
        <v>0.33389999999999997</v>
      </c>
      <c r="AA97" s="2">
        <v>0.35010000000000002</v>
      </c>
      <c r="AB97" s="2">
        <v>16.7193</v>
      </c>
    </row>
    <row r="98" spans="2:28" x14ac:dyDescent="0.4">
      <c r="B98" s="11">
        <v>81</v>
      </c>
      <c r="C98" s="16">
        <f t="shared" si="5"/>
        <v>15.003646141864497</v>
      </c>
      <c r="D98" s="17">
        <f t="shared" si="7"/>
        <v>16.670717935404998</v>
      </c>
      <c r="E98" s="17">
        <f t="shared" si="6"/>
        <v>18.337789728945499</v>
      </c>
      <c r="F98" s="2">
        <v>16.215599999999998</v>
      </c>
      <c r="G98" s="2" t="str">
        <f t="shared" si="4"/>
        <v>Pass</v>
      </c>
      <c r="Y98" s="2">
        <v>83</v>
      </c>
      <c r="Z98" s="2">
        <v>0.3332</v>
      </c>
      <c r="AA98" s="2">
        <v>0.34970000000000001</v>
      </c>
      <c r="AB98" s="2">
        <v>17.208500000000001</v>
      </c>
    </row>
    <row r="99" spans="2:28" x14ac:dyDescent="0.4">
      <c r="B99" s="11">
        <v>82</v>
      </c>
      <c r="C99" s="16">
        <f t="shared" si="5"/>
        <v>15.41295396492019</v>
      </c>
      <c r="D99" s="17">
        <f t="shared" si="7"/>
        <v>17.125504405466877</v>
      </c>
      <c r="E99" s="17">
        <f t="shared" si="6"/>
        <v>18.838054846013566</v>
      </c>
      <c r="F99" s="2">
        <v>16.7193</v>
      </c>
      <c r="G99" s="2" t="str">
        <f t="shared" si="4"/>
        <v>Pass</v>
      </c>
      <c r="Y99" s="2">
        <v>84</v>
      </c>
      <c r="Z99" s="2">
        <v>0.33300000000000002</v>
      </c>
      <c r="AA99" s="2">
        <v>0.34960000000000002</v>
      </c>
      <c r="AB99" s="2">
        <v>17.658300000000001</v>
      </c>
    </row>
    <row r="100" spans="2:28" x14ac:dyDescent="0.4">
      <c r="B100" s="11">
        <v>83</v>
      </c>
      <c r="C100" s="16">
        <f t="shared" si="5"/>
        <v>15.828278053195024</v>
      </c>
      <c r="D100" s="17">
        <f t="shared" si="7"/>
        <v>17.586975614661139</v>
      </c>
      <c r="E100" s="17">
        <f t="shared" si="6"/>
        <v>19.345673176127253</v>
      </c>
      <c r="F100" s="2">
        <v>17.208500000000001</v>
      </c>
      <c r="G100" s="2" t="str">
        <f t="shared" si="4"/>
        <v>Pass</v>
      </c>
      <c r="Y100" s="2">
        <v>85</v>
      </c>
      <c r="Z100" s="2">
        <v>0.33310000000000001</v>
      </c>
      <c r="AA100" s="2">
        <v>0.3493</v>
      </c>
      <c r="AB100" s="2">
        <v>18.189900000000002</v>
      </c>
    </row>
    <row r="101" spans="2:28" x14ac:dyDescent="0.4">
      <c r="B101" s="11">
        <v>84</v>
      </c>
      <c r="C101" s="16">
        <f t="shared" si="5"/>
        <v>16.249632967391022</v>
      </c>
      <c r="D101" s="17">
        <f t="shared" si="7"/>
        <v>18.055147741545579</v>
      </c>
      <c r="E101" s="17">
        <f t="shared" si="6"/>
        <v>19.860662515700135</v>
      </c>
      <c r="F101" s="2">
        <v>17.658300000000001</v>
      </c>
      <c r="G101" s="2" t="str">
        <f t="shared" si="4"/>
        <v>Pass</v>
      </c>
      <c r="Y101" s="2">
        <v>86</v>
      </c>
      <c r="Z101" s="2">
        <v>0.33439999999999998</v>
      </c>
      <c r="AA101" s="2">
        <v>0.35339999999999999</v>
      </c>
      <c r="AB101" s="2">
        <v>18.701699999999999</v>
      </c>
    </row>
    <row r="102" spans="2:28" x14ac:dyDescent="0.4">
      <c r="B102" s="11">
        <v>85</v>
      </c>
      <c r="C102" s="16">
        <f t="shared" si="5"/>
        <v>16.677033128929672</v>
      </c>
      <c r="D102" s="17">
        <f t="shared" si="7"/>
        <v>18.530036809921857</v>
      </c>
      <c r="E102" s="17">
        <f t="shared" si="6"/>
        <v>20.383040490914041</v>
      </c>
      <c r="F102" s="2">
        <v>18.189900000000002</v>
      </c>
      <c r="G102" s="2" t="str">
        <f t="shared" si="4"/>
        <v>Pass</v>
      </c>
      <c r="Y102" s="2">
        <v>87</v>
      </c>
      <c r="Z102" s="2">
        <v>0.33410000000000001</v>
      </c>
      <c r="AA102" s="2">
        <v>0.35299999999999998</v>
      </c>
      <c r="AB102" s="2">
        <v>19.1798</v>
      </c>
    </row>
    <row r="103" spans="2:28" x14ac:dyDescent="0.4">
      <c r="B103" s="11">
        <v>86</v>
      </c>
      <c r="C103" s="16">
        <f t="shared" si="5"/>
        <v>17.110492822914331</v>
      </c>
      <c r="D103" s="17">
        <f t="shared" si="7"/>
        <v>19.011658692127035</v>
      </c>
      <c r="E103" s="17">
        <f t="shared" si="6"/>
        <v>20.91282456133974</v>
      </c>
      <c r="F103" s="2">
        <v>18.701699999999999</v>
      </c>
      <c r="G103" s="2" t="str">
        <f t="shared" si="4"/>
        <v>Pass</v>
      </c>
      <c r="Y103" s="2">
        <v>88</v>
      </c>
      <c r="Z103" s="2">
        <v>0.33260000000000001</v>
      </c>
      <c r="AA103" s="2">
        <v>0.35189999999999999</v>
      </c>
      <c r="AB103" s="2">
        <v>19.720199999999998</v>
      </c>
    </row>
    <row r="104" spans="2:28" x14ac:dyDescent="0.4">
      <c r="B104" s="11">
        <v>87</v>
      </c>
      <c r="C104" s="16">
        <f t="shared" si="5"/>
        <v>17.550026200995667</v>
      </c>
      <c r="D104" s="17">
        <f t="shared" si="7"/>
        <v>19.500029112217408</v>
      </c>
      <c r="E104" s="17">
        <f t="shared" si="6"/>
        <v>21.450032023439149</v>
      </c>
      <c r="F104" s="2">
        <v>19.1798</v>
      </c>
      <c r="G104" s="2" t="str">
        <f t="shared" si="4"/>
        <v>Pass</v>
      </c>
      <c r="Y104" s="2">
        <v>89</v>
      </c>
      <c r="Z104" s="2">
        <v>0.33189999999999997</v>
      </c>
      <c r="AA104" s="2">
        <v>0.35010000000000002</v>
      </c>
      <c r="AB104" s="2">
        <v>20.139900000000001</v>
      </c>
    </row>
    <row r="105" spans="2:28" x14ac:dyDescent="0.4">
      <c r="B105" s="11">
        <v>88</v>
      </c>
      <c r="C105" s="16">
        <f t="shared" si="5"/>
        <v>17.995647284144496</v>
      </c>
      <c r="D105" s="17">
        <f t="shared" si="7"/>
        <v>19.995163649049442</v>
      </c>
      <c r="E105" s="17">
        <f t="shared" si="6"/>
        <v>21.994680013954387</v>
      </c>
      <c r="F105" s="2">
        <v>19.720199999999998</v>
      </c>
      <c r="G105" s="2" t="str">
        <f t="shared" si="4"/>
        <v>Pass</v>
      </c>
      <c r="Y105" s="2">
        <v>90</v>
      </c>
      <c r="Z105" s="2">
        <v>0.33169999999999999</v>
      </c>
      <c r="AA105" s="2">
        <v>0.3498</v>
      </c>
      <c r="AB105" s="2">
        <v>20.827400000000001</v>
      </c>
    </row>
    <row r="106" spans="2:28" x14ac:dyDescent="0.4">
      <c r="B106" s="11">
        <v>89</v>
      </c>
      <c r="C106" s="16">
        <f t="shared" si="5"/>
        <v>18.447369965336122</v>
      </c>
      <c r="D106" s="17">
        <f t="shared" si="7"/>
        <v>20.497077739262359</v>
      </c>
      <c r="E106" s="17">
        <f t="shared" si="6"/>
        <v>22.546785513188595</v>
      </c>
      <c r="F106" s="2">
        <v>20.139900000000001</v>
      </c>
      <c r="G106" s="2" t="str">
        <f t="shared" si="4"/>
        <v>Pass</v>
      </c>
      <c r="Y106" s="2">
        <v>91</v>
      </c>
      <c r="Z106" s="2">
        <v>0.3332</v>
      </c>
      <c r="AA106" s="2">
        <v>0.35349999999999998</v>
      </c>
      <c r="AB106" s="2">
        <v>21.340499999999999</v>
      </c>
    </row>
    <row r="107" spans="2:28" x14ac:dyDescent="0.4">
      <c r="B107" s="11">
        <v>90</v>
      </c>
      <c r="C107" s="16">
        <f t="shared" si="5"/>
        <v>18.905208012149664</v>
      </c>
      <c r="D107" s="17">
        <f t="shared" si="7"/>
        <v>21.005786680166295</v>
      </c>
      <c r="E107" s="17">
        <f t="shared" si="6"/>
        <v>23.106365348182926</v>
      </c>
      <c r="F107" s="2">
        <v>20.827400000000001</v>
      </c>
      <c r="G107" s="2" t="str">
        <f t="shared" si="4"/>
        <v>Pass</v>
      </c>
      <c r="Y107" s="2">
        <v>92</v>
      </c>
      <c r="Z107" s="2">
        <v>0.33429999999999999</v>
      </c>
      <c r="AA107" s="2">
        <v>0.35070000000000001</v>
      </c>
      <c r="AB107" s="2">
        <v>21.430099999999999</v>
      </c>
    </row>
    <row r="108" spans="2:28" x14ac:dyDescent="0.4">
      <c r="B108" s="11">
        <v>91</v>
      </c>
      <c r="C108" s="16">
        <f t="shared" si="5"/>
        <v>19.369175069286367</v>
      </c>
      <c r="D108" s="17">
        <f t="shared" si="7"/>
        <v>21.521305632540408</v>
      </c>
      <c r="E108" s="17">
        <f t="shared" si="6"/>
        <v>23.673436195794448</v>
      </c>
      <c r="F108" s="2">
        <v>21.340499999999999</v>
      </c>
      <c r="G108" s="2" t="str">
        <f t="shared" si="4"/>
        <v>Pass</v>
      </c>
      <c r="Y108" s="2">
        <v>93</v>
      </c>
      <c r="Z108" s="2">
        <v>0.33450000000000002</v>
      </c>
      <c r="AA108" s="2">
        <v>0.35039999999999999</v>
      </c>
      <c r="AB108" s="2">
        <v>22.032599999999999</v>
      </c>
    </row>
    <row r="109" spans="2:28" x14ac:dyDescent="0.4">
      <c r="B109" s="11">
        <v>92</v>
      </c>
      <c r="C109" s="16">
        <f t="shared" si="5"/>
        <v>19.839284661010062</v>
      </c>
      <c r="D109" s="17">
        <f t="shared" si="7"/>
        <v>22.043649623344514</v>
      </c>
      <c r="E109" s="17">
        <f t="shared" si="6"/>
        <v>24.248014585678966</v>
      </c>
      <c r="F109" s="2">
        <v>21.430099999999999</v>
      </c>
      <c r="G109" s="2" t="str">
        <f t="shared" si="4"/>
        <v>Pass</v>
      </c>
      <c r="Y109" s="2">
        <v>94</v>
      </c>
      <c r="Z109" s="2">
        <v>0.3347</v>
      </c>
      <c r="AA109" s="2">
        <v>0.3498</v>
      </c>
      <c r="AB109" s="2">
        <v>22.690999999999999</v>
      </c>
    </row>
    <row r="110" spans="2:28" x14ac:dyDescent="0.4">
      <c r="B110" s="11">
        <v>93</v>
      </c>
      <c r="C110" s="16">
        <f t="shared" si="5"/>
        <v>20.315550193512983</v>
      </c>
      <c r="D110" s="17">
        <f t="shared" si="7"/>
        <v>22.572833548347759</v>
      </c>
      <c r="E110" s="17">
        <f t="shared" si="6"/>
        <v>24.830116903182535</v>
      </c>
      <c r="F110" s="2">
        <v>22.032599999999999</v>
      </c>
      <c r="G110" s="2" t="str">
        <f t="shared" si="4"/>
        <v>Pass</v>
      </c>
      <c r="Y110" s="2">
        <v>95</v>
      </c>
      <c r="Z110" s="2">
        <v>0.33439999999999998</v>
      </c>
      <c r="AA110" s="2">
        <v>0.3498</v>
      </c>
      <c r="AB110" s="2">
        <v>23.124700000000001</v>
      </c>
    </row>
    <row r="111" spans="2:28" x14ac:dyDescent="0.4">
      <c r="B111" s="11">
        <v>94</v>
      </c>
      <c r="C111" s="16">
        <f t="shared" si="5"/>
        <v>20.797984957210115</v>
      </c>
      <c r="D111" s="17">
        <f t="shared" si="7"/>
        <v>23.108872174677906</v>
      </c>
      <c r="E111" s="17">
        <f t="shared" si="6"/>
        <v>25.419759392145696</v>
      </c>
      <c r="F111" s="2">
        <v>22.690999999999999</v>
      </c>
      <c r="G111" s="2" t="str">
        <f t="shared" si="4"/>
        <v>Pass</v>
      </c>
      <c r="Y111" s="2">
        <v>96</v>
      </c>
      <c r="Z111" s="2">
        <v>0.33400000000000002</v>
      </c>
      <c r="AA111" s="2">
        <v>0.34989999999999999</v>
      </c>
      <c r="AB111" s="2">
        <v>23.861699999999999</v>
      </c>
    </row>
    <row r="112" spans="2:28" x14ac:dyDescent="0.4">
      <c r="B112" s="11">
        <v>95</v>
      </c>
      <c r="C112" s="16">
        <f t="shared" si="5"/>
        <v>21.286602128964976</v>
      </c>
      <c r="D112" s="17">
        <f t="shared" si="7"/>
        <v>23.651780143294417</v>
      </c>
      <c r="E112" s="17">
        <f t="shared" si="6"/>
        <v>26.016958157623858</v>
      </c>
      <c r="F112" s="2">
        <v>23.124700000000001</v>
      </c>
      <c r="G112" s="2" t="str">
        <f t="shared" si="4"/>
        <v>Pass</v>
      </c>
      <c r="Y112" s="2">
        <v>97</v>
      </c>
      <c r="Z112" s="2">
        <v>0.3342</v>
      </c>
      <c r="AA112" s="2">
        <v>0.35139999999999999</v>
      </c>
      <c r="AB112" s="2">
        <v>24.4359</v>
      </c>
    </row>
    <row r="113" spans="2:28" x14ac:dyDescent="0.4">
      <c r="B113" s="11">
        <v>96</v>
      </c>
      <c r="C113" s="16">
        <f t="shared" si="5"/>
        <v>21.781414774249455</v>
      </c>
      <c r="D113" s="17">
        <f t="shared" si="7"/>
        <v>24.201571971388283</v>
      </c>
      <c r="E113" s="17">
        <f t="shared" si="6"/>
        <v>26.621729168527111</v>
      </c>
      <c r="F113" s="2">
        <v>23.861699999999999</v>
      </c>
      <c r="G113" s="2" t="str">
        <f t="shared" si="4"/>
        <v>Pass</v>
      </c>
      <c r="Y113" s="2">
        <v>98</v>
      </c>
      <c r="Z113" s="2">
        <v>0.33339999999999997</v>
      </c>
      <c r="AA113" s="2">
        <v>0.3513</v>
      </c>
      <c r="AB113" s="2">
        <v>24.9359</v>
      </c>
    </row>
    <row r="114" spans="2:28" x14ac:dyDescent="0.4">
      <c r="B114" s="11">
        <v>97</v>
      </c>
      <c r="C114" s="16">
        <f t="shared" si="5"/>
        <v>22.282435849240461</v>
      </c>
      <c r="D114" s="17">
        <f t="shared" si="7"/>
        <v>24.758262054711622</v>
      </c>
      <c r="E114" s="17">
        <f t="shared" si="6"/>
        <v>27.234088260182784</v>
      </c>
      <c r="F114" s="2">
        <v>24.4359</v>
      </c>
      <c r="G114" s="2" t="str">
        <f t="shared" si="4"/>
        <v>Pass</v>
      </c>
      <c r="Y114" s="2">
        <v>99</v>
      </c>
      <c r="Z114" s="2">
        <v>0.33339999999999997</v>
      </c>
      <c r="AA114" s="2">
        <v>0.35089999999999999</v>
      </c>
      <c r="AB114" s="2">
        <v>25.640799999999999</v>
      </c>
    </row>
    <row r="115" spans="2:28" x14ac:dyDescent="0.4">
      <c r="B115" s="11">
        <v>98</v>
      </c>
      <c r="C115" s="16">
        <f t="shared" si="5"/>
        <v>22.789678202855804</v>
      </c>
      <c r="D115" s="17">
        <f t="shared" si="7"/>
        <v>25.321864669839783</v>
      </c>
      <c r="E115" s="17">
        <f t="shared" si="6"/>
        <v>27.854051136823763</v>
      </c>
      <c r="F115" s="2">
        <v>24.9359</v>
      </c>
      <c r="G115" s="2" t="str">
        <f t="shared" si="4"/>
        <v>Pass</v>
      </c>
      <c r="Y115" s="2">
        <v>100</v>
      </c>
      <c r="Z115" s="2">
        <v>0.33310000000000001</v>
      </c>
      <c r="AA115" s="2">
        <v>0.3508</v>
      </c>
      <c r="AB115" s="2">
        <v>26.167999999999999</v>
      </c>
    </row>
    <row r="116" spans="2:28" x14ac:dyDescent="0.4">
      <c r="B116" s="11">
        <v>99</v>
      </c>
      <c r="C116" s="16">
        <f t="shared" si="5"/>
        <v>23.303154578731665</v>
      </c>
      <c r="D116" s="17">
        <f t="shared" si="7"/>
        <v>25.892393976368517</v>
      </c>
      <c r="E116" s="17">
        <f t="shared" si="6"/>
        <v>28.481633374005369</v>
      </c>
      <c r="F116" s="2">
        <v>25.640799999999999</v>
      </c>
      <c r="G116" s="2" t="str">
        <f t="shared" si="4"/>
        <v>Pass</v>
      </c>
      <c r="Y116" s="2">
        <v>101</v>
      </c>
      <c r="Z116" s="2">
        <v>0.33289999999999997</v>
      </c>
      <c r="AA116" s="2">
        <v>0.3508</v>
      </c>
      <c r="AB116" s="2">
        <v>26.864100000000001</v>
      </c>
    </row>
    <row r="117" spans="2:28" x14ac:dyDescent="0.4">
      <c r="B117" s="11">
        <v>100</v>
      </c>
      <c r="C117" s="16">
        <f t="shared" si="5"/>
        <v>23.822877617144023</v>
      </c>
      <c r="D117" s="17">
        <f t="shared" si="7"/>
        <v>26.469864019048913</v>
      </c>
      <c r="E117" s="17">
        <f t="shared" si="6"/>
        <v>29.116850420953803</v>
      </c>
      <c r="F117" s="2">
        <v>26.167999999999999</v>
      </c>
      <c r="G117" s="2" t="str">
        <f t="shared" si="4"/>
        <v>Pass</v>
      </c>
      <c r="Y117" s="2">
        <v>102</v>
      </c>
      <c r="Z117" s="2">
        <v>0.33450000000000002</v>
      </c>
      <c r="AA117" s="2">
        <v>0.35370000000000001</v>
      </c>
      <c r="AB117" s="2">
        <v>27.453499999999998</v>
      </c>
    </row>
    <row r="118" spans="2:28" x14ac:dyDescent="0.4">
      <c r="B118" s="11">
        <v>101</v>
      </c>
      <c r="C118" s="16">
        <f t="shared" si="5"/>
        <v>24.348859856875883</v>
      </c>
      <c r="D118" s="17">
        <f t="shared" si="7"/>
        <v>27.054288729862094</v>
      </c>
      <c r="E118" s="17">
        <f t="shared" si="6"/>
        <v>29.759717602848305</v>
      </c>
      <c r="F118" s="2">
        <v>26.864100000000001</v>
      </c>
      <c r="G118" s="2" t="str">
        <f t="shared" si="4"/>
        <v>Pass</v>
      </c>
      <c r="Y118" s="2">
        <v>103</v>
      </c>
      <c r="Z118" s="2">
        <v>0.33489999999999998</v>
      </c>
      <c r="AA118" s="2">
        <v>0.35120000000000001</v>
      </c>
      <c r="AB118" s="2">
        <v>27.6675</v>
      </c>
    </row>
    <row r="119" spans="2:28" x14ac:dyDescent="0.4">
      <c r="B119" s="11">
        <v>102</v>
      </c>
      <c r="C119" s="16">
        <f t="shared" si="5"/>
        <v>24.881113737032855</v>
      </c>
      <c r="D119" s="17">
        <f t="shared" si="7"/>
        <v>27.645681930036506</v>
      </c>
      <c r="E119" s="17">
        <f t="shared" si="6"/>
        <v>30.410250123040157</v>
      </c>
      <c r="F119" s="2">
        <v>27.453499999999998</v>
      </c>
      <c r="G119" s="2" t="str">
        <f t="shared" si="4"/>
        <v>Pass</v>
      </c>
      <c r="Y119" s="2">
        <v>104</v>
      </c>
      <c r="Z119" s="2">
        <v>0.33460000000000001</v>
      </c>
      <c r="AA119" s="2">
        <v>0.35070000000000001</v>
      </c>
      <c r="AB119" s="2">
        <v>28.234300000000001</v>
      </c>
    </row>
    <row r="120" spans="2:28" x14ac:dyDescent="0.4">
      <c r="B120" s="11">
        <v>103</v>
      </c>
      <c r="C120" s="16">
        <f t="shared" si="5"/>
        <v>25.419651598808301</v>
      </c>
      <c r="D120" s="17">
        <f t="shared" si="7"/>
        <v>28.244057332009223</v>
      </c>
      <c r="E120" s="17">
        <f t="shared" si="6"/>
        <v>31.068463065210146</v>
      </c>
      <c r="F120" s="2">
        <v>27.6675</v>
      </c>
      <c r="G120" s="2" t="str">
        <f t="shared" si="4"/>
        <v>Pass</v>
      </c>
      <c r="Y120" s="2">
        <v>105</v>
      </c>
      <c r="Z120" s="2">
        <v>0.33439999999999998</v>
      </c>
      <c r="AA120" s="2">
        <v>0.3508</v>
      </c>
      <c r="AB120" s="2">
        <v>28.888400000000001</v>
      </c>
    </row>
    <row r="121" spans="2:28" x14ac:dyDescent="0.4">
      <c r="B121" s="11">
        <v>104</v>
      </c>
      <c r="C121" s="16">
        <f t="shared" si="5"/>
        <v>25.964485687200785</v>
      </c>
      <c r="D121" s="17">
        <f t="shared" si="7"/>
        <v>28.849428541334206</v>
      </c>
      <c r="E121" s="17">
        <f t="shared" si="6"/>
        <v>31.734371395467626</v>
      </c>
      <c r="F121" s="2">
        <v>28.234300000000001</v>
      </c>
      <c r="G121" s="2" t="str">
        <f t="shared" si="4"/>
        <v>Pass</v>
      </c>
      <c r="Y121" s="2">
        <v>106</v>
      </c>
      <c r="Z121" s="2">
        <v>0.33410000000000001</v>
      </c>
      <c r="AA121" s="2">
        <v>0.35049999999999998</v>
      </c>
      <c r="AB121" s="2">
        <v>29.526</v>
      </c>
    </row>
    <row r="122" spans="2:28" x14ac:dyDescent="0.4">
      <c r="B122" s="11">
        <v>105</v>
      </c>
      <c r="C122" s="16">
        <f t="shared" si="5"/>
        <v>26.515628152684734</v>
      </c>
      <c r="D122" s="17">
        <f t="shared" si="7"/>
        <v>29.461809058538595</v>
      </c>
      <c r="E122" s="17">
        <f t="shared" si="6"/>
        <v>32.407989964392456</v>
      </c>
      <c r="F122" s="2">
        <v>28.888400000000001</v>
      </c>
      <c r="G122" s="2" t="str">
        <f t="shared" si="4"/>
        <v>Pass</v>
      </c>
      <c r="Y122" s="2">
        <v>107</v>
      </c>
      <c r="Z122" s="2">
        <v>0.33389999999999997</v>
      </c>
      <c r="AA122" s="2">
        <v>0.35020000000000001</v>
      </c>
      <c r="AB122" s="2">
        <v>30.132999999999999</v>
      </c>
    </row>
    <row r="123" spans="2:28" x14ac:dyDescent="0.4">
      <c r="B123" s="11">
        <v>106</v>
      </c>
      <c r="C123" s="16">
        <f t="shared" si="5"/>
        <v>27.073091052836634</v>
      </c>
      <c r="D123" s="17">
        <f t="shared" si="7"/>
        <v>30.081212280929595</v>
      </c>
      <c r="E123" s="17">
        <f t="shared" si="6"/>
        <v>33.089333509022552</v>
      </c>
      <c r="F123" s="2">
        <v>29.526</v>
      </c>
      <c r="G123" s="2" t="str">
        <f t="shared" si="4"/>
        <v>Pass</v>
      </c>
      <c r="Y123" s="2">
        <v>108</v>
      </c>
      <c r="Z123" s="2">
        <v>0.33389999999999997</v>
      </c>
      <c r="AA123" s="2">
        <v>0.3498</v>
      </c>
      <c r="AB123" s="2">
        <v>30.935199999999998</v>
      </c>
    </row>
    <row r="124" spans="2:28" x14ac:dyDescent="0.4">
      <c r="B124" s="11">
        <v>107</v>
      </c>
      <c r="C124" s="16">
        <f t="shared" si="5"/>
        <v>27.636886353917944</v>
      </c>
      <c r="D124" s="17">
        <f t="shared" si="7"/>
        <v>30.707651504353272</v>
      </c>
      <c r="E124" s="17">
        <f t="shared" si="6"/>
        <v>33.7784166547886</v>
      </c>
      <c r="F124" s="2">
        <v>30.132999999999999</v>
      </c>
      <c r="G124" s="2" t="str">
        <f t="shared" si="4"/>
        <v>Pass</v>
      </c>
      <c r="Y124" s="2">
        <v>109</v>
      </c>
      <c r="Z124" s="2">
        <v>0.3352</v>
      </c>
      <c r="AA124" s="2">
        <v>0.35249999999999998</v>
      </c>
      <c r="AB124" s="2">
        <v>31.438700000000001</v>
      </c>
    </row>
    <row r="125" spans="2:28" x14ac:dyDescent="0.4">
      <c r="B125" s="11">
        <v>108</v>
      </c>
      <c r="C125" s="16">
        <f t="shared" si="5"/>
        <v>28.207025932416609</v>
      </c>
      <c r="D125" s="17">
        <f t="shared" si="7"/>
        <v>31.341139924907345</v>
      </c>
      <c r="E125" s="17">
        <f t="shared" si="6"/>
        <v>34.475253917398078</v>
      </c>
      <c r="F125" s="2">
        <v>30.935199999999998</v>
      </c>
      <c r="G125" s="2" t="str">
        <f t="shared" si="4"/>
        <v>Pass</v>
      </c>
      <c r="Y125" s="2">
        <v>110</v>
      </c>
      <c r="Z125" s="2">
        <v>0.33500000000000002</v>
      </c>
      <c r="AA125" s="2">
        <v>0.35220000000000001</v>
      </c>
      <c r="AB125" s="2">
        <v>32.0458</v>
      </c>
    </row>
    <row r="126" spans="2:28" x14ac:dyDescent="0.4">
      <c r="B126" s="11">
        <v>109</v>
      </c>
      <c r="C126" s="16">
        <f t="shared" si="5"/>
        <v>28.78352157654837</v>
      </c>
      <c r="D126" s="17">
        <f t="shared" si="7"/>
        <v>31.981690640609301</v>
      </c>
      <c r="E126" s="17">
        <f t="shared" si="6"/>
        <v>35.179859704670228</v>
      </c>
      <c r="F126" s="2">
        <v>31.438700000000001</v>
      </c>
      <c r="G126" s="2" t="str">
        <f t="shared" si="4"/>
        <v>Pass</v>
      </c>
      <c r="Y126" s="2">
        <v>111</v>
      </c>
      <c r="Z126" s="2">
        <v>0.33479999999999999</v>
      </c>
      <c r="AA126" s="2">
        <v>0.35189999999999999</v>
      </c>
      <c r="AB126" s="2">
        <v>32.952300000000001</v>
      </c>
    </row>
    <row r="127" spans="2:28" x14ac:dyDescent="0.4">
      <c r="B127" s="11">
        <v>110</v>
      </c>
      <c r="C127" s="16">
        <f t="shared" si="5"/>
        <v>29.366384987719378</v>
      </c>
      <c r="D127" s="17">
        <f t="shared" si="7"/>
        <v>32.629316653021533</v>
      </c>
      <c r="E127" s="17">
        <f t="shared" si="6"/>
        <v>35.892248318323688</v>
      </c>
      <c r="F127" s="2">
        <v>32.0458</v>
      </c>
      <c r="G127" s="2" t="str">
        <f t="shared" si="4"/>
        <v>Pass</v>
      </c>
      <c r="Y127" s="2">
        <v>112</v>
      </c>
      <c r="Z127" s="2">
        <v>0.33460000000000001</v>
      </c>
      <c r="AA127" s="2">
        <v>0.35160000000000002</v>
      </c>
      <c r="AB127" s="2">
        <v>33.588099999999997</v>
      </c>
    </row>
    <row r="128" spans="2:28" x14ac:dyDescent="0.4">
      <c r="B128" s="11">
        <v>111</v>
      </c>
      <c r="C128" s="16">
        <f t="shared" si="5"/>
        <v>29.955627781951478</v>
      </c>
      <c r="D128" s="17">
        <f t="shared" si="7"/>
        <v>33.284030868834975</v>
      </c>
      <c r="E128" s="17">
        <f t="shared" si="6"/>
        <v>36.612433955718473</v>
      </c>
      <c r="F128" s="2">
        <v>32.952300000000001</v>
      </c>
      <c r="G128" s="2" t="str">
        <f t="shared" si="4"/>
        <v>Pass</v>
      </c>
      <c r="Y128" s="2">
        <v>113</v>
      </c>
      <c r="Z128" s="2">
        <v>0.33389999999999997</v>
      </c>
      <c r="AA128" s="2">
        <v>0.34820000000000001</v>
      </c>
      <c r="AB128" s="2">
        <v>33.7774</v>
      </c>
    </row>
    <row r="129" spans="2:28" x14ac:dyDescent="0.4">
      <c r="B129" s="11">
        <v>112</v>
      </c>
      <c r="C129" s="16">
        <f t="shared" si="5"/>
        <v>30.55126149127144</v>
      </c>
      <c r="D129" s="17">
        <f t="shared" si="7"/>
        <v>33.945846101412712</v>
      </c>
      <c r="E129" s="17">
        <f t="shared" si="6"/>
        <v>37.340430711553985</v>
      </c>
      <c r="F129" s="2">
        <v>33.588099999999997</v>
      </c>
      <c r="G129" s="2" t="str">
        <f t="shared" si="4"/>
        <v>Pass</v>
      </c>
      <c r="Y129" s="2">
        <v>114</v>
      </c>
      <c r="Z129" s="2">
        <v>0.3337</v>
      </c>
      <c r="AA129" s="2">
        <v>0.34799999999999998</v>
      </c>
      <c r="AB129" s="2">
        <v>34.595300000000002</v>
      </c>
    </row>
    <row r="130" spans="2:28" x14ac:dyDescent="0.4">
      <c r="B130" s="11">
        <v>113</v>
      </c>
      <c r="C130" s="16">
        <f t="shared" si="5"/>
        <v>31.153297565065305</v>
      </c>
      <c r="D130" s="17">
        <f t="shared" si="7"/>
        <v>34.614775072294783</v>
      </c>
      <c r="E130" s="17">
        <f t="shared" si="6"/>
        <v>38.076252579524265</v>
      </c>
      <c r="F130" s="2">
        <v>33.7774</v>
      </c>
      <c r="G130" s="2" t="str">
        <f t="shared" si="4"/>
        <v>Pass</v>
      </c>
      <c r="Y130" s="2">
        <v>115</v>
      </c>
      <c r="Z130" s="2">
        <v>0.33539999999999998</v>
      </c>
      <c r="AA130" s="2">
        <v>0.35060000000000002</v>
      </c>
      <c r="AB130" s="2">
        <v>35.149799999999999</v>
      </c>
    </row>
    <row r="131" spans="2:28" x14ac:dyDescent="0.4">
      <c r="B131" s="11">
        <v>114</v>
      </c>
      <c r="C131" s="16">
        <f t="shared" si="5"/>
        <v>31.761747371399089</v>
      </c>
      <c r="D131" s="17">
        <f t="shared" si="7"/>
        <v>35.290830412665656</v>
      </c>
      <c r="E131" s="17">
        <f t="shared" si="6"/>
        <v>38.819913453932223</v>
      </c>
      <c r="F131" s="2">
        <v>34.595300000000002</v>
      </c>
      <c r="G131" s="2" t="str">
        <f t="shared" si="4"/>
        <v>Pass</v>
      </c>
      <c r="Y131" s="2">
        <v>116</v>
      </c>
      <c r="Z131" s="2">
        <v>0.33679999999999999</v>
      </c>
      <c r="AA131" s="2">
        <v>0.34889999999999999</v>
      </c>
      <c r="AB131" s="2">
        <v>35.804699999999997</v>
      </c>
    </row>
    <row r="132" spans="2:28" x14ac:dyDescent="0.4">
      <c r="B132" s="11">
        <v>115</v>
      </c>
      <c r="C132" s="16">
        <f t="shared" si="5"/>
        <v>32.376622198306862</v>
      </c>
      <c r="D132" s="17">
        <f t="shared" si="7"/>
        <v>35.974024664785404</v>
      </c>
      <c r="E132" s="17">
        <f t="shared" si="6"/>
        <v>39.571427131263945</v>
      </c>
      <c r="F132" s="2">
        <v>35.149799999999999</v>
      </c>
      <c r="G132" s="2" t="str">
        <f t="shared" si="4"/>
        <v>Pass</v>
      </c>
      <c r="Y132" s="2">
        <v>117</v>
      </c>
      <c r="Z132" s="2">
        <v>0.33450000000000002</v>
      </c>
      <c r="AA132" s="2">
        <v>0.34899999999999998</v>
      </c>
      <c r="AB132" s="2">
        <v>36.846400000000003</v>
      </c>
    </row>
    <row r="133" spans="2:28" x14ac:dyDescent="0.4">
      <c r="B133" s="11">
        <v>116</v>
      </c>
      <c r="C133" s="16">
        <f t="shared" si="5"/>
        <v>32.997933255047556</v>
      </c>
      <c r="D133" s="17">
        <f t="shared" si="7"/>
        <v>36.66437028338617</v>
      </c>
      <c r="E133" s="17">
        <f t="shared" si="6"/>
        <v>40.330807311724783</v>
      </c>
      <c r="F133" s="2">
        <v>35.804699999999997</v>
      </c>
      <c r="G133" s="2" t="str">
        <f t="shared" si="4"/>
        <v>Pass</v>
      </c>
      <c r="Y133" s="2">
        <v>118</v>
      </c>
      <c r="Z133" s="2">
        <v>0.33429999999999999</v>
      </c>
      <c r="AA133" s="2">
        <v>0.34889999999999999</v>
      </c>
      <c r="AB133" s="2">
        <v>37.453000000000003</v>
      </c>
    </row>
    <row r="134" spans="2:28" x14ac:dyDescent="0.4">
      <c r="B134" s="11">
        <v>117</v>
      </c>
      <c r="C134" s="16">
        <f t="shared" si="5"/>
        <v>33.62569167333109</v>
      </c>
      <c r="D134" s="17">
        <f t="shared" si="7"/>
        <v>37.361879637034541</v>
      </c>
      <c r="E134" s="17">
        <f t="shared" si="6"/>
        <v>41.098067600737991</v>
      </c>
      <c r="F134" s="2">
        <v>36.846400000000003</v>
      </c>
      <c r="G134" s="2" t="str">
        <f t="shared" si="4"/>
        <v>Pass</v>
      </c>
      <c r="Y134" s="2">
        <v>119</v>
      </c>
      <c r="Z134" s="2">
        <v>0.33400000000000002</v>
      </c>
      <c r="AA134" s="2">
        <v>0.34889999999999999</v>
      </c>
      <c r="AB134" s="2">
        <v>38.338700000000003</v>
      </c>
    </row>
    <row r="135" spans="2:28" x14ac:dyDescent="0.4">
      <c r="B135" s="11">
        <v>118</v>
      </c>
      <c r="C135" s="16">
        <f t="shared" si="5"/>
        <v>34.259908508515295</v>
      </c>
      <c r="D135" s="17">
        <f t="shared" si="7"/>
        <v>38.066565009461442</v>
      </c>
      <c r="E135" s="17">
        <f t="shared" si="6"/>
        <v>41.873221510407589</v>
      </c>
      <c r="F135" s="2">
        <v>37.453000000000003</v>
      </c>
      <c r="G135" s="2" t="str">
        <f t="shared" si="4"/>
        <v>Pass</v>
      </c>
      <c r="Y135" s="2">
        <v>120</v>
      </c>
      <c r="Z135" s="2">
        <v>0.3352</v>
      </c>
      <c r="AA135" s="2">
        <v>0.35160000000000002</v>
      </c>
      <c r="AB135" s="2">
        <v>39.112000000000002</v>
      </c>
    </row>
    <row r="136" spans="2:28" x14ac:dyDescent="0.4">
      <c r="B136" s="11">
        <v>119</v>
      </c>
      <c r="C136" s="16">
        <f t="shared" si="5"/>
        <v>34.900594740774139</v>
      </c>
      <c r="D136" s="17">
        <f t="shared" si="7"/>
        <v>38.778438600860156</v>
      </c>
      <c r="E136" s="17">
        <f t="shared" si="6"/>
        <v>42.656282460946173</v>
      </c>
      <c r="F136" s="2">
        <v>38.338700000000003</v>
      </c>
      <c r="G136" s="2" t="str">
        <f t="shared" si="4"/>
        <v>Pass</v>
      </c>
      <c r="Y136" s="2">
        <v>121</v>
      </c>
      <c r="Z136" s="2">
        <v>0.33479999999999999</v>
      </c>
      <c r="AA136" s="2">
        <v>0.35120000000000001</v>
      </c>
      <c r="AB136" s="2">
        <v>39.805799999999998</v>
      </c>
    </row>
    <row r="137" spans="2:28" x14ac:dyDescent="0.4">
      <c r="B137" s="11">
        <v>120</v>
      </c>
      <c r="C137" s="16">
        <f t="shared" si="5"/>
        <v>35.547761276238546</v>
      </c>
      <c r="D137" s="17">
        <f t="shared" si="7"/>
        <v>39.497512529153937</v>
      </c>
      <c r="E137" s="17">
        <f t="shared" si="6"/>
        <v>43.447263782069328</v>
      </c>
      <c r="F137" s="2">
        <v>39.112000000000002</v>
      </c>
      <c r="G137" s="2" t="str">
        <f t="shared" si="4"/>
        <v>Pass</v>
      </c>
      <c r="Y137" s="2">
        <v>122</v>
      </c>
      <c r="Z137" s="2">
        <v>0.33400000000000002</v>
      </c>
      <c r="AA137" s="2">
        <v>0.35110000000000002</v>
      </c>
      <c r="AB137" s="2">
        <v>40.667099999999998</v>
      </c>
    </row>
    <row r="138" spans="2:28" x14ac:dyDescent="0.4">
      <c r="B138" s="11">
        <v>121</v>
      </c>
      <c r="C138" s="16">
        <f t="shared" si="5"/>
        <v>36.201418948110415</v>
      </c>
      <c r="D138" s="17">
        <f t="shared" si="7"/>
        <v>40.223798831233793</v>
      </c>
      <c r="E138" s="17">
        <f t="shared" si="6"/>
        <v>44.246178714357171</v>
      </c>
      <c r="F138" s="2">
        <v>39.805799999999998</v>
      </c>
      <c r="G138" s="2" t="str">
        <f t="shared" si="4"/>
        <v>Pass</v>
      </c>
      <c r="Y138" s="2">
        <v>123</v>
      </c>
      <c r="Z138" s="2">
        <v>0.33460000000000001</v>
      </c>
      <c r="AA138" s="2">
        <v>0.35089999999999999</v>
      </c>
      <c r="AB138" s="2">
        <v>41.393900000000002</v>
      </c>
    </row>
    <row r="139" spans="2:28" x14ac:dyDescent="0.4">
      <c r="B139" s="11">
        <v>122</v>
      </c>
      <c r="C139" s="16">
        <f t="shared" si="5"/>
        <v>36.861578517750836</v>
      </c>
      <c r="D139" s="17">
        <f t="shared" si="7"/>
        <v>40.957309464167594</v>
      </c>
      <c r="E139" s="17">
        <f t="shared" si="6"/>
        <v>45.053040410584352</v>
      </c>
      <c r="F139" s="2">
        <v>40.667099999999998</v>
      </c>
      <c r="G139" s="2" t="str">
        <f t="shared" si="4"/>
        <v>Pass</v>
      </c>
      <c r="Y139" s="2">
        <v>124</v>
      </c>
      <c r="Z139" s="2">
        <v>0.3342</v>
      </c>
      <c r="AA139" s="2">
        <v>0.3508</v>
      </c>
      <c r="AB139" s="2">
        <v>42.334800000000001</v>
      </c>
    </row>
    <row r="140" spans="2:28" x14ac:dyDescent="0.4">
      <c r="B140" s="11">
        <v>123</v>
      </c>
      <c r="C140" s="16">
        <f t="shared" si="5"/>
        <v>37.528250675743202</v>
      </c>
      <c r="D140" s="17">
        <f t="shared" si="7"/>
        <v>41.698056306381332</v>
      </c>
      <c r="E140" s="17">
        <f t="shared" si="6"/>
        <v>45.867861937019462</v>
      </c>
      <c r="F140" s="2">
        <v>41.393900000000002</v>
      </c>
      <c r="G140" s="2" t="str">
        <f t="shared" si="4"/>
        <v>Pass</v>
      </c>
      <c r="Y140" s="2">
        <v>125</v>
      </c>
      <c r="Z140" s="2">
        <v>0.33379999999999999</v>
      </c>
      <c r="AA140" s="2">
        <v>0.3503</v>
      </c>
      <c r="AB140" s="2">
        <v>43.0092</v>
      </c>
    </row>
    <row r="141" spans="2:28" x14ac:dyDescent="0.4">
      <c r="B141" s="11">
        <v>124</v>
      </c>
      <c r="C141" s="16">
        <f t="shared" si="5"/>
        <v>38.201446042932083</v>
      </c>
      <c r="D141" s="17">
        <f t="shared" si="7"/>
        <v>42.446051158813425</v>
      </c>
      <c r="E141" s="17">
        <f t="shared" si="6"/>
        <v>46.690656274694767</v>
      </c>
      <c r="F141" s="2">
        <v>42.334800000000001</v>
      </c>
      <c r="G141" s="2" t="str">
        <f t="shared" si="4"/>
        <v>Pass</v>
      </c>
      <c r="Y141" s="2">
        <v>126</v>
      </c>
      <c r="Z141" s="2">
        <v>0.33510000000000001</v>
      </c>
      <c r="AA141" s="2">
        <v>0.34960000000000002</v>
      </c>
      <c r="AB141" s="2">
        <v>43.142899999999997</v>
      </c>
    </row>
    <row r="142" spans="2:28" x14ac:dyDescent="0.4">
      <c r="B142" s="11">
        <v>125</v>
      </c>
      <c r="C142" s="16">
        <f t="shared" si="5"/>
        <v>38.881175171438585</v>
      </c>
      <c r="D142" s="17">
        <f t="shared" si="7"/>
        <v>43.20130574604287</v>
      </c>
      <c r="E142" s="17">
        <f t="shared" si="6"/>
        <v>47.521436320647155</v>
      </c>
      <c r="F142" s="2">
        <v>43.0092</v>
      </c>
      <c r="G142" s="2" t="str">
        <f t="shared" si="4"/>
        <v>Pass</v>
      </c>
      <c r="Y142" s="2">
        <v>127</v>
      </c>
      <c r="Z142" s="2">
        <v>0.33460000000000001</v>
      </c>
      <c r="AA142" s="2">
        <v>0.34939999999999999</v>
      </c>
      <c r="AB142" s="2">
        <v>43.972499999999997</v>
      </c>
    </row>
    <row r="143" spans="2:28" x14ac:dyDescent="0.4">
      <c r="B143" s="11">
        <v>126</v>
      </c>
      <c r="C143" s="16">
        <f t="shared" si="5"/>
        <v>39.56744854565288</v>
      </c>
      <c r="D143" s="17">
        <f t="shared" si="7"/>
        <v>43.96383171739209</v>
      </c>
      <c r="E143" s="17">
        <f t="shared" si="6"/>
        <v>48.360214889131299</v>
      </c>
      <c r="F143" s="2">
        <v>43.142899999999997</v>
      </c>
      <c r="G143" s="2" t="str">
        <f t="shared" si="4"/>
        <v>Pass</v>
      </c>
      <c r="Y143" s="2">
        <v>128</v>
      </c>
      <c r="Z143" s="2">
        <v>0.33450000000000002</v>
      </c>
      <c r="AA143" s="2">
        <v>0.34889999999999999</v>
      </c>
      <c r="AB143" s="2">
        <v>44.931800000000003</v>
      </c>
    </row>
    <row r="144" spans="2:28" x14ac:dyDescent="0.4">
      <c r="B144" s="11">
        <v>127</v>
      </c>
      <c r="C144" s="16">
        <f t="shared" si="5"/>
        <v>40.260276583204529</v>
      </c>
      <c r="D144" s="17">
        <f t="shared" si="7"/>
        <v>44.733640648005029</v>
      </c>
      <c r="E144" s="17">
        <f t="shared" si="6"/>
        <v>49.207004712805528</v>
      </c>
      <c r="F144" s="2">
        <v>43.972499999999997</v>
      </c>
      <c r="G144" s="2" t="str">
        <f t="shared" si="4"/>
        <v>Pass</v>
      </c>
      <c r="Y144" s="2">
        <v>129</v>
      </c>
      <c r="Z144" s="2">
        <v>0.33439999999999998</v>
      </c>
      <c r="AA144" s="2">
        <v>0.34870000000000001</v>
      </c>
      <c r="AB144" s="2">
        <v>45.680700000000002</v>
      </c>
    </row>
    <row r="145" spans="2:28" x14ac:dyDescent="0.4">
      <c r="B145" s="11">
        <v>128</v>
      </c>
      <c r="C145" s="16">
        <f t="shared" si="5"/>
        <v>40.959669635911602</v>
      </c>
      <c r="D145" s="17">
        <f t="shared" si="7"/>
        <v>45.51074403990178</v>
      </c>
      <c r="E145" s="17">
        <f t="shared" si="6"/>
        <v>50.061818443891958</v>
      </c>
      <c r="F145" s="2">
        <v>44.931800000000003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0.33400000000000002</v>
      </c>
      <c r="AA145" s="2">
        <v>0.34839999999999999</v>
      </c>
      <c r="AB145" s="2">
        <v>46.661200000000001</v>
      </c>
    </row>
    <row r="146" spans="2:28" x14ac:dyDescent="0.4">
      <c r="B146" s="11">
        <v>129</v>
      </c>
      <c r="C146" s="16">
        <f t="shared" ref="C146:C209" si="9">D146-D146*(C$14/100)</f>
        <v>41.665637990708596</v>
      </c>
      <c r="D146" s="17">
        <f t="shared" si="7"/>
        <v>46.295153323009551</v>
      </c>
      <c r="E146" s="17">
        <f t="shared" ref="E146:E209" si="10">D146+D146*(C$14/100)</f>
        <v>50.924668655310505</v>
      </c>
      <c r="F146" s="2">
        <v>45.680700000000002</v>
      </c>
      <c r="G146" s="2" t="str">
        <f t="shared" si="8"/>
        <v>Pass</v>
      </c>
      <c r="Y146" s="2">
        <v>131</v>
      </c>
      <c r="Z146" s="2">
        <v>0.33510000000000001</v>
      </c>
      <c r="AA146" s="2">
        <v>0.35070000000000001</v>
      </c>
      <c r="AB146" s="2">
        <v>47.388399999999997</v>
      </c>
    </row>
    <row r="147" spans="2:28" x14ac:dyDescent="0.4">
      <c r="B147" s="11">
        <v>130</v>
      </c>
      <c r="C147" s="16">
        <f t="shared" si="9"/>
        <v>42.378191870554566</v>
      </c>
      <c r="D147" s="17">
        <f t="shared" ref="D147:D210" si="11">D$272*((B147+F$17)/B$272)^C$13</f>
        <v>47.086879856171741</v>
      </c>
      <c r="E147" s="17">
        <f t="shared" si="10"/>
        <v>51.795567841788916</v>
      </c>
      <c r="F147" s="2">
        <v>46.661200000000001</v>
      </c>
      <c r="G147" s="2" t="str">
        <f t="shared" si="8"/>
        <v>Pass</v>
      </c>
      <c r="Y147" s="2">
        <v>132</v>
      </c>
      <c r="Z147" s="2">
        <v>0.33310000000000001</v>
      </c>
      <c r="AA147" s="2">
        <v>0.34989999999999999</v>
      </c>
      <c r="AB147" s="2">
        <v>47.892299999999999</v>
      </c>
    </row>
    <row r="148" spans="2:28" x14ac:dyDescent="0.4">
      <c r="B148" s="11">
        <v>131</v>
      </c>
      <c r="C148" s="16">
        <f t="shared" si="9"/>
        <v>43.097341435321297</v>
      </c>
      <c r="D148" s="17">
        <f t="shared" si="11"/>
        <v>47.885934928134773</v>
      </c>
      <c r="E148" s="17">
        <f t="shared" si="10"/>
        <v>52.674528420948249</v>
      </c>
      <c r="F148" s="2">
        <v>47.388399999999997</v>
      </c>
      <c r="G148" s="2" t="str">
        <f t="shared" si="8"/>
        <v>Pass</v>
      </c>
      <c r="Y148" s="2">
        <v>133</v>
      </c>
      <c r="Z148" s="2">
        <v>0.3337</v>
      </c>
      <c r="AA148" s="2">
        <v>0.34889999999999999</v>
      </c>
      <c r="AB148" s="2">
        <v>48.804499999999997</v>
      </c>
    </row>
    <row r="149" spans="2:28" x14ac:dyDescent="0.4">
      <c r="B149" s="11">
        <v>132</v>
      </c>
      <c r="C149" s="16">
        <f t="shared" si="9"/>
        <v>43.823096782662653</v>
      </c>
      <c r="D149" s="17">
        <f t="shared" si="11"/>
        <v>48.692329758514056</v>
      </c>
      <c r="E149" s="17">
        <f t="shared" si="10"/>
        <v>53.561562734365459</v>
      </c>
      <c r="F149" s="2">
        <v>47.892299999999999</v>
      </c>
      <c r="G149" s="2" t="str">
        <f t="shared" si="8"/>
        <v>Pass</v>
      </c>
      <c r="Y149" s="2">
        <v>134</v>
      </c>
      <c r="Z149" s="2">
        <v>0.33289999999999997</v>
      </c>
      <c r="AA149" s="2">
        <v>0.34949999999999998</v>
      </c>
      <c r="AB149" s="2">
        <v>49.637999999999998</v>
      </c>
    </row>
    <row r="150" spans="2:28" x14ac:dyDescent="0.4">
      <c r="B150" s="11">
        <v>133</v>
      </c>
      <c r="C150" s="16">
        <f t="shared" si="9"/>
        <v>44.555467948865335</v>
      </c>
      <c r="D150" s="17">
        <f t="shared" si="11"/>
        <v>49.506075498739264</v>
      </c>
      <c r="E150" s="17">
        <f t="shared" si="10"/>
        <v>54.456683048613193</v>
      </c>
      <c r="F150" s="2">
        <v>48.804499999999997</v>
      </c>
      <c r="G150" s="2" t="str">
        <f t="shared" si="8"/>
        <v>Pass</v>
      </c>
      <c r="Y150" s="2">
        <v>135</v>
      </c>
      <c r="Z150" s="2">
        <v>0.3327</v>
      </c>
      <c r="AA150" s="2">
        <v>0.34920000000000001</v>
      </c>
      <c r="AB150" s="2">
        <v>50.688499999999998</v>
      </c>
    </row>
    <row r="151" spans="2:28" x14ac:dyDescent="0.4">
      <c r="B151" s="11">
        <v>134</v>
      </c>
      <c r="C151" s="16">
        <f t="shared" si="9"/>
        <v>45.294464909681722</v>
      </c>
      <c r="D151" s="17">
        <f t="shared" si="11"/>
        <v>50.327183232979692</v>
      </c>
      <c r="E151" s="17">
        <f t="shared" si="10"/>
        <v>55.359901556277663</v>
      </c>
      <c r="F151" s="2">
        <v>49.637999999999998</v>
      </c>
      <c r="G151" s="2" t="str">
        <f t="shared" si="8"/>
        <v>Pass</v>
      </c>
      <c r="Y151" s="2">
        <v>136</v>
      </c>
      <c r="Z151" s="2">
        <v>0.33260000000000001</v>
      </c>
      <c r="AA151" s="2">
        <v>0.34910000000000002</v>
      </c>
      <c r="AB151" s="2">
        <v>51.4589</v>
      </c>
    </row>
    <row r="152" spans="2:28" x14ac:dyDescent="0.4">
      <c r="B152" s="11">
        <v>135</v>
      </c>
      <c r="C152" s="16">
        <f t="shared" si="9"/>
        <v>46.040097581145254</v>
      </c>
      <c r="D152" s="17">
        <f t="shared" si="11"/>
        <v>51.155663979050281</v>
      </c>
      <c r="E152" s="17">
        <f t="shared" si="10"/>
        <v>56.271230376955309</v>
      </c>
      <c r="F152" s="2">
        <v>50.688499999999998</v>
      </c>
      <c r="G152" s="2" t="str">
        <f t="shared" si="8"/>
        <v>Pass</v>
      </c>
      <c r="Y152" s="2">
        <v>137</v>
      </c>
      <c r="Z152" s="2">
        <v>0.33229999999999998</v>
      </c>
      <c r="AA152" s="2">
        <v>0.3488</v>
      </c>
      <c r="AB152" s="2">
        <v>52.455100000000002</v>
      </c>
    </row>
    <row r="153" spans="2:28" x14ac:dyDescent="0.4">
      <c r="B153" s="11">
        <v>136</v>
      </c>
      <c r="C153" s="16">
        <f t="shared" si="9"/>
        <v>46.792375820368825</v>
      </c>
      <c r="D153" s="17">
        <f t="shared" si="11"/>
        <v>51.991528689298697</v>
      </c>
      <c r="E153" s="17">
        <f t="shared" si="10"/>
        <v>57.190681558228569</v>
      </c>
      <c r="F153" s="2">
        <v>51.4589</v>
      </c>
      <c r="G153" s="2" t="str">
        <f t="shared" si="8"/>
        <v>Pass</v>
      </c>
      <c r="Y153" s="2">
        <v>138</v>
      </c>
      <c r="Z153" s="2">
        <v>0.33229999999999998</v>
      </c>
      <c r="AA153" s="2">
        <v>0.34839999999999999</v>
      </c>
      <c r="AB153" s="2">
        <v>53.258000000000003</v>
      </c>
    </row>
    <row r="154" spans="2:28" x14ac:dyDescent="0.4">
      <c r="B154" s="11">
        <v>137</v>
      </c>
      <c r="C154" s="16">
        <f t="shared" si="9"/>
        <v>47.551309426326696</v>
      </c>
      <c r="D154" s="17">
        <f t="shared" si="11"/>
        <v>52.834788251474109</v>
      </c>
      <c r="E154" s="17">
        <f t="shared" si="10"/>
        <v>58.118267076621521</v>
      </c>
      <c r="F154" s="2">
        <v>52.455100000000002</v>
      </c>
      <c r="G154" s="2" t="str">
        <f t="shared" si="8"/>
        <v>Pass</v>
      </c>
      <c r="Y154" s="2">
        <v>139</v>
      </c>
      <c r="Z154" s="2">
        <v>0.33329999999999999</v>
      </c>
      <c r="AA154" s="2">
        <v>0.3508</v>
      </c>
      <c r="AB154" s="2">
        <v>54.105400000000003</v>
      </c>
    </row>
    <row r="155" spans="2:28" x14ac:dyDescent="0.4">
      <c r="B155" s="11">
        <v>138</v>
      </c>
      <c r="C155" s="16">
        <f t="shared" si="9"/>
        <v>48.316908140620448</v>
      </c>
      <c r="D155" s="17">
        <f t="shared" si="11"/>
        <v>53.685453489578279</v>
      </c>
      <c r="E155" s="17">
        <f t="shared" si="10"/>
        <v>59.05399883853611</v>
      </c>
      <c r="F155" s="2">
        <v>53.258000000000003</v>
      </c>
      <c r="G155" s="2" t="str">
        <f t="shared" si="8"/>
        <v>Pass</v>
      </c>
      <c r="Y155" s="2">
        <v>140</v>
      </c>
      <c r="Z155" s="2">
        <v>0.33310000000000001</v>
      </c>
      <c r="AA155" s="2">
        <v>0.35049999999999998</v>
      </c>
      <c r="AB155" s="2">
        <v>55.194499999999998</v>
      </c>
    </row>
    <row r="156" spans="2:28" x14ac:dyDescent="0.4">
      <c r="B156" s="11">
        <v>139</v>
      </c>
      <c r="C156" s="16">
        <f t="shared" si="9"/>
        <v>49.089181648229371</v>
      </c>
      <c r="D156" s="17">
        <f t="shared" si="11"/>
        <v>54.5435351646993</v>
      </c>
      <c r="E156" s="17">
        <f t="shared" si="10"/>
        <v>59.997888681169229</v>
      </c>
      <c r="F156" s="2">
        <v>54.105400000000003</v>
      </c>
      <c r="G156" s="2" t="str">
        <f t="shared" si="8"/>
        <v>Pass</v>
      </c>
      <c r="Y156" s="2">
        <v>141</v>
      </c>
      <c r="Z156" s="2">
        <v>0.33289999999999997</v>
      </c>
      <c r="AA156" s="2">
        <v>0.35049999999999998</v>
      </c>
      <c r="AB156" s="2">
        <v>56.015300000000003</v>
      </c>
    </row>
    <row r="157" spans="2:28" x14ac:dyDescent="0.4">
      <c r="B157" s="11">
        <v>140</v>
      </c>
      <c r="C157" s="16">
        <f t="shared" si="9"/>
        <v>49.868139578245462</v>
      </c>
      <c r="D157" s="17">
        <f t="shared" si="11"/>
        <v>55.40904397582829</v>
      </c>
      <c r="E157" s="17">
        <f t="shared" si="10"/>
        <v>60.949948373411118</v>
      </c>
      <c r="F157" s="2">
        <v>55.194499999999998</v>
      </c>
      <c r="G157" s="2" t="str">
        <f t="shared" si="8"/>
        <v>Pass</v>
      </c>
      <c r="Y157" s="2">
        <v>142</v>
      </c>
      <c r="Z157" s="2">
        <v>0.33450000000000002</v>
      </c>
      <c r="AA157" s="2">
        <v>0.35089999999999999</v>
      </c>
      <c r="AB157" s="2">
        <v>57.122</v>
      </c>
    </row>
    <row r="158" spans="2:28" x14ac:dyDescent="0.4">
      <c r="B158" s="11">
        <v>141</v>
      </c>
      <c r="C158" s="16">
        <f t="shared" si="9"/>
        <v>50.653791504594039</v>
      </c>
      <c r="D158" s="17">
        <f t="shared" si="11"/>
        <v>56.281990560660041</v>
      </c>
      <c r="E158" s="17">
        <f t="shared" si="10"/>
        <v>61.910189616726043</v>
      </c>
      <c r="F158" s="2">
        <v>56.015300000000003</v>
      </c>
      <c r="G158" s="2" t="str">
        <f t="shared" si="8"/>
        <v>Pass</v>
      </c>
      <c r="Y158" s="2">
        <v>143</v>
      </c>
      <c r="Z158" s="2">
        <v>0.33410000000000001</v>
      </c>
      <c r="AA158" s="2">
        <v>0.35060000000000002</v>
      </c>
      <c r="AB158" s="2">
        <v>58.247300000000003</v>
      </c>
    </row>
    <row r="159" spans="2:28" x14ac:dyDescent="0.4">
      <c r="B159" s="11">
        <v>142</v>
      </c>
      <c r="C159" s="16">
        <f t="shared" si="9"/>
        <v>51.446146946739695</v>
      </c>
      <c r="D159" s="17">
        <f t="shared" si="11"/>
        <v>57.162385496377439</v>
      </c>
      <c r="E159" s="17">
        <f t="shared" si="10"/>
        <v>62.878624046015183</v>
      </c>
      <c r="F159" s="2">
        <v>57.122</v>
      </c>
      <c r="G159" s="2" t="str">
        <f t="shared" si="8"/>
        <v>Pass</v>
      </c>
      <c r="Y159" s="2">
        <v>144</v>
      </c>
      <c r="Z159" s="2">
        <v>0.33300000000000002</v>
      </c>
      <c r="AA159" s="2">
        <v>0.34710000000000002</v>
      </c>
      <c r="AB159" s="2">
        <v>58.517699999999998</v>
      </c>
    </row>
    <row r="160" spans="2:28" x14ac:dyDescent="0.4">
      <c r="B160" s="11">
        <v>143</v>
      </c>
      <c r="C160" s="16">
        <f t="shared" si="9"/>
        <v>52.245215370378531</v>
      </c>
      <c r="D160" s="17">
        <f t="shared" si="11"/>
        <v>58.050239300420593</v>
      </c>
      <c r="E160" s="17">
        <f t="shared" si="10"/>
        <v>63.855263230462654</v>
      </c>
      <c r="F160" s="2">
        <v>58.247300000000003</v>
      </c>
      <c r="G160" s="2" t="str">
        <f t="shared" si="8"/>
        <v>Pass</v>
      </c>
      <c r="Y160" s="2">
        <v>145</v>
      </c>
      <c r="Z160" s="2">
        <v>0.33289999999999997</v>
      </c>
      <c r="AA160" s="2">
        <v>0.34710000000000002</v>
      </c>
      <c r="AB160" s="2">
        <v>59.390799999999999</v>
      </c>
    </row>
    <row r="161" spans="2:28" x14ac:dyDescent="0.4">
      <c r="B161" s="11">
        <v>144</v>
      </c>
      <c r="C161" s="16">
        <f t="shared" si="9"/>
        <v>53.051006188116652</v>
      </c>
      <c r="D161" s="17">
        <f t="shared" si="11"/>
        <v>58.945562431240724</v>
      </c>
      <c r="E161" s="17">
        <f t="shared" si="10"/>
        <v>64.840118674364803</v>
      </c>
      <c r="F161" s="2">
        <v>58.517699999999998</v>
      </c>
      <c r="G161" s="2" t="str">
        <f t="shared" si="8"/>
        <v>Pass</v>
      </c>
      <c r="Y161" s="2">
        <v>146</v>
      </c>
      <c r="Z161" s="2">
        <v>0.3327</v>
      </c>
      <c r="AA161" s="2">
        <v>0.34699999999999998</v>
      </c>
      <c r="AB161" s="2">
        <v>60.5623</v>
      </c>
    </row>
    <row r="162" spans="2:28" x14ac:dyDescent="0.4">
      <c r="B162" s="11">
        <v>145</v>
      </c>
      <c r="C162" s="16">
        <f t="shared" si="9"/>
        <v>53.863528760135395</v>
      </c>
      <c r="D162" s="17">
        <f t="shared" si="11"/>
        <v>59.848365289039329</v>
      </c>
      <c r="E162" s="17">
        <f t="shared" si="10"/>
        <v>65.833201817943262</v>
      </c>
      <c r="F162" s="2">
        <v>59.390799999999999</v>
      </c>
      <c r="G162" s="2" t="str">
        <f t="shared" si="8"/>
        <v>Pass</v>
      </c>
      <c r="Y162" s="2">
        <v>147</v>
      </c>
      <c r="Z162" s="2">
        <v>0.3327</v>
      </c>
      <c r="AA162" s="2">
        <v>0.3468</v>
      </c>
      <c r="AB162" s="2">
        <v>61.443100000000001</v>
      </c>
    </row>
    <row r="163" spans="2:28" x14ac:dyDescent="0.4">
      <c r="B163" s="11">
        <v>146</v>
      </c>
      <c r="C163" s="16">
        <f t="shared" si="9"/>
        <v>54.682792394843965</v>
      </c>
      <c r="D163" s="17">
        <f t="shared" si="11"/>
        <v>60.758658216493295</v>
      </c>
      <c r="E163" s="17">
        <f t="shared" si="10"/>
        <v>66.834524038142632</v>
      </c>
      <c r="F163" s="2">
        <v>60.5623</v>
      </c>
      <c r="G163" s="2" t="str">
        <f t="shared" si="8"/>
        <v>Pass</v>
      </c>
      <c r="Y163" s="2">
        <v>148</v>
      </c>
      <c r="Z163" s="2">
        <v>0.33250000000000002</v>
      </c>
      <c r="AA163" s="2">
        <v>0.3468</v>
      </c>
      <c r="AB163" s="2">
        <v>62.330599999999997</v>
      </c>
    </row>
    <row r="164" spans="2:28" x14ac:dyDescent="0.4">
      <c r="B164" s="11">
        <v>147</v>
      </c>
      <c r="C164" s="16">
        <f t="shared" si="9"/>
        <v>55.508806349519119</v>
      </c>
      <c r="D164" s="17">
        <f t="shared" si="11"/>
        <v>61.676451499465692</v>
      </c>
      <c r="E164" s="17">
        <f t="shared" si="10"/>
        <v>67.844096649412265</v>
      </c>
      <c r="F164" s="2">
        <v>61.443100000000001</v>
      </c>
      <c r="G164" s="2" t="str">
        <f t="shared" si="8"/>
        <v>Pass</v>
      </c>
      <c r="Y164" s="2">
        <v>149</v>
      </c>
      <c r="Z164" s="2">
        <v>0.33250000000000002</v>
      </c>
      <c r="AA164" s="2">
        <v>0.34670000000000001</v>
      </c>
      <c r="AB164" s="2">
        <v>63.557099999999998</v>
      </c>
    </row>
    <row r="165" spans="2:28" x14ac:dyDescent="0.4">
      <c r="B165" s="11">
        <v>148</v>
      </c>
      <c r="C165" s="16">
        <f t="shared" si="9"/>
        <v>56.341579830932986</v>
      </c>
      <c r="D165" s="17">
        <f t="shared" si="11"/>
        <v>62.601755367703319</v>
      </c>
      <c r="E165" s="17">
        <f t="shared" si="10"/>
        <v>68.861930904473653</v>
      </c>
      <c r="F165" s="2">
        <v>62.330599999999997</v>
      </c>
      <c r="G165" s="2" t="str">
        <f t="shared" si="8"/>
        <v>Pass</v>
      </c>
      <c r="Y165" s="2">
        <v>150</v>
      </c>
      <c r="Z165" s="2">
        <v>0.33400000000000002</v>
      </c>
      <c r="AA165" s="2">
        <v>0.34839999999999999</v>
      </c>
      <c r="AB165" s="2">
        <v>64.278099999999995</v>
      </c>
    </row>
    <row r="166" spans="2:28" x14ac:dyDescent="0.4">
      <c r="B166" s="11">
        <v>149</v>
      </c>
      <c r="C166" s="16">
        <f t="shared" si="9"/>
        <v>57.181121995968724</v>
      </c>
      <c r="D166" s="17">
        <f t="shared" si="11"/>
        <v>63.534579995520808</v>
      </c>
      <c r="E166" s="17">
        <f t="shared" si="10"/>
        <v>69.888037995072892</v>
      </c>
      <c r="F166" s="2">
        <v>63.557099999999998</v>
      </c>
      <c r="G166" s="2" t="str">
        <f t="shared" si="8"/>
        <v>Pass</v>
      </c>
      <c r="Y166" s="2">
        <v>151</v>
      </c>
      <c r="Z166" s="2">
        <v>0.33389999999999997</v>
      </c>
      <c r="AA166" s="2">
        <v>0.34839999999999999</v>
      </c>
      <c r="AB166" s="2">
        <v>65.200100000000006</v>
      </c>
    </row>
    <row r="167" spans="2:28" x14ac:dyDescent="0.4">
      <c r="B167" s="11">
        <v>150</v>
      </c>
      <c r="C167" s="16">
        <f t="shared" si="9"/>
        <v>58.027441952224791</v>
      </c>
      <c r="D167" s="17">
        <f t="shared" si="11"/>
        <v>64.474935502471993</v>
      </c>
      <c r="E167" s="17">
        <f t="shared" si="10"/>
        <v>70.922429052719195</v>
      </c>
      <c r="F167" s="2">
        <v>64.278099999999995</v>
      </c>
      <c r="G167" s="2" t="str">
        <f t="shared" si="8"/>
        <v>Pass</v>
      </c>
      <c r="Y167" s="2">
        <v>152</v>
      </c>
      <c r="Z167" s="2">
        <v>0.33379999999999999</v>
      </c>
      <c r="AA167" s="2">
        <v>0.34860000000000002</v>
      </c>
      <c r="AB167" s="2">
        <v>66.485900000000001</v>
      </c>
    </row>
    <row r="168" spans="2:28" x14ac:dyDescent="0.4">
      <c r="B168" s="11">
        <v>151</v>
      </c>
      <c r="C168" s="16">
        <f t="shared" si="9"/>
        <v>58.880548758607688</v>
      </c>
      <c r="D168" s="17">
        <f t="shared" si="11"/>
        <v>65.422831954008544</v>
      </c>
      <c r="E168" s="17">
        <f t="shared" si="10"/>
        <v>71.965115149409399</v>
      </c>
      <c r="F168" s="2">
        <v>65.200100000000006</v>
      </c>
      <c r="G168" s="2" t="str">
        <f t="shared" si="8"/>
        <v>Pass</v>
      </c>
      <c r="Y168" s="2">
        <v>153</v>
      </c>
      <c r="Z168" s="2">
        <v>0.33410000000000001</v>
      </c>
      <c r="AA168" s="2">
        <v>0.34889999999999999</v>
      </c>
      <c r="AB168" s="2">
        <v>67.327399999999997</v>
      </c>
    </row>
    <row r="169" spans="2:28" x14ac:dyDescent="0.4">
      <c r="B169" s="11">
        <v>152</v>
      </c>
      <c r="C169" s="16">
        <f t="shared" si="9"/>
        <v>59.740451425913967</v>
      </c>
      <c r="D169" s="17">
        <f t="shared" si="11"/>
        <v>66.378279362126634</v>
      </c>
      <c r="E169" s="17">
        <f t="shared" si="10"/>
        <v>73.016107298339293</v>
      </c>
      <c r="F169" s="2">
        <v>66.485900000000001</v>
      </c>
      <c r="G169" s="2" t="str">
        <f t="shared" si="8"/>
        <v>Pass</v>
      </c>
      <c r="Y169" s="2">
        <v>154</v>
      </c>
      <c r="Z169" s="2">
        <v>0.33389999999999997</v>
      </c>
      <c r="AA169" s="2">
        <v>0.34889999999999999</v>
      </c>
      <c r="AB169" s="2">
        <v>68.624300000000005</v>
      </c>
    </row>
    <row r="170" spans="2:28" x14ac:dyDescent="0.4">
      <c r="B170" s="11">
        <v>153</v>
      </c>
      <c r="C170" s="16">
        <f t="shared" si="9"/>
        <v>60.607158917401073</v>
      </c>
      <c r="D170" s="17">
        <f t="shared" si="11"/>
        <v>67.341287686001195</v>
      </c>
      <c r="E170" s="17">
        <f t="shared" si="10"/>
        <v>74.07541645460131</v>
      </c>
      <c r="F170" s="2">
        <v>67.327399999999997</v>
      </c>
      <c r="G170" s="2" t="str">
        <f t="shared" si="8"/>
        <v>Pass</v>
      </c>
      <c r="Y170" s="2">
        <v>155</v>
      </c>
      <c r="Z170" s="2">
        <v>0.33400000000000002</v>
      </c>
      <c r="AA170" s="2">
        <v>0.3488</v>
      </c>
      <c r="AB170" s="2">
        <v>69.611000000000004</v>
      </c>
    </row>
    <row r="171" spans="2:28" x14ac:dyDescent="0.4">
      <c r="B171" s="11">
        <v>154</v>
      </c>
      <c r="C171" s="16">
        <f t="shared" si="9"/>
        <v>61.480680149348238</v>
      </c>
      <c r="D171" s="17">
        <f t="shared" si="11"/>
        <v>68.311866832609155</v>
      </c>
      <c r="E171" s="17">
        <f t="shared" si="10"/>
        <v>75.143053515870065</v>
      </c>
      <c r="F171" s="2">
        <v>68.624300000000005</v>
      </c>
      <c r="G171" s="2" t="str">
        <f t="shared" si="8"/>
        <v>Pass</v>
      </c>
      <c r="Y171" s="2">
        <v>156</v>
      </c>
      <c r="Z171" s="2">
        <v>0.33410000000000001</v>
      </c>
      <c r="AA171" s="2">
        <v>0.34860000000000002</v>
      </c>
      <c r="AB171" s="2">
        <v>70.977400000000003</v>
      </c>
    </row>
    <row r="172" spans="2:28" x14ac:dyDescent="0.4">
      <c r="B172" s="11">
        <v>155</v>
      </c>
      <c r="C172" s="16">
        <f t="shared" si="9"/>
        <v>62.361023991606721</v>
      </c>
      <c r="D172" s="17">
        <f t="shared" si="11"/>
        <v>69.290026657340803</v>
      </c>
      <c r="E172" s="17">
        <f t="shared" si="10"/>
        <v>76.219029323074878</v>
      </c>
      <c r="F172" s="2">
        <v>69.611000000000004</v>
      </c>
      <c r="G172" s="2" t="str">
        <f t="shared" si="8"/>
        <v>Pass</v>
      </c>
      <c r="Y172" s="2">
        <v>157</v>
      </c>
      <c r="Z172" s="2">
        <v>0.33400000000000002</v>
      </c>
      <c r="AA172" s="2">
        <v>0.34849999999999998</v>
      </c>
      <c r="AB172" s="2">
        <v>71.982600000000005</v>
      </c>
    </row>
    <row r="173" spans="2:28" x14ac:dyDescent="0.4">
      <c r="B173" s="11">
        <v>156</v>
      </c>
      <c r="C173" s="16">
        <f t="shared" si="9"/>
        <v>63.248199268140304</v>
      </c>
      <c r="D173" s="17">
        <f t="shared" si="11"/>
        <v>70.27577696460034</v>
      </c>
      <c r="E173" s="17">
        <f t="shared" si="10"/>
        <v>77.303354661060368</v>
      </c>
      <c r="F173" s="2">
        <v>70.977400000000003</v>
      </c>
      <c r="G173" s="2" t="str">
        <f t="shared" si="8"/>
        <v>Pass</v>
      </c>
      <c r="Y173" s="2">
        <v>158</v>
      </c>
      <c r="Z173" s="2">
        <v>0.33479999999999999</v>
      </c>
      <c r="AA173" s="2">
        <v>0.35039999999999999</v>
      </c>
      <c r="AB173" s="2">
        <v>72.8934</v>
      </c>
    </row>
    <row r="174" spans="2:28" x14ac:dyDescent="0.4">
      <c r="B174" s="11">
        <v>157</v>
      </c>
      <c r="C174" s="16">
        <f t="shared" si="9"/>
        <v>64.142214757555962</v>
      </c>
      <c r="D174" s="17">
        <f t="shared" si="11"/>
        <v>71.269127508395513</v>
      </c>
      <c r="E174" s="17">
        <f t="shared" si="10"/>
        <v>78.396040259235065</v>
      </c>
      <c r="F174" s="2">
        <v>71.982600000000005</v>
      </c>
      <c r="G174" s="2" t="str">
        <f t="shared" si="8"/>
        <v>Pass</v>
      </c>
      <c r="Y174" s="2">
        <v>159</v>
      </c>
      <c r="Z174" s="2">
        <v>0.3342</v>
      </c>
      <c r="AA174" s="2">
        <v>0.34799999999999998</v>
      </c>
      <c r="AB174" s="2">
        <v>73.231399999999994</v>
      </c>
    </row>
    <row r="175" spans="2:28" x14ac:dyDescent="0.4">
      <c r="B175" s="11">
        <v>158</v>
      </c>
      <c r="C175" s="16">
        <f t="shared" si="9"/>
        <v>65.043079193625132</v>
      </c>
      <c r="D175" s="17">
        <f t="shared" si="11"/>
        <v>72.270087992916814</v>
      </c>
      <c r="E175" s="17">
        <f t="shared" si="10"/>
        <v>79.497096792208495</v>
      </c>
      <c r="F175" s="2">
        <v>72.8934</v>
      </c>
      <c r="G175" s="2" t="str">
        <f t="shared" si="8"/>
        <v>Pass</v>
      </c>
      <c r="Y175" s="2">
        <v>160</v>
      </c>
      <c r="Z175" s="2">
        <v>0.33339999999999997</v>
      </c>
      <c r="AA175" s="2">
        <v>0.34720000000000001</v>
      </c>
      <c r="AB175" s="2">
        <v>74.513300000000001</v>
      </c>
    </row>
    <row r="176" spans="2:28" x14ac:dyDescent="0.4">
      <c r="B176" s="11">
        <v>159</v>
      </c>
      <c r="C176" s="16">
        <f t="shared" si="9"/>
        <v>65.95080126579569</v>
      </c>
      <c r="D176" s="17">
        <f t="shared" si="11"/>
        <v>73.278668073106317</v>
      </c>
      <c r="E176" s="17">
        <f t="shared" si="10"/>
        <v>80.606534880416945</v>
      </c>
      <c r="F176" s="2">
        <v>73.231399999999994</v>
      </c>
      <c r="G176" s="2" t="str">
        <f t="shared" si="8"/>
        <v>Pass</v>
      </c>
      <c r="Y176" s="2">
        <v>161</v>
      </c>
      <c r="Z176" s="2">
        <v>0.3327</v>
      </c>
      <c r="AA176" s="2">
        <v>0.3468</v>
      </c>
      <c r="AB176" s="2">
        <v>75.399100000000004</v>
      </c>
    </row>
    <row r="177" spans="2:28" x14ac:dyDescent="0.4">
      <c r="B177" s="11">
        <v>160</v>
      </c>
      <c r="C177" s="16">
        <f t="shared" si="9"/>
        <v>66.865389619694781</v>
      </c>
      <c r="D177" s="17">
        <f t="shared" si="11"/>
        <v>74.294877355216428</v>
      </c>
      <c r="E177" s="17">
        <f t="shared" si="10"/>
        <v>81.724365090738075</v>
      </c>
      <c r="F177" s="2">
        <v>74.513300000000001</v>
      </c>
      <c r="G177" s="2" t="str">
        <f t="shared" si="8"/>
        <v>Pass</v>
      </c>
      <c r="Y177" s="2">
        <v>162</v>
      </c>
      <c r="Z177" s="2">
        <v>0.33260000000000001</v>
      </c>
      <c r="AA177" s="2">
        <v>0.34670000000000001</v>
      </c>
      <c r="AB177" s="2">
        <v>76.4114</v>
      </c>
    </row>
    <row r="178" spans="2:28" x14ac:dyDescent="0.4">
      <c r="B178" s="11">
        <v>161</v>
      </c>
      <c r="C178" s="16">
        <f t="shared" si="9"/>
        <v>67.78685285762306</v>
      </c>
      <c r="D178" s="17">
        <f t="shared" si="11"/>
        <v>75.318725397358961</v>
      </c>
      <c r="E178" s="17">
        <f t="shared" si="10"/>
        <v>82.850597937094861</v>
      </c>
      <c r="F178" s="2">
        <v>75.399100000000004</v>
      </c>
      <c r="G178" s="2" t="str">
        <f t="shared" si="8"/>
        <v>Pass</v>
      </c>
      <c r="Y178" s="2">
        <v>163</v>
      </c>
      <c r="Z178" s="2">
        <v>0.33339999999999997</v>
      </c>
      <c r="AA178" s="2">
        <v>0.34849999999999998</v>
      </c>
      <c r="AB178" s="2">
        <v>77.831000000000003</v>
      </c>
    </row>
    <row r="179" spans="2:28" x14ac:dyDescent="0.4">
      <c r="B179" s="11">
        <v>162</v>
      </c>
      <c r="C179" s="16">
        <f t="shared" si="9"/>
        <v>68.715199539040142</v>
      </c>
      <c r="D179" s="17">
        <f t="shared" si="11"/>
        <v>76.350221710044607</v>
      </c>
      <c r="E179" s="17">
        <f t="shared" si="10"/>
        <v>83.985243881049072</v>
      </c>
      <c r="F179" s="2">
        <v>76.4114</v>
      </c>
      <c r="G179" s="2" t="str">
        <f t="shared" si="8"/>
        <v>Pass</v>
      </c>
      <c r="Y179" s="2">
        <v>164</v>
      </c>
      <c r="Z179" s="2">
        <v>0.33279999999999998</v>
      </c>
      <c r="AA179" s="2">
        <v>0.34860000000000002</v>
      </c>
      <c r="AB179" s="2">
        <v>78.491299999999995</v>
      </c>
    </row>
    <row r="180" spans="2:28" x14ac:dyDescent="0.4">
      <c r="B180" s="11">
        <v>163</v>
      </c>
      <c r="C180" s="16">
        <f t="shared" si="9"/>
        <v>69.650438181041665</v>
      </c>
      <c r="D180" s="17">
        <f t="shared" si="11"/>
        <v>77.389375756712965</v>
      </c>
      <c r="E180" s="17">
        <f t="shared" si="10"/>
        <v>85.128313332384266</v>
      </c>
      <c r="F180" s="2">
        <v>77.831000000000003</v>
      </c>
      <c r="G180" s="2" t="str">
        <f t="shared" si="8"/>
        <v>Pass</v>
      </c>
      <c r="Y180" s="2">
        <v>165</v>
      </c>
      <c r="Z180" s="2">
        <v>0.3327</v>
      </c>
      <c r="AA180" s="2">
        <v>0.34839999999999999</v>
      </c>
      <c r="AB180" s="2">
        <v>79.829499999999996</v>
      </c>
    </row>
    <row r="181" spans="2:28" x14ac:dyDescent="0.4">
      <c r="B181" s="11">
        <v>164</v>
      </c>
      <c r="C181" s="16">
        <f t="shared" si="9"/>
        <v>70.592577258828172</v>
      </c>
      <c r="D181" s="17">
        <f t="shared" si="11"/>
        <v>78.436196954253518</v>
      </c>
      <c r="E181" s="17">
        <f t="shared" si="10"/>
        <v>86.279816649678864</v>
      </c>
      <c r="F181" s="2">
        <v>78.491299999999995</v>
      </c>
      <c r="G181" s="2" t="str">
        <f t="shared" si="8"/>
        <v>Pass</v>
      </c>
      <c r="Y181" s="2">
        <v>166</v>
      </c>
      <c r="Z181" s="2">
        <v>0.33279999999999998</v>
      </c>
      <c r="AA181" s="2">
        <v>0.3483</v>
      </c>
      <c r="AB181" s="2">
        <v>80.873199999999997</v>
      </c>
    </row>
    <row r="182" spans="2:28" x14ac:dyDescent="0.4">
      <c r="B182" s="11">
        <v>165</v>
      </c>
      <c r="C182" s="16">
        <f t="shared" si="9"/>
        <v>71.541625206165961</v>
      </c>
      <c r="D182" s="17">
        <f t="shared" si="11"/>
        <v>79.490694673517737</v>
      </c>
      <c r="E182" s="17">
        <f t="shared" si="10"/>
        <v>87.439764140869514</v>
      </c>
      <c r="F182" s="2">
        <v>79.829499999999996</v>
      </c>
      <c r="G182" s="2" t="str">
        <f t="shared" si="8"/>
        <v>Pass</v>
      </c>
      <c r="Y182" s="2">
        <v>167</v>
      </c>
      <c r="Z182" s="2">
        <v>0.33339999999999997</v>
      </c>
      <c r="AA182" s="2">
        <v>0.34910000000000002</v>
      </c>
      <c r="AB182" s="2">
        <v>82.0291</v>
      </c>
    </row>
    <row r="183" spans="2:28" x14ac:dyDescent="0.4">
      <c r="B183" s="11">
        <v>166</v>
      </c>
      <c r="C183" s="16">
        <f t="shared" si="9"/>
        <v>72.497590415840122</v>
      </c>
      <c r="D183" s="17">
        <f t="shared" si="11"/>
        <v>80.552878239822363</v>
      </c>
      <c r="E183" s="17">
        <f t="shared" si="10"/>
        <v>88.608166063804603</v>
      </c>
      <c r="F183" s="2">
        <v>80.873199999999997</v>
      </c>
      <c r="G183" s="2" t="str">
        <f t="shared" si="8"/>
        <v>Pass</v>
      </c>
      <c r="Y183" s="2">
        <v>168</v>
      </c>
      <c r="Z183" s="2">
        <v>0.3332</v>
      </c>
      <c r="AA183" s="2">
        <v>0.34789999999999999</v>
      </c>
      <c r="AB183" s="2">
        <v>82.378</v>
      </c>
    </row>
    <row r="184" spans="2:28" x14ac:dyDescent="0.4">
      <c r="B184" s="11">
        <v>167</v>
      </c>
      <c r="C184" s="16">
        <f t="shared" si="9"/>
        <v>73.460481240099881</v>
      </c>
      <c r="D184" s="17">
        <f t="shared" si="11"/>
        <v>81.622756933444307</v>
      </c>
      <c r="E184" s="17">
        <f t="shared" si="10"/>
        <v>89.785032626788734</v>
      </c>
      <c r="F184" s="2">
        <v>82.0291</v>
      </c>
      <c r="G184" s="2" t="str">
        <f t="shared" si="8"/>
        <v>Pass</v>
      </c>
      <c r="Y184" s="2">
        <v>169</v>
      </c>
      <c r="Z184" s="2">
        <v>0.33289999999999997</v>
      </c>
      <c r="AA184" s="2">
        <v>0.34760000000000002</v>
      </c>
      <c r="AB184" s="2">
        <v>83.786500000000004</v>
      </c>
    </row>
    <row r="185" spans="2:28" x14ac:dyDescent="0.4">
      <c r="B185" s="11">
        <v>168</v>
      </c>
      <c r="C185" s="16">
        <f t="shared" si="9"/>
        <v>74.430305991096432</v>
      </c>
      <c r="D185" s="17">
        <f t="shared" si="11"/>
        <v>82.700339990107153</v>
      </c>
      <c r="E185" s="17">
        <f t="shared" si="10"/>
        <v>90.970373989117874</v>
      </c>
      <c r="F185" s="2">
        <v>82.378</v>
      </c>
      <c r="G185" s="2" t="str">
        <f t="shared" si="8"/>
        <v>Pass</v>
      </c>
      <c r="Y185" s="2">
        <v>170</v>
      </c>
      <c r="Z185" s="2">
        <v>0.33279999999999998</v>
      </c>
      <c r="AA185" s="2">
        <v>0.34739999999999999</v>
      </c>
      <c r="AB185" s="2">
        <v>84.808599999999998</v>
      </c>
    </row>
    <row r="186" spans="2:28" x14ac:dyDescent="0.4">
      <c r="B186" s="11">
        <v>169</v>
      </c>
      <c r="C186" s="16">
        <f t="shared" si="9"/>
        <v>75.40707294131353</v>
      </c>
      <c r="D186" s="17">
        <f t="shared" si="11"/>
        <v>83.785636601459473</v>
      </c>
      <c r="E186" s="17">
        <f t="shared" si="10"/>
        <v>92.164200261605416</v>
      </c>
      <c r="F186" s="2">
        <v>83.786500000000004</v>
      </c>
      <c r="G186" s="2" t="str">
        <f t="shared" si="8"/>
        <v>Pass</v>
      </c>
      <c r="Y186" s="2">
        <v>171</v>
      </c>
      <c r="Z186" s="2">
        <v>0.33410000000000001</v>
      </c>
      <c r="AA186" s="2">
        <v>0.34899999999999998</v>
      </c>
      <c r="AB186" s="2">
        <v>85.879800000000003</v>
      </c>
    </row>
    <row r="187" spans="2:28" x14ac:dyDescent="0.4">
      <c r="B187" s="11">
        <v>170</v>
      </c>
      <c r="C187" s="16">
        <f t="shared" si="9"/>
        <v>76.390790323990885</v>
      </c>
      <c r="D187" s="17">
        <f t="shared" si="11"/>
        <v>84.878655915545423</v>
      </c>
      <c r="E187" s="17">
        <f t="shared" si="10"/>
        <v>93.366521507099961</v>
      </c>
      <c r="F187" s="2">
        <v>84.808599999999998</v>
      </c>
      <c r="G187" s="2" t="str">
        <f t="shared" si="8"/>
        <v>Pass</v>
      </c>
      <c r="Y187" s="2">
        <v>172</v>
      </c>
      <c r="Z187" s="2">
        <v>0.33400000000000002</v>
      </c>
      <c r="AA187" s="2">
        <v>0.34889999999999999</v>
      </c>
      <c r="AB187" s="2">
        <v>87.427099999999996</v>
      </c>
    </row>
    <row r="188" spans="2:28" x14ac:dyDescent="0.4">
      <c r="B188" s="11">
        <v>171</v>
      </c>
      <c r="C188" s="16">
        <f t="shared" si="9"/>
        <v>77.381466333540615</v>
      </c>
      <c r="D188" s="17">
        <f t="shared" si="11"/>
        <v>85.97940703726735</v>
      </c>
      <c r="E188" s="17">
        <f t="shared" si="10"/>
        <v>94.577347740994085</v>
      </c>
      <c r="F188" s="2">
        <v>85.879800000000003</v>
      </c>
      <c r="G188" s="2" t="str">
        <f t="shared" si="8"/>
        <v>Pass</v>
      </c>
      <c r="Y188" s="2">
        <v>173</v>
      </c>
      <c r="Z188" s="2">
        <v>0.3337</v>
      </c>
      <c r="AA188" s="2">
        <v>0.34870000000000001</v>
      </c>
      <c r="AB188" s="2">
        <v>88.474000000000004</v>
      </c>
    </row>
    <row r="189" spans="2:28" x14ac:dyDescent="0.4">
      <c r="B189" s="11">
        <v>172</v>
      </c>
      <c r="C189" s="16">
        <f t="shared" si="9"/>
        <v>78.379109125956774</v>
      </c>
      <c r="D189" s="17">
        <f t="shared" si="11"/>
        <v>87.087899028840866</v>
      </c>
      <c r="E189" s="17">
        <f t="shared" si="10"/>
        <v>95.796688931724958</v>
      </c>
      <c r="F189" s="2">
        <v>87.427099999999996</v>
      </c>
      <c r="G189" s="2" t="str">
        <f t="shared" si="8"/>
        <v>Pass</v>
      </c>
      <c r="Y189" s="2">
        <v>174</v>
      </c>
      <c r="Z189" s="2">
        <v>0.33350000000000002</v>
      </c>
      <c r="AA189" s="2">
        <v>0.34870000000000001</v>
      </c>
      <c r="AB189" s="2">
        <v>89.937399999999997</v>
      </c>
    </row>
    <row r="190" spans="2:28" x14ac:dyDescent="0.4">
      <c r="B190" s="11">
        <v>173</v>
      </c>
      <c r="C190" s="16">
        <f t="shared" si="9"/>
        <v>79.383726819218339</v>
      </c>
      <c r="D190" s="17">
        <f t="shared" si="11"/>
        <v>88.2041409102426</v>
      </c>
      <c r="E190" s="17">
        <f t="shared" si="10"/>
        <v>97.024555001266862</v>
      </c>
      <c r="F190" s="2">
        <v>88.474000000000004</v>
      </c>
      <c r="G190" s="2" t="str">
        <f t="shared" si="8"/>
        <v>Pass</v>
      </c>
      <c r="Y190" s="2">
        <v>175</v>
      </c>
      <c r="Z190" s="2">
        <v>0.33389999999999997</v>
      </c>
      <c r="AA190" s="2">
        <v>0.3483</v>
      </c>
      <c r="AB190" s="2">
        <v>90.263199999999998</v>
      </c>
    </row>
    <row r="191" spans="2:28" x14ac:dyDescent="0.4">
      <c r="B191" s="11">
        <v>174</v>
      </c>
      <c r="C191" s="16">
        <f t="shared" si="9"/>
        <v>80.395327493685429</v>
      </c>
      <c r="D191" s="17">
        <f t="shared" si="11"/>
        <v>89.32814165965047</v>
      </c>
      <c r="E191" s="17">
        <f t="shared" si="10"/>
        <v>98.260955825615511</v>
      </c>
      <c r="F191" s="2">
        <v>89.937399999999997</v>
      </c>
      <c r="G191" s="2" t="str">
        <f t="shared" si="8"/>
        <v>Pass</v>
      </c>
      <c r="Y191" s="2">
        <v>176</v>
      </c>
      <c r="Z191" s="2">
        <v>0.33379999999999999</v>
      </c>
      <c r="AA191" s="2">
        <v>0.34810000000000002</v>
      </c>
      <c r="AB191" s="2">
        <v>91.353999999999999</v>
      </c>
    </row>
    <row r="192" spans="2:28" x14ac:dyDescent="0.4">
      <c r="B192" s="11">
        <v>175</v>
      </c>
      <c r="C192" s="16">
        <f t="shared" si="9"/>
        <v>81.413919192489473</v>
      </c>
      <c r="D192" s="17">
        <f t="shared" si="11"/>
        <v>90.459910213877194</v>
      </c>
      <c r="E192" s="17">
        <f t="shared" si="10"/>
        <v>99.505901235264915</v>
      </c>
      <c r="F192" s="2">
        <v>90.263199999999998</v>
      </c>
      <c r="G192" s="2" t="str">
        <f t="shared" si="8"/>
        <v>Pass</v>
      </c>
      <c r="Y192" s="2">
        <v>177</v>
      </c>
      <c r="Z192" s="2">
        <v>0.33360000000000001</v>
      </c>
      <c r="AA192" s="2">
        <v>0.34789999999999999</v>
      </c>
      <c r="AB192" s="2">
        <v>92.417699999999996</v>
      </c>
    </row>
    <row r="193" spans="2:28" x14ac:dyDescent="0.4">
      <c r="B193" s="11">
        <v>176</v>
      </c>
      <c r="C193" s="16">
        <f t="shared" si="9"/>
        <v>82.439509921916809</v>
      </c>
      <c r="D193" s="17">
        <f t="shared" si="11"/>
        <v>91.59945546879645</v>
      </c>
      <c r="E193" s="17">
        <f t="shared" si="10"/>
        <v>100.75940101567609</v>
      </c>
      <c r="F193" s="2">
        <v>91.353999999999999</v>
      </c>
      <c r="G193" s="2" t="str">
        <f t="shared" si="8"/>
        <v>Pass</v>
      </c>
      <c r="Y193" s="2">
        <v>178</v>
      </c>
      <c r="Z193" s="2">
        <v>0.33310000000000001</v>
      </c>
      <c r="AA193" s="2">
        <v>0.34789999999999999</v>
      </c>
      <c r="AB193" s="2">
        <v>93.522199999999998</v>
      </c>
    </row>
    <row r="194" spans="2:28" x14ac:dyDescent="0.4">
      <c r="B194" s="11">
        <v>177</v>
      </c>
      <c r="C194" s="16">
        <f t="shared" si="9"/>
        <v>83.47210765178626</v>
      </c>
      <c r="D194" s="17">
        <f t="shared" si="11"/>
        <v>92.746786279762517</v>
      </c>
      <c r="E194" s="17">
        <f t="shared" si="10"/>
        <v>102.02146490773877</v>
      </c>
      <c r="F194" s="2">
        <v>92.417699999999996</v>
      </c>
      <c r="G194" s="2" t="str">
        <f t="shared" si="8"/>
        <v>Pass</v>
      </c>
      <c r="Y194" s="2">
        <v>179</v>
      </c>
      <c r="Z194" s="2">
        <v>0.33279999999999998</v>
      </c>
      <c r="AA194" s="2">
        <v>0.34760000000000002</v>
      </c>
      <c r="AB194" s="2">
        <v>95.007999999999996</v>
      </c>
    </row>
    <row r="195" spans="2:28" x14ac:dyDescent="0.4">
      <c r="B195" s="11">
        <v>178</v>
      </c>
      <c r="C195" s="16">
        <f t="shared" si="9"/>
        <v>84.511720315820909</v>
      </c>
      <c r="D195" s="17">
        <f t="shared" si="11"/>
        <v>93.901911462023236</v>
      </c>
      <c r="E195" s="17">
        <f t="shared" si="10"/>
        <v>103.29210260822556</v>
      </c>
      <c r="F195" s="2">
        <v>93.522199999999998</v>
      </c>
      <c r="G195" s="2" t="str">
        <f t="shared" si="8"/>
        <v>Pass</v>
      </c>
      <c r="Y195" s="2">
        <v>180</v>
      </c>
      <c r="Z195" s="2">
        <v>0.3337</v>
      </c>
      <c r="AA195" s="2">
        <v>0.34939999999999999</v>
      </c>
      <c r="AB195" s="2">
        <v>96.150400000000005</v>
      </c>
    </row>
    <row r="196" spans="2:28" x14ac:dyDescent="0.4">
      <c r="B196" s="11">
        <v>179</v>
      </c>
      <c r="C196" s="16">
        <f t="shared" si="9"/>
        <v>85.55835581201373</v>
      </c>
      <c r="D196" s="17">
        <f t="shared" si="11"/>
        <v>95.064839791126374</v>
      </c>
      <c r="E196" s="17">
        <f t="shared" si="10"/>
        <v>104.57132377023902</v>
      </c>
      <c r="F196" s="2">
        <v>95.007999999999996</v>
      </c>
      <c r="G196" s="2" t="str">
        <f t="shared" si="8"/>
        <v>Pass</v>
      </c>
      <c r="Y196" s="2">
        <v>181</v>
      </c>
      <c r="Z196" s="2">
        <v>0.33360000000000001</v>
      </c>
      <c r="AA196" s="2">
        <v>0.3493</v>
      </c>
      <c r="AB196" s="2">
        <v>97.198599999999999</v>
      </c>
    </row>
    <row r="197" spans="2:28" x14ac:dyDescent="0.4">
      <c r="B197" s="11">
        <v>180</v>
      </c>
      <c r="C197" s="16">
        <f t="shared" si="9"/>
        <v>86.612022002987658</v>
      </c>
      <c r="D197" s="17">
        <f t="shared" si="11"/>
        <v>96.235580003319612</v>
      </c>
      <c r="E197" s="17">
        <f t="shared" si="10"/>
        <v>105.85913800365157</v>
      </c>
      <c r="F197" s="2">
        <v>96.150400000000005</v>
      </c>
      <c r="G197" s="2" t="str">
        <f t="shared" si="8"/>
        <v>Pass</v>
      </c>
      <c r="Y197" s="2">
        <v>182</v>
      </c>
      <c r="Z197" s="2">
        <v>0.33300000000000002</v>
      </c>
      <c r="AA197" s="2">
        <v>0.3473</v>
      </c>
      <c r="AB197" s="2">
        <v>97.520300000000006</v>
      </c>
    </row>
    <row r="198" spans="2:28" x14ac:dyDescent="0.4">
      <c r="B198" s="11">
        <v>181</v>
      </c>
      <c r="C198" s="16">
        <f t="shared" si="9"/>
        <v>87.672726716349985</v>
      </c>
      <c r="D198" s="17">
        <f t="shared" si="11"/>
        <v>97.414140795944419</v>
      </c>
      <c r="E198" s="17">
        <f t="shared" si="10"/>
        <v>107.15555487553885</v>
      </c>
      <c r="F198" s="2">
        <v>97.198599999999999</v>
      </c>
      <c r="G198" s="2" t="str">
        <f t="shared" si="8"/>
        <v>Pass</v>
      </c>
      <c r="Y198" s="2">
        <v>183</v>
      </c>
      <c r="Z198" s="2">
        <v>0.3327</v>
      </c>
      <c r="AA198" s="2">
        <v>0.34699999999999998</v>
      </c>
      <c r="AB198" s="2">
        <v>99.058099999999996</v>
      </c>
    </row>
    <row r="199" spans="2:28" x14ac:dyDescent="0.4">
      <c r="B199" s="11">
        <v>182</v>
      </c>
      <c r="C199" s="16">
        <f t="shared" si="9"/>
        <v>88.740477745041332</v>
      </c>
      <c r="D199" s="17">
        <f t="shared" si="11"/>
        <v>98.600530827823704</v>
      </c>
      <c r="E199" s="17">
        <f t="shared" si="10"/>
        <v>108.46058391060608</v>
      </c>
      <c r="F199" s="2">
        <v>97.520300000000006</v>
      </c>
      <c r="G199" s="2" t="str">
        <f t="shared" si="8"/>
        <v>Pass</v>
      </c>
      <c r="Y199" s="2">
        <v>184</v>
      </c>
      <c r="Z199" s="2">
        <v>0.33400000000000002</v>
      </c>
      <c r="AA199" s="2">
        <v>0.34860000000000002</v>
      </c>
      <c r="AB199" s="2">
        <v>100.2243</v>
      </c>
    </row>
    <row r="200" spans="2:28" x14ac:dyDescent="0.4">
      <c r="B200" s="11">
        <v>183</v>
      </c>
      <c r="C200" s="16">
        <f t="shared" si="9"/>
        <v>89.8152828476792</v>
      </c>
      <c r="D200" s="17">
        <f t="shared" si="11"/>
        <v>99.794758719643553</v>
      </c>
      <c r="E200" s="17">
        <f t="shared" si="10"/>
        <v>109.77423459160791</v>
      </c>
      <c r="F200" s="2">
        <v>99.058099999999996</v>
      </c>
      <c r="G200" s="2" t="str">
        <f t="shared" si="8"/>
        <v>Pass</v>
      </c>
      <c r="Y200" s="2">
        <v>185</v>
      </c>
      <c r="Z200" s="2">
        <v>0.33389999999999997</v>
      </c>
      <c r="AA200" s="2">
        <v>0.34839999999999999</v>
      </c>
      <c r="AB200" s="2">
        <v>101.3693</v>
      </c>
    </row>
    <row r="201" spans="2:28" x14ac:dyDescent="0.4">
      <c r="B201" s="11">
        <v>184</v>
      </c>
      <c r="C201" s="16">
        <f t="shared" si="9"/>
        <v>90.897149748896197</v>
      </c>
      <c r="D201" s="17">
        <f t="shared" si="11"/>
        <v>100.9968330543291</v>
      </c>
      <c r="E201" s="17">
        <f t="shared" si="10"/>
        <v>111.09651635976201</v>
      </c>
      <c r="F201" s="2">
        <v>100.2243</v>
      </c>
      <c r="G201" s="2" t="str">
        <f t="shared" si="8"/>
        <v>Pass</v>
      </c>
      <c r="Y201" s="2">
        <v>186</v>
      </c>
      <c r="Z201" s="2">
        <v>0.33360000000000001</v>
      </c>
      <c r="AA201" s="2">
        <v>0.34820000000000001</v>
      </c>
      <c r="AB201" s="2">
        <v>102.98350000000001</v>
      </c>
    </row>
    <row r="202" spans="2:28" x14ac:dyDescent="0.4">
      <c r="B202" s="11">
        <v>185</v>
      </c>
      <c r="C202" s="16">
        <f t="shared" si="9"/>
        <v>91.986086139673077</v>
      </c>
      <c r="D202" s="17">
        <f t="shared" si="11"/>
        <v>102.20676237741453</v>
      </c>
      <c r="E202" s="17">
        <f t="shared" si="10"/>
        <v>112.42743861515599</v>
      </c>
      <c r="F202" s="2">
        <v>101.3693</v>
      </c>
      <c r="G202" s="2" t="str">
        <f t="shared" si="8"/>
        <v>Pass</v>
      </c>
      <c r="Y202" s="2">
        <v>187</v>
      </c>
      <c r="Z202" s="2">
        <v>0.33350000000000002</v>
      </c>
      <c r="AA202" s="2">
        <v>0.34799999999999998</v>
      </c>
      <c r="AB202" s="2">
        <v>104.11499999999999</v>
      </c>
    </row>
    <row r="203" spans="2:28" x14ac:dyDescent="0.4">
      <c r="B203" s="11">
        <v>186</v>
      </c>
      <c r="C203" s="16">
        <f t="shared" si="9"/>
        <v>93.082099677667088</v>
      </c>
      <c r="D203" s="17">
        <f t="shared" si="11"/>
        <v>103.42455519740787</v>
      </c>
      <c r="E203" s="17">
        <f t="shared" si="10"/>
        <v>113.76701071714865</v>
      </c>
      <c r="F203" s="2">
        <v>102.98350000000001</v>
      </c>
      <c r="G203" s="2" t="str">
        <f t="shared" si="8"/>
        <v>Pass</v>
      </c>
      <c r="Y203" s="2">
        <v>188</v>
      </c>
      <c r="Z203" s="2">
        <v>0.3342</v>
      </c>
      <c r="AA203" s="2">
        <v>0.34970000000000001</v>
      </c>
      <c r="AB203" s="2">
        <v>105.2428</v>
      </c>
    </row>
    <row r="204" spans="2:28" x14ac:dyDescent="0.4">
      <c r="B204" s="11">
        <v>187</v>
      </c>
      <c r="C204" s="16">
        <f t="shared" si="9"/>
        <v>94.185197987534764</v>
      </c>
      <c r="D204" s="17">
        <f t="shared" si="11"/>
        <v>104.65021998614974</v>
      </c>
      <c r="E204" s="17">
        <f t="shared" si="10"/>
        <v>115.11524198476471</v>
      </c>
      <c r="F204" s="2">
        <v>104.11499999999999</v>
      </c>
      <c r="G204" s="2" t="str">
        <f t="shared" si="8"/>
        <v>Pass</v>
      </c>
      <c r="Y204" s="2">
        <v>189</v>
      </c>
      <c r="Z204" s="2">
        <v>0.33400000000000002</v>
      </c>
      <c r="AA204" s="2">
        <v>0.34960000000000002</v>
      </c>
      <c r="AB204" s="2">
        <v>106.8267</v>
      </c>
    </row>
    <row r="205" spans="2:28" x14ac:dyDescent="0.4">
      <c r="B205" s="11">
        <v>188</v>
      </c>
      <c r="C205" s="16">
        <f t="shared" si="9"/>
        <v>95.29538866125047</v>
      </c>
      <c r="D205" s="17">
        <f t="shared" si="11"/>
        <v>105.88376517916718</v>
      </c>
      <c r="E205" s="17">
        <f t="shared" si="10"/>
        <v>116.4721416970839</v>
      </c>
      <c r="F205" s="2">
        <v>105.2428</v>
      </c>
      <c r="G205" s="2" t="str">
        <f t="shared" si="8"/>
        <v>Pass</v>
      </c>
      <c r="Y205" s="2">
        <v>190</v>
      </c>
      <c r="Z205" s="2">
        <v>0.33389999999999997</v>
      </c>
      <c r="AA205" s="2">
        <v>0.34939999999999999</v>
      </c>
      <c r="AB205" s="2">
        <v>108.003</v>
      </c>
    </row>
    <row r="206" spans="2:28" x14ac:dyDescent="0.4">
      <c r="B206" s="11">
        <v>189</v>
      </c>
      <c r="C206" s="16">
        <f t="shared" si="9"/>
        <v>96.412679258419672</v>
      </c>
      <c r="D206" s="17">
        <f t="shared" si="11"/>
        <v>107.12519917602187</v>
      </c>
      <c r="E206" s="17">
        <f t="shared" si="10"/>
        <v>117.83771909362406</v>
      </c>
      <c r="F206" s="2">
        <v>106.8267</v>
      </c>
      <c r="G206" s="2" t="str">
        <f t="shared" si="8"/>
        <v>Pass</v>
      </c>
      <c r="Y206" s="2">
        <v>191</v>
      </c>
      <c r="Z206" s="2">
        <v>0.3332</v>
      </c>
      <c r="AA206" s="2">
        <v>0.34739999999999999</v>
      </c>
      <c r="AB206" s="2">
        <v>108.4455</v>
      </c>
    </row>
    <row r="207" spans="2:28" x14ac:dyDescent="0.4">
      <c r="B207" s="11">
        <v>190</v>
      </c>
      <c r="C207" s="16">
        <f t="shared" si="9"/>
        <v>97.537077306588117</v>
      </c>
      <c r="D207" s="17">
        <f t="shared" si="11"/>
        <v>108.37453034065346</v>
      </c>
      <c r="E207" s="17">
        <f t="shared" si="10"/>
        <v>119.21198337471881</v>
      </c>
      <c r="F207" s="2">
        <v>108.003</v>
      </c>
      <c r="G207" s="2" t="str">
        <f t="shared" si="8"/>
        <v>Pass</v>
      </c>
      <c r="Y207" s="2">
        <v>192</v>
      </c>
      <c r="Z207" s="2">
        <v>0.33279999999999998</v>
      </c>
      <c r="AA207" s="2">
        <v>0.3468</v>
      </c>
      <c r="AB207" s="2">
        <v>109.6613</v>
      </c>
    </row>
    <row r="208" spans="2:28" x14ac:dyDescent="0.4">
      <c r="B208" s="11">
        <v>191</v>
      </c>
      <c r="C208" s="16">
        <f t="shared" si="9"/>
        <v>98.668590301545791</v>
      </c>
      <c r="D208" s="17">
        <f t="shared" si="11"/>
        <v>109.63176700171755</v>
      </c>
      <c r="E208" s="17">
        <f t="shared" si="10"/>
        <v>120.59494370188931</v>
      </c>
      <c r="F208" s="2">
        <v>108.4455</v>
      </c>
      <c r="G208" s="2" t="str">
        <f t="shared" si="8"/>
        <v>Pass</v>
      </c>
      <c r="Y208" s="2">
        <v>193</v>
      </c>
      <c r="Z208" s="2">
        <v>0.33350000000000002</v>
      </c>
      <c r="AA208" s="2">
        <v>0.34820000000000001</v>
      </c>
      <c r="AB208" s="2">
        <v>111.18680000000001</v>
      </c>
    </row>
    <row r="209" spans="2:28" x14ac:dyDescent="0.4">
      <c r="B209" s="11">
        <v>192</v>
      </c>
      <c r="C209" s="16">
        <f t="shared" si="9"/>
        <v>99.807225707627055</v>
      </c>
      <c r="D209" s="17">
        <f t="shared" si="11"/>
        <v>110.89691745291894</v>
      </c>
      <c r="E209" s="17">
        <f t="shared" si="10"/>
        <v>121.98660919821083</v>
      </c>
      <c r="F209" s="2">
        <v>109.6613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0.3332</v>
      </c>
      <c r="AA209" s="2">
        <v>0.3478</v>
      </c>
      <c r="AB209" s="2">
        <v>112.4688</v>
      </c>
    </row>
    <row r="210" spans="2:28" x14ac:dyDescent="0.4">
      <c r="B210" s="11">
        <v>193</v>
      </c>
      <c r="C210" s="16">
        <f t="shared" ref="C210:C272" si="13">D210-D210*(C$14/100)</f>
        <v>100.95299095800583</v>
      </c>
      <c r="D210" s="17">
        <f t="shared" si="11"/>
        <v>112.16998995333981</v>
      </c>
      <c r="E210" s="17">
        <f t="shared" ref="E210:E272" si="14">D210+D210*(C$14/100)</f>
        <v>123.38698894867379</v>
      </c>
      <c r="F210" s="2">
        <v>111.18680000000001</v>
      </c>
      <c r="G210" s="2" t="str">
        <f t="shared" si="12"/>
        <v>Pass</v>
      </c>
      <c r="Y210" s="2">
        <v>195</v>
      </c>
      <c r="Z210" s="2">
        <v>0.33289999999999997</v>
      </c>
      <c r="AA210" s="2">
        <v>0.34770000000000001</v>
      </c>
      <c r="AB210" s="2">
        <v>114.15170000000001</v>
      </c>
    </row>
    <row r="211" spans="2:28" x14ac:dyDescent="0.4">
      <c r="B211" s="11">
        <v>194</v>
      </c>
      <c r="C211" s="16">
        <f t="shared" si="13"/>
        <v>102.10589345498705</v>
      </c>
      <c r="D211" s="17">
        <f t="shared" ref="D211:D271" si="15">D$272*((B211+F$17)/B$272)^C$13</f>
        <v>113.45099272776339</v>
      </c>
      <c r="E211" s="17">
        <f t="shared" si="14"/>
        <v>124.79609200053973</v>
      </c>
      <c r="F211" s="2">
        <v>112.4688</v>
      </c>
      <c r="G211" s="2" t="str">
        <f t="shared" si="12"/>
        <v>Pass</v>
      </c>
      <c r="Y211" s="2">
        <v>196</v>
      </c>
      <c r="Z211" s="2">
        <v>0.33260000000000001</v>
      </c>
      <c r="AA211" s="2">
        <v>0.34760000000000002</v>
      </c>
      <c r="AB211" s="2">
        <v>115.2754</v>
      </c>
    </row>
    <row r="212" spans="2:28" x14ac:dyDescent="0.4">
      <c r="B212" s="11">
        <v>195</v>
      </c>
      <c r="C212" s="16">
        <f t="shared" si="13"/>
        <v>103.26594057029345</v>
      </c>
      <c r="D212" s="17">
        <f t="shared" si="15"/>
        <v>114.73993396699272</v>
      </c>
      <c r="E212" s="17">
        <f t="shared" si="14"/>
        <v>126.21392736369199</v>
      </c>
      <c r="F212" s="2">
        <v>114.15170000000001</v>
      </c>
      <c r="G212" s="2" t="str">
        <f t="shared" si="12"/>
        <v>Pass</v>
      </c>
      <c r="Y212" s="2">
        <v>197</v>
      </c>
      <c r="Z212" s="2">
        <v>0.33389999999999997</v>
      </c>
      <c r="AA212" s="2">
        <v>0.34899999999999998</v>
      </c>
      <c r="AB212" s="2">
        <v>116.5878</v>
      </c>
    </row>
    <row r="213" spans="2:28" x14ac:dyDescent="0.4">
      <c r="B213" s="11">
        <v>196</v>
      </c>
      <c r="C213" s="16">
        <f t="shared" si="13"/>
        <v>104.4331396453484</v>
      </c>
      <c r="D213" s="17">
        <f t="shared" si="15"/>
        <v>116.0368218281649</v>
      </c>
      <c r="E213" s="17">
        <f t="shared" si="14"/>
        <v>127.6405040109814</v>
      </c>
      <c r="F213" s="2">
        <v>115.2754</v>
      </c>
      <c r="G213" s="2" t="str">
        <f t="shared" si="12"/>
        <v>Pass</v>
      </c>
      <c r="Y213" s="2">
        <v>198</v>
      </c>
      <c r="Z213" s="2">
        <v>0.33360000000000001</v>
      </c>
      <c r="AA213" s="2">
        <v>0.34870000000000001</v>
      </c>
      <c r="AB213" s="2">
        <v>118.1664</v>
      </c>
    </row>
    <row r="214" spans="2:28" x14ac:dyDescent="0.4">
      <c r="B214" s="11">
        <v>197</v>
      </c>
      <c r="C214" s="16">
        <f t="shared" si="13"/>
        <v>105.60749799155468</v>
      </c>
      <c r="D214" s="17">
        <f t="shared" si="15"/>
        <v>117.34166443506076</v>
      </c>
      <c r="E214" s="17">
        <f t="shared" si="14"/>
        <v>129.07583087856685</v>
      </c>
      <c r="F214" s="2">
        <v>116.5878</v>
      </c>
      <c r="G214" s="2" t="str">
        <f t="shared" si="12"/>
        <v>Pass</v>
      </c>
      <c r="Y214" s="2">
        <v>199</v>
      </c>
      <c r="Z214" s="2">
        <v>0.33350000000000002</v>
      </c>
      <c r="AA214" s="2">
        <v>0.34770000000000001</v>
      </c>
      <c r="AB214" s="2">
        <v>118.60899999999999</v>
      </c>
    </row>
    <row r="215" spans="2:28" x14ac:dyDescent="0.4">
      <c r="B215" s="11">
        <v>198</v>
      </c>
      <c r="C215" s="16">
        <f t="shared" si="13"/>
        <v>106.7890228905693</v>
      </c>
      <c r="D215" s="17">
        <f t="shared" si="15"/>
        <v>118.65446987841034</v>
      </c>
      <c r="E215" s="17">
        <f t="shared" si="14"/>
        <v>130.51991686625138</v>
      </c>
      <c r="F215" s="2">
        <v>118.1664</v>
      </c>
      <c r="G215" s="2" t="str">
        <f t="shared" si="12"/>
        <v>Pass</v>
      </c>
      <c r="Y215" s="2">
        <v>200</v>
      </c>
      <c r="Z215" s="2">
        <v>0.33300000000000002</v>
      </c>
      <c r="AA215" s="2">
        <v>0.34760000000000002</v>
      </c>
      <c r="AB215" s="2">
        <v>119.8116</v>
      </c>
    </row>
    <row r="216" spans="2:28" x14ac:dyDescent="0.4">
      <c r="B216" s="11">
        <v>199</v>
      </c>
      <c r="C216" s="16">
        <f t="shared" si="13"/>
        <v>107.9777215945745</v>
      </c>
      <c r="D216" s="17">
        <f t="shared" si="15"/>
        <v>119.9752462161939</v>
      </c>
      <c r="E216" s="17">
        <f t="shared" si="14"/>
        <v>131.9727708378133</v>
      </c>
      <c r="F216" s="2">
        <v>118.60899999999999</v>
      </c>
      <c r="G216" s="2" t="str">
        <f t="shared" si="12"/>
        <v>Pass</v>
      </c>
      <c r="Y216" s="2">
        <v>201</v>
      </c>
      <c r="Z216" s="2">
        <v>0.33360000000000001</v>
      </c>
      <c r="AA216" s="2">
        <v>0.34820000000000001</v>
      </c>
      <c r="AB216" s="2">
        <v>121.15989999999999</v>
      </c>
    </row>
    <row r="217" spans="2:28" x14ac:dyDescent="0.4">
      <c r="B217" s="11">
        <v>200</v>
      </c>
      <c r="C217" s="16">
        <f t="shared" si="13"/>
        <v>109.17360132654468</v>
      </c>
      <c r="D217" s="17">
        <f t="shared" si="15"/>
        <v>121.30400147393854</v>
      </c>
      <c r="E217" s="17">
        <f t="shared" si="14"/>
        <v>133.4344016213324</v>
      </c>
      <c r="F217" s="2">
        <v>119.8116</v>
      </c>
      <c r="G217" s="2" t="str">
        <f t="shared" si="12"/>
        <v>Pass</v>
      </c>
      <c r="Y217" s="2">
        <v>202</v>
      </c>
      <c r="Z217" s="2">
        <v>0.33350000000000002</v>
      </c>
      <c r="AA217" s="2">
        <v>0.3478</v>
      </c>
      <c r="AB217" s="2">
        <v>122.8262</v>
      </c>
    </row>
    <row r="218" spans="2:28" x14ac:dyDescent="0.4">
      <c r="B218" s="11">
        <v>201</v>
      </c>
      <c r="C218" s="16">
        <f t="shared" si="13"/>
        <v>110.37666928050986</v>
      </c>
      <c r="D218" s="17">
        <f t="shared" si="15"/>
        <v>122.64074364501096</v>
      </c>
      <c r="E218" s="17">
        <f t="shared" si="14"/>
        <v>134.90481800951204</v>
      </c>
      <c r="F218" s="2">
        <v>121.15989999999999</v>
      </c>
      <c r="G218" s="2" t="str">
        <f t="shared" si="12"/>
        <v>Pass</v>
      </c>
      <c r="Y218" s="2">
        <v>203</v>
      </c>
      <c r="Z218" s="2">
        <v>0.33339999999999997</v>
      </c>
      <c r="AA218" s="2">
        <v>0.34760000000000002</v>
      </c>
      <c r="AB218" s="2">
        <v>124.06480000000001</v>
      </c>
    </row>
    <row r="219" spans="2:28" x14ac:dyDescent="0.4">
      <c r="B219" s="11">
        <v>202</v>
      </c>
      <c r="C219" s="16">
        <f t="shared" si="13"/>
        <v>111.58693262181532</v>
      </c>
      <c r="D219" s="17">
        <f t="shared" si="15"/>
        <v>123.98548069090592</v>
      </c>
      <c r="E219" s="17">
        <f t="shared" si="14"/>
        <v>136.38402875999651</v>
      </c>
      <c r="F219" s="2">
        <v>122.8262</v>
      </c>
      <c r="G219" s="2" t="str">
        <f t="shared" si="12"/>
        <v>Pass</v>
      </c>
      <c r="Y219" s="2">
        <v>204</v>
      </c>
      <c r="Z219" s="2">
        <v>0.33310000000000001</v>
      </c>
      <c r="AA219" s="2">
        <v>0.34749999999999998</v>
      </c>
      <c r="AB219" s="2">
        <v>125.32340000000001</v>
      </c>
    </row>
    <row r="220" spans="2:28" x14ac:dyDescent="0.4">
      <c r="B220" s="11">
        <v>203</v>
      </c>
      <c r="C220" s="16">
        <f t="shared" si="13"/>
        <v>112.80439848737771</v>
      </c>
      <c r="D220" s="17">
        <f t="shared" si="15"/>
        <v>125.33822054153079</v>
      </c>
      <c r="E220" s="17">
        <f t="shared" si="14"/>
        <v>137.87204259568387</v>
      </c>
      <c r="F220" s="2">
        <v>124.06480000000001</v>
      </c>
      <c r="G220" s="2" t="str">
        <f t="shared" si="12"/>
        <v>Pass</v>
      </c>
      <c r="Y220" s="2">
        <v>205</v>
      </c>
      <c r="Z220" s="2">
        <v>0.3342</v>
      </c>
      <c r="AA220" s="2">
        <v>0.3488</v>
      </c>
      <c r="AB220" s="2">
        <v>126.9713</v>
      </c>
    </row>
    <row r="221" spans="2:28" x14ac:dyDescent="0.4">
      <c r="B221" s="11">
        <v>204</v>
      </c>
      <c r="C221" s="16">
        <f t="shared" si="13"/>
        <v>114.02907398593753</v>
      </c>
      <c r="D221" s="17">
        <f t="shared" si="15"/>
        <v>126.69897109548614</v>
      </c>
      <c r="E221" s="17">
        <f t="shared" si="14"/>
        <v>139.36886820503474</v>
      </c>
      <c r="F221" s="2">
        <v>125.32340000000001</v>
      </c>
      <c r="G221" s="2" t="str">
        <f t="shared" si="12"/>
        <v>Pass</v>
      </c>
      <c r="Y221" s="2">
        <v>206</v>
      </c>
      <c r="Z221" s="2">
        <v>0.33410000000000001</v>
      </c>
      <c r="AA221" s="2">
        <v>0.34860000000000002</v>
      </c>
      <c r="AB221" s="2">
        <v>128.2175</v>
      </c>
    </row>
    <row r="222" spans="2:28" x14ac:dyDescent="0.4">
      <c r="B222" s="11">
        <v>205</v>
      </c>
      <c r="C222" s="16">
        <f t="shared" si="13"/>
        <v>115.26096619830822</v>
      </c>
      <c r="D222" s="17">
        <f t="shared" si="15"/>
        <v>128.06774022034247</v>
      </c>
      <c r="E222" s="17">
        <f t="shared" si="14"/>
        <v>140.87451424237673</v>
      </c>
      <c r="F222" s="2">
        <v>126.9713</v>
      </c>
      <c r="G222" s="2" t="str">
        <f t="shared" si="12"/>
        <v>Pass</v>
      </c>
      <c r="Y222" s="2">
        <v>207</v>
      </c>
      <c r="Z222" s="2">
        <v>0.33389999999999997</v>
      </c>
      <c r="AA222" s="2">
        <v>0.34839999999999999</v>
      </c>
      <c r="AB222" s="2">
        <v>129.90360000000001</v>
      </c>
    </row>
    <row r="223" spans="2:28" x14ac:dyDescent="0.4">
      <c r="B223" s="11">
        <v>206</v>
      </c>
      <c r="C223" s="16">
        <f t="shared" si="13"/>
        <v>116.50008217762175</v>
      </c>
      <c r="D223" s="17">
        <f t="shared" si="15"/>
        <v>129.44453575291305</v>
      </c>
      <c r="E223" s="17">
        <f t="shared" si="14"/>
        <v>142.38898932820436</v>
      </c>
      <c r="F223" s="2">
        <v>128.2175</v>
      </c>
      <c r="G223" s="2" t="str">
        <f t="shared" si="12"/>
        <v>Pass</v>
      </c>
      <c r="Y223" s="2">
        <v>208</v>
      </c>
      <c r="Z223" s="2">
        <v>0.3337</v>
      </c>
      <c r="AA223" s="2">
        <v>0.3473</v>
      </c>
      <c r="AB223" s="2">
        <v>130.2987</v>
      </c>
    </row>
    <row r="224" spans="2:28" x14ac:dyDescent="0.4">
      <c r="B224" s="11">
        <v>207</v>
      </c>
      <c r="C224" s="16">
        <f t="shared" si="13"/>
        <v>117.74642894957105</v>
      </c>
      <c r="D224" s="17">
        <f t="shared" si="15"/>
        <v>130.82936549952339</v>
      </c>
      <c r="E224" s="17">
        <f t="shared" si="14"/>
        <v>143.91230204947573</v>
      </c>
      <c r="F224" s="2">
        <v>129.90360000000001</v>
      </c>
      <c r="G224" s="2" t="str">
        <f t="shared" si="12"/>
        <v>Pass</v>
      </c>
      <c r="Y224" s="2">
        <v>209</v>
      </c>
      <c r="Z224" s="2">
        <v>0.33450000000000002</v>
      </c>
      <c r="AA224" s="2">
        <v>0.34870000000000001</v>
      </c>
      <c r="AB224" s="2">
        <v>131.5814</v>
      </c>
    </row>
    <row r="225" spans="2:28" x14ac:dyDescent="0.4">
      <c r="B225" s="11">
        <v>208</v>
      </c>
      <c r="C225" s="16">
        <f t="shared" si="13"/>
        <v>119.00001351264888</v>
      </c>
      <c r="D225" s="17">
        <f t="shared" si="15"/>
        <v>132.22223723627653</v>
      </c>
      <c r="E225" s="17">
        <f t="shared" si="14"/>
        <v>145.44446095990418</v>
      </c>
      <c r="F225" s="2">
        <v>130.2987</v>
      </c>
      <c r="G225" s="2" t="str">
        <f t="shared" si="12"/>
        <v>Pass</v>
      </c>
      <c r="Y225" s="2">
        <v>210</v>
      </c>
      <c r="Z225" s="2">
        <v>0.33429999999999999</v>
      </c>
      <c r="AA225" s="2">
        <v>0.34849999999999998</v>
      </c>
      <c r="AB225" s="2">
        <v>132.85050000000001</v>
      </c>
    </row>
    <row r="226" spans="2:28" x14ac:dyDescent="0.4">
      <c r="B226" s="11">
        <v>209</v>
      </c>
      <c r="C226" s="16">
        <f t="shared" si="13"/>
        <v>120.26084283838367</v>
      </c>
      <c r="D226" s="17">
        <f t="shared" si="15"/>
        <v>133.62315870931519</v>
      </c>
      <c r="E226" s="17">
        <f t="shared" si="14"/>
        <v>146.98547458024672</v>
      </c>
      <c r="F226" s="2">
        <v>131.5814</v>
      </c>
      <c r="G226" s="2" t="str">
        <f t="shared" si="12"/>
        <v>Pass</v>
      </c>
      <c r="Y226" s="2">
        <v>211</v>
      </c>
      <c r="Z226" s="2">
        <v>0.33410000000000001</v>
      </c>
      <c r="AA226" s="2">
        <v>0.3483</v>
      </c>
      <c r="AB226" s="2">
        <v>134.58150000000001</v>
      </c>
    </row>
    <row r="227" spans="2:28" x14ac:dyDescent="0.4">
      <c r="B227" s="11">
        <v>210</v>
      </c>
      <c r="C227" s="16">
        <f t="shared" si="13"/>
        <v>121.52892387157229</v>
      </c>
      <c r="D227" s="17">
        <f t="shared" si="15"/>
        <v>135.03213763508032</v>
      </c>
      <c r="E227" s="17">
        <f t="shared" si="14"/>
        <v>148.53535139858835</v>
      </c>
      <c r="F227" s="2">
        <v>132.85050000000001</v>
      </c>
      <c r="G227" s="2" t="str">
        <f t="shared" si="12"/>
        <v>Pass</v>
      </c>
      <c r="Y227" s="2">
        <v>212</v>
      </c>
      <c r="Z227" s="2">
        <v>0.33400000000000002</v>
      </c>
      <c r="AA227" s="2">
        <v>0.34820000000000001</v>
      </c>
      <c r="AB227" s="2">
        <v>135.89230000000001</v>
      </c>
    </row>
    <row r="228" spans="2:28" x14ac:dyDescent="0.4">
      <c r="B228" s="11">
        <v>211</v>
      </c>
      <c r="C228" s="16">
        <f t="shared" si="13"/>
        <v>122.80426353050939</v>
      </c>
      <c r="D228" s="17">
        <f t="shared" si="15"/>
        <v>136.44918170056599</v>
      </c>
      <c r="E228" s="17">
        <f t="shared" si="14"/>
        <v>150.09409987062259</v>
      </c>
      <c r="F228" s="2">
        <v>134.58150000000001</v>
      </c>
      <c r="G228" s="2" t="str">
        <f t="shared" si="12"/>
        <v>Pass</v>
      </c>
      <c r="Y228" s="2">
        <v>213</v>
      </c>
      <c r="Z228" s="2">
        <v>0.3342</v>
      </c>
      <c r="AA228" s="2">
        <v>0.34870000000000001</v>
      </c>
      <c r="AB228" s="2">
        <v>137.24350000000001</v>
      </c>
    </row>
    <row r="229" spans="2:28" x14ac:dyDescent="0.4">
      <c r="B229" s="11">
        <v>212</v>
      </c>
      <c r="C229" s="16">
        <f t="shared" si="13"/>
        <v>124.08686870721397</v>
      </c>
      <c r="D229" s="17">
        <f t="shared" si="15"/>
        <v>137.87429856357107</v>
      </c>
      <c r="E229" s="17">
        <f t="shared" si="14"/>
        <v>151.66172841992818</v>
      </c>
      <c r="F229" s="2">
        <v>135.89230000000001</v>
      </c>
      <c r="G229" s="2" t="str">
        <f t="shared" si="12"/>
        <v>Pass</v>
      </c>
      <c r="Y229" s="2">
        <v>214</v>
      </c>
      <c r="Z229" s="2">
        <v>0.33410000000000001</v>
      </c>
      <c r="AA229" s="2">
        <v>0.34860000000000002</v>
      </c>
      <c r="AB229" s="2">
        <v>138.98699999999999</v>
      </c>
    </row>
    <row r="230" spans="2:28" x14ac:dyDescent="0.4">
      <c r="B230" s="11">
        <v>213</v>
      </c>
      <c r="C230" s="16">
        <f t="shared" si="13"/>
        <v>125.37674626765286</v>
      </c>
      <c r="D230" s="17">
        <f t="shared" si="15"/>
        <v>139.30749585294762</v>
      </c>
      <c r="E230" s="17">
        <f t="shared" si="14"/>
        <v>153.23824543824239</v>
      </c>
      <c r="F230" s="2">
        <v>137.24350000000001</v>
      </c>
      <c r="G230" s="2" t="str">
        <f t="shared" si="12"/>
        <v>Pass</v>
      </c>
      <c r="Y230" s="2">
        <v>215</v>
      </c>
      <c r="Z230" s="2">
        <v>0.33389999999999997</v>
      </c>
      <c r="AA230" s="2">
        <v>0.34839999999999999</v>
      </c>
      <c r="AB230" s="2">
        <v>140.32429999999999</v>
      </c>
    </row>
    <row r="231" spans="2:28" x14ac:dyDescent="0.4">
      <c r="B231" s="11">
        <v>214</v>
      </c>
      <c r="C231" s="16">
        <f t="shared" si="13"/>
        <v>126.67390305196126</v>
      </c>
      <c r="D231" s="17">
        <f t="shared" si="15"/>
        <v>140.74878116884585</v>
      </c>
      <c r="E231" s="17">
        <f t="shared" si="14"/>
        <v>154.82365928573043</v>
      </c>
      <c r="F231" s="2">
        <v>138.98699999999999</v>
      </c>
      <c r="G231" s="2" t="str">
        <f t="shared" si="12"/>
        <v>Pass</v>
      </c>
      <c r="Y231" s="2">
        <v>216</v>
      </c>
      <c r="Z231" s="2">
        <v>0.3337</v>
      </c>
      <c r="AA231" s="2">
        <v>0.3483</v>
      </c>
      <c r="AB231" s="2">
        <v>142.12289999999999</v>
      </c>
    </row>
    <row r="232" spans="2:28" x14ac:dyDescent="0.4">
      <c r="B232" s="11">
        <v>215</v>
      </c>
      <c r="C232" s="16">
        <f t="shared" si="13"/>
        <v>127.97834587466032</v>
      </c>
      <c r="D232" s="17">
        <f t="shared" si="15"/>
        <v>142.19816208295592</v>
      </c>
      <c r="E232" s="17">
        <f t="shared" si="14"/>
        <v>156.4179782912515</v>
      </c>
      <c r="F232" s="2">
        <v>140.32429999999999</v>
      </c>
      <c r="G232" s="2" t="str">
        <f t="shared" si="12"/>
        <v>Pass</v>
      </c>
      <c r="Y232" s="2">
        <v>217</v>
      </c>
      <c r="Z232" s="2">
        <v>0.33350000000000002</v>
      </c>
      <c r="AA232" s="2">
        <v>0.34820000000000001</v>
      </c>
      <c r="AB232" s="2">
        <v>143.47669999999999</v>
      </c>
    </row>
    <row r="233" spans="2:28" x14ac:dyDescent="0.4">
      <c r="B233" s="11">
        <v>216</v>
      </c>
      <c r="C233" s="16">
        <f t="shared" si="13"/>
        <v>129.29008152487197</v>
      </c>
      <c r="D233" s="17">
        <f t="shared" si="15"/>
        <v>143.65564613874662</v>
      </c>
      <c r="E233" s="17">
        <f t="shared" si="14"/>
        <v>158.02121075262127</v>
      </c>
      <c r="F233" s="2">
        <v>142.12289999999999</v>
      </c>
      <c r="G233" s="2" t="str">
        <f t="shared" si="12"/>
        <v>Pass</v>
      </c>
      <c r="Y233" s="2">
        <v>218</v>
      </c>
      <c r="Z233" s="2">
        <v>0.33429999999999999</v>
      </c>
      <c r="AA233" s="2">
        <v>0.34939999999999999</v>
      </c>
      <c r="AB233" s="2">
        <v>144.74860000000001</v>
      </c>
    </row>
    <row r="234" spans="2:28" x14ac:dyDescent="0.4">
      <c r="B234" s="11">
        <v>217</v>
      </c>
      <c r="C234" s="16">
        <f t="shared" si="13"/>
        <v>130.60911676653095</v>
      </c>
      <c r="D234" s="17">
        <f t="shared" si="15"/>
        <v>145.12124085170106</v>
      </c>
      <c r="E234" s="17">
        <f t="shared" si="14"/>
        <v>159.63336493687117</v>
      </c>
      <c r="F234" s="2">
        <v>143.47669999999999</v>
      </c>
      <c r="G234" s="2" t="str">
        <f t="shared" si="12"/>
        <v>Pass</v>
      </c>
      <c r="Y234" s="2">
        <v>219</v>
      </c>
      <c r="Z234" s="2">
        <v>0.33389999999999997</v>
      </c>
      <c r="AA234" s="2">
        <v>0.34910000000000002</v>
      </c>
      <c r="AB234" s="2">
        <v>146.44049999999999</v>
      </c>
    </row>
    <row r="235" spans="2:28" x14ac:dyDescent="0.4">
      <c r="B235" s="11">
        <v>218</v>
      </c>
      <c r="C235" s="16">
        <f t="shared" si="13"/>
        <v>131.93545833859429</v>
      </c>
      <c r="D235" s="17">
        <f t="shared" si="15"/>
        <v>146.5949537095492</v>
      </c>
      <c r="E235" s="17">
        <f t="shared" si="14"/>
        <v>161.25444908050412</v>
      </c>
      <c r="F235" s="2">
        <v>144.74860000000001</v>
      </c>
      <c r="G235" s="2" t="str">
        <f t="shared" si="12"/>
        <v>Pass</v>
      </c>
      <c r="Y235" s="2">
        <v>220</v>
      </c>
      <c r="Z235" s="2">
        <v>0.33400000000000002</v>
      </c>
      <c r="AA235" s="2">
        <v>0.34870000000000001</v>
      </c>
      <c r="AB235" s="2">
        <v>148.3049</v>
      </c>
    </row>
    <row r="236" spans="2:28" x14ac:dyDescent="0.4">
      <c r="B236" s="11">
        <v>219</v>
      </c>
      <c r="C236" s="16">
        <f t="shared" si="13"/>
        <v>133.26911295524738</v>
      </c>
      <c r="D236" s="17">
        <f t="shared" si="15"/>
        <v>148.07679217249708</v>
      </c>
      <c r="E236" s="17">
        <f t="shared" si="14"/>
        <v>162.88447138974678</v>
      </c>
      <c r="F236" s="2">
        <v>146.44049999999999</v>
      </c>
      <c r="G236" s="2" t="str">
        <f t="shared" si="12"/>
        <v>Pass</v>
      </c>
      <c r="Y236" s="2">
        <v>221</v>
      </c>
      <c r="Z236" s="2">
        <v>0.3342</v>
      </c>
      <c r="AA236" s="2">
        <v>0.34760000000000002</v>
      </c>
      <c r="AB236" s="2">
        <v>148.7122</v>
      </c>
    </row>
    <row r="237" spans="2:28" x14ac:dyDescent="0.4">
      <c r="B237" s="11">
        <v>220</v>
      </c>
      <c r="C237" s="16">
        <f t="shared" si="13"/>
        <v>134.61008730610851</v>
      </c>
      <c r="D237" s="17">
        <f t="shared" si="15"/>
        <v>149.56676367345389</v>
      </c>
      <c r="E237" s="17">
        <f t="shared" si="14"/>
        <v>164.52344004079927</v>
      </c>
      <c r="F237" s="2">
        <v>148.3049</v>
      </c>
      <c r="G237" s="2" t="str">
        <f t="shared" si="12"/>
        <v>Pass</v>
      </c>
      <c r="Y237" s="2">
        <v>222</v>
      </c>
      <c r="Z237" s="2">
        <v>0.33489999999999998</v>
      </c>
      <c r="AA237" s="2">
        <v>0.34899999999999998</v>
      </c>
      <c r="AB237" s="2">
        <v>150.1232</v>
      </c>
    </row>
    <row r="238" spans="2:28" x14ac:dyDescent="0.4">
      <c r="B238" s="11">
        <v>221</v>
      </c>
      <c r="C238" s="16">
        <f t="shared" si="13"/>
        <v>135.95838805642975</v>
      </c>
      <c r="D238" s="17">
        <f t="shared" si="15"/>
        <v>151.06487561825529</v>
      </c>
      <c r="E238" s="17">
        <f t="shared" si="14"/>
        <v>166.17136318008082</v>
      </c>
      <c r="F238" s="2">
        <v>148.7122</v>
      </c>
      <c r="G238" s="2" t="str">
        <f t="shared" si="12"/>
        <v>Pass</v>
      </c>
      <c r="Y238" s="2">
        <v>223</v>
      </c>
      <c r="Z238" s="2">
        <v>0.3347</v>
      </c>
      <c r="AA238" s="2">
        <v>0.34889999999999999</v>
      </c>
      <c r="AB238" s="2">
        <v>151.52709999999999</v>
      </c>
    </row>
    <row r="239" spans="2:28" x14ac:dyDescent="0.4">
      <c r="B239" s="11">
        <v>222</v>
      </c>
      <c r="C239" s="16">
        <f t="shared" si="13"/>
        <v>137.314021847296</v>
      </c>
      <c r="D239" s="17">
        <f t="shared" si="15"/>
        <v>152.57113538588445</v>
      </c>
      <c r="E239" s="17">
        <f t="shared" si="14"/>
        <v>167.82824892447289</v>
      </c>
      <c r="F239" s="2">
        <v>150.1232</v>
      </c>
      <c r="G239" s="2" t="str">
        <f t="shared" si="12"/>
        <v>Pass</v>
      </c>
      <c r="Y239" s="2">
        <v>224</v>
      </c>
      <c r="Z239" s="2">
        <v>0.33450000000000002</v>
      </c>
      <c r="AA239" s="2">
        <v>0.3488</v>
      </c>
      <c r="AB239" s="2">
        <v>153.37620000000001</v>
      </c>
    </row>
    <row r="240" spans="2:28" x14ac:dyDescent="0.4">
      <c r="B240" s="11">
        <v>223</v>
      </c>
      <c r="C240" s="16">
        <f t="shared" si="13"/>
        <v>138.6769952958212</v>
      </c>
      <c r="D240" s="17">
        <f t="shared" si="15"/>
        <v>154.08555032869023</v>
      </c>
      <c r="E240" s="17">
        <f t="shared" si="14"/>
        <v>169.49410536155926</v>
      </c>
      <c r="F240" s="2">
        <v>151.52709999999999</v>
      </c>
      <c r="G240" s="2" t="str">
        <f t="shared" si="12"/>
        <v>Pass</v>
      </c>
      <c r="Y240" s="2">
        <v>225</v>
      </c>
      <c r="Z240" s="2">
        <v>0.33439999999999998</v>
      </c>
      <c r="AA240" s="2">
        <v>0.3488</v>
      </c>
      <c r="AB240" s="2">
        <v>154.78710000000001</v>
      </c>
    </row>
    <row r="241" spans="2:28" x14ac:dyDescent="0.4">
      <c r="B241" s="11">
        <v>224</v>
      </c>
      <c r="C241" s="16">
        <f t="shared" si="13"/>
        <v>140.04731499534199</v>
      </c>
      <c r="D241" s="17">
        <f t="shared" si="15"/>
        <v>155.60812777260222</v>
      </c>
      <c r="E241" s="17">
        <f t="shared" si="14"/>
        <v>171.16894054986244</v>
      </c>
      <c r="F241" s="2">
        <v>153.37620000000001</v>
      </c>
      <c r="G241" s="2" t="str">
        <f t="shared" si="12"/>
        <v>Pass</v>
      </c>
      <c r="Y241" s="2">
        <v>226</v>
      </c>
      <c r="Z241" s="2">
        <v>0.3342</v>
      </c>
      <c r="AA241" s="2">
        <v>0.34849999999999998</v>
      </c>
      <c r="AB241" s="2">
        <v>156.6026</v>
      </c>
    </row>
    <row r="242" spans="2:28" x14ac:dyDescent="0.4">
      <c r="B242" s="11">
        <v>225</v>
      </c>
      <c r="C242" s="16">
        <f t="shared" si="13"/>
        <v>141.42498751560925</v>
      </c>
      <c r="D242" s="17">
        <f t="shared" si="15"/>
        <v>157.13887501734362</v>
      </c>
      <c r="E242" s="17">
        <f t="shared" si="14"/>
        <v>172.852762519078</v>
      </c>
      <c r="F242" s="2">
        <v>154.78710000000001</v>
      </c>
      <c r="G242" s="2" t="str">
        <f t="shared" si="12"/>
        <v>Pass</v>
      </c>
      <c r="Y242" s="2">
        <v>227</v>
      </c>
      <c r="Z242" s="2">
        <v>0.33489999999999998</v>
      </c>
      <c r="AA242" s="2">
        <v>0.34989999999999999</v>
      </c>
      <c r="AB242" s="2">
        <v>158.03809999999999</v>
      </c>
    </row>
    <row r="243" spans="2:28" x14ac:dyDescent="0.4">
      <c r="B243" s="11">
        <v>226</v>
      </c>
      <c r="C243" s="16">
        <f t="shared" si="13"/>
        <v>142.81001940297713</v>
      </c>
      <c r="D243" s="17">
        <f t="shared" si="15"/>
        <v>158.67779933664127</v>
      </c>
      <c r="E243" s="17">
        <f t="shared" si="14"/>
        <v>174.54557927030541</v>
      </c>
      <c r="F243" s="2">
        <v>156.6026</v>
      </c>
      <c r="G243" s="2" t="str">
        <f t="shared" si="12"/>
        <v>Pass</v>
      </c>
      <c r="Y243" s="2">
        <v>228</v>
      </c>
      <c r="Z243" s="2">
        <v>0.3347</v>
      </c>
      <c r="AA243" s="2">
        <v>0.3498</v>
      </c>
      <c r="AB243" s="2">
        <v>159.43809999999999</v>
      </c>
    </row>
    <row r="244" spans="2:28" x14ac:dyDescent="0.4">
      <c r="B244" s="11">
        <v>227</v>
      </c>
      <c r="C244" s="16">
        <f t="shared" si="13"/>
        <v>144.20241718058949</v>
      </c>
      <c r="D244" s="17">
        <f t="shared" si="15"/>
        <v>160.22490797843278</v>
      </c>
      <c r="E244" s="17">
        <f t="shared" si="14"/>
        <v>176.24739877627607</v>
      </c>
      <c r="F244" s="2">
        <v>158.03809999999999</v>
      </c>
      <c r="G244" s="2" t="str">
        <f t="shared" si="12"/>
        <v>Pass</v>
      </c>
      <c r="Y244" s="2">
        <v>229</v>
      </c>
      <c r="Z244" s="2">
        <v>0.33450000000000002</v>
      </c>
      <c r="AA244" s="2">
        <v>0.34960000000000002</v>
      </c>
      <c r="AB244" s="2">
        <v>161.3312</v>
      </c>
    </row>
    <row r="245" spans="2:28" x14ac:dyDescent="0.4">
      <c r="B245" s="11">
        <v>228</v>
      </c>
      <c r="C245" s="16">
        <f t="shared" si="13"/>
        <v>145.60218734856448</v>
      </c>
      <c r="D245" s="17">
        <f t="shared" si="15"/>
        <v>161.78020816507166</v>
      </c>
      <c r="E245" s="17">
        <f t="shared" si="14"/>
        <v>177.95822898157883</v>
      </c>
      <c r="F245" s="2">
        <v>159.43809999999999</v>
      </c>
      <c r="G245" s="2" t="str">
        <f t="shared" si="12"/>
        <v>Pass</v>
      </c>
      <c r="Y245" s="2">
        <v>230</v>
      </c>
      <c r="Z245" s="2">
        <v>0.33460000000000001</v>
      </c>
      <c r="AA245" s="2">
        <v>0.34920000000000001</v>
      </c>
      <c r="AB245" s="2">
        <v>163.02500000000001</v>
      </c>
    </row>
    <row r="246" spans="2:28" x14ac:dyDescent="0.4">
      <c r="B246" s="11">
        <v>229</v>
      </c>
      <c r="C246" s="16">
        <f t="shared" si="13"/>
        <v>147.00933638417644</v>
      </c>
      <c r="D246" s="17">
        <f t="shared" si="15"/>
        <v>163.34370709352939</v>
      </c>
      <c r="E246" s="17">
        <f t="shared" si="14"/>
        <v>179.67807780288234</v>
      </c>
      <c r="F246" s="2">
        <v>161.3312</v>
      </c>
      <c r="G246" s="2" t="str">
        <f t="shared" si="12"/>
        <v>Pass</v>
      </c>
      <c r="Y246" s="2">
        <v>231</v>
      </c>
      <c r="Z246" s="2">
        <v>0.33450000000000002</v>
      </c>
      <c r="AA246" s="2">
        <v>0.34899999999999998</v>
      </c>
      <c r="AB246" s="2">
        <v>164.46209999999999</v>
      </c>
    </row>
    <row r="247" spans="2:28" x14ac:dyDescent="0.4">
      <c r="B247" s="11">
        <v>230</v>
      </c>
      <c r="C247" s="16">
        <f t="shared" si="13"/>
        <v>148.42387074203575</v>
      </c>
      <c r="D247" s="17">
        <f t="shared" si="15"/>
        <v>164.91541193559527</v>
      </c>
      <c r="E247" s="17">
        <f t="shared" si="14"/>
        <v>181.4069531291548</v>
      </c>
      <c r="F247" s="2">
        <v>163.02500000000001</v>
      </c>
      <c r="G247" s="2" t="str">
        <f t="shared" si="12"/>
        <v>Pass</v>
      </c>
      <c r="Y247" s="2">
        <v>232</v>
      </c>
      <c r="Z247" s="2">
        <v>0.3352</v>
      </c>
      <c r="AA247" s="2">
        <v>0.3503</v>
      </c>
      <c r="AB247" s="2">
        <v>165.93369999999999</v>
      </c>
    </row>
    <row r="248" spans="2:28" x14ac:dyDescent="0.4">
      <c r="B248" s="11">
        <v>231</v>
      </c>
      <c r="C248" s="16">
        <f t="shared" si="13"/>
        <v>149.84579685426664</v>
      </c>
      <c r="D248" s="17">
        <f t="shared" si="15"/>
        <v>166.49532983807404</v>
      </c>
      <c r="E248" s="17">
        <f t="shared" si="14"/>
        <v>183.14486282188145</v>
      </c>
      <c r="F248" s="2">
        <v>164.46209999999999</v>
      </c>
      <c r="G248" s="2" t="str">
        <f t="shared" si="12"/>
        <v>Pass</v>
      </c>
      <c r="Y248" s="2">
        <v>233</v>
      </c>
      <c r="Z248" s="2">
        <v>0.33500000000000002</v>
      </c>
      <c r="AA248" s="2">
        <v>0.35020000000000001</v>
      </c>
      <c r="AB248" s="2">
        <v>167.8638</v>
      </c>
    </row>
    <row r="249" spans="2:28" x14ac:dyDescent="0.4">
      <c r="B249" s="11">
        <v>232</v>
      </c>
      <c r="C249" s="16">
        <f t="shared" si="13"/>
        <v>151.27512113068246</v>
      </c>
      <c r="D249" s="17">
        <f t="shared" si="15"/>
        <v>168.0834679229805</v>
      </c>
      <c r="E249" s="17">
        <f t="shared" si="14"/>
        <v>184.89181471527854</v>
      </c>
      <c r="F249" s="2">
        <v>165.93369999999999</v>
      </c>
      <c r="G249" s="2" t="str">
        <f t="shared" si="12"/>
        <v>Pass</v>
      </c>
      <c r="Y249" s="2">
        <v>234</v>
      </c>
      <c r="Z249" s="2">
        <v>0.33489999999999998</v>
      </c>
      <c r="AA249" s="2">
        <v>0.35010000000000002</v>
      </c>
      <c r="AB249" s="2">
        <v>169.33670000000001</v>
      </c>
    </row>
    <row r="250" spans="2:28" x14ac:dyDescent="0.4">
      <c r="B250" s="11">
        <v>233</v>
      </c>
      <c r="C250" s="16">
        <f t="shared" si="13"/>
        <v>152.71184995895928</v>
      </c>
      <c r="D250" s="17">
        <f t="shared" si="15"/>
        <v>169.67983328773252</v>
      </c>
      <c r="E250" s="17">
        <f t="shared" si="14"/>
        <v>186.64781661650576</v>
      </c>
      <c r="F250" s="2">
        <v>167.8638</v>
      </c>
      <c r="G250" s="2" t="str">
        <f t="shared" si="12"/>
        <v>Pass</v>
      </c>
      <c r="Y250" s="2">
        <v>235</v>
      </c>
      <c r="Z250" s="2">
        <v>0.3347</v>
      </c>
      <c r="AA250" s="2">
        <v>0.3498</v>
      </c>
      <c r="AB250" s="2">
        <v>171.25200000000001</v>
      </c>
    </row>
    <row r="251" spans="2:28" x14ac:dyDescent="0.4">
      <c r="B251" s="11">
        <v>234</v>
      </c>
      <c r="C251" s="16">
        <f t="shared" si="13"/>
        <v>154.15598970480693</v>
      </c>
      <c r="D251" s="17">
        <f t="shared" si="15"/>
        <v>171.28443300534104</v>
      </c>
      <c r="E251" s="17">
        <f t="shared" si="14"/>
        <v>188.41287630587516</v>
      </c>
      <c r="F251" s="2">
        <v>169.33670000000001</v>
      </c>
      <c r="G251" s="2" t="str">
        <f t="shared" si="12"/>
        <v>Pass</v>
      </c>
      <c r="Y251" s="2">
        <v>236</v>
      </c>
      <c r="Z251" s="2">
        <v>0.33460000000000001</v>
      </c>
      <c r="AA251" s="2">
        <v>0.34960000000000002</v>
      </c>
      <c r="AB251" s="2">
        <v>172.70930000000001</v>
      </c>
    </row>
    <row r="252" spans="2:28" x14ac:dyDescent="0.4">
      <c r="B252" s="11">
        <v>235</v>
      </c>
      <c r="C252" s="16">
        <f t="shared" si="13"/>
        <v>155.60754671213857</v>
      </c>
      <c r="D252" s="17">
        <f t="shared" si="15"/>
        <v>172.8972741245984</v>
      </c>
      <c r="E252" s="17">
        <f t="shared" si="14"/>
        <v>190.18700153705822</v>
      </c>
      <c r="F252" s="2">
        <v>171.25200000000001</v>
      </c>
      <c r="G252" s="2" t="str">
        <f t="shared" si="12"/>
        <v>Pass</v>
      </c>
      <c r="Y252" s="2">
        <v>237</v>
      </c>
      <c r="Z252" s="2">
        <v>0.33479999999999999</v>
      </c>
      <c r="AA252" s="2">
        <v>0.35010000000000002</v>
      </c>
      <c r="AB252" s="2">
        <v>174.1772</v>
      </c>
    </row>
    <row r="253" spans="2:28" x14ac:dyDescent="0.4">
      <c r="B253" s="11">
        <v>236</v>
      </c>
      <c r="C253" s="16">
        <f t="shared" si="13"/>
        <v>157.06652730323748</v>
      </c>
      <c r="D253" s="17">
        <f t="shared" si="15"/>
        <v>174.51836367026385</v>
      </c>
      <c r="E253" s="17">
        <f t="shared" si="14"/>
        <v>191.97020003729023</v>
      </c>
      <c r="F253" s="2">
        <v>172.70930000000001</v>
      </c>
      <c r="G253" s="2" t="str">
        <f t="shared" si="12"/>
        <v>Pass</v>
      </c>
      <c r="Y253" s="2">
        <v>238</v>
      </c>
      <c r="Z253" s="2">
        <v>0.33460000000000001</v>
      </c>
      <c r="AA253" s="2">
        <v>0.35</v>
      </c>
      <c r="AB253" s="2">
        <v>176.1643</v>
      </c>
    </row>
    <row r="254" spans="2:28" x14ac:dyDescent="0.4">
      <c r="B254" s="11">
        <v>237</v>
      </c>
      <c r="C254" s="16">
        <f t="shared" si="13"/>
        <v>158.53293777892262</v>
      </c>
      <c r="D254" s="17">
        <f t="shared" si="15"/>
        <v>176.14770864324734</v>
      </c>
      <c r="E254" s="17">
        <f t="shared" si="14"/>
        <v>193.76247950757207</v>
      </c>
      <c r="F254" s="2">
        <v>174.1772</v>
      </c>
      <c r="G254" s="2" t="str">
        <f t="shared" si="12"/>
        <v>Pass</v>
      </c>
      <c r="Y254" s="2">
        <v>239</v>
      </c>
      <c r="Z254" s="2">
        <v>0.33439999999999998</v>
      </c>
      <c r="AA254" s="2">
        <v>0.3498</v>
      </c>
      <c r="AB254" s="2">
        <v>177.5966</v>
      </c>
    </row>
    <row r="255" spans="2:28" x14ac:dyDescent="0.4">
      <c r="B255" s="11">
        <v>238</v>
      </c>
      <c r="C255" s="16">
        <f t="shared" si="13"/>
        <v>160.00678441871179</v>
      </c>
      <c r="D255" s="17">
        <f t="shared" si="15"/>
        <v>177.78531602079087</v>
      </c>
      <c r="E255" s="17">
        <f t="shared" si="14"/>
        <v>195.56384762286996</v>
      </c>
      <c r="F255" s="2">
        <v>176.1643</v>
      </c>
      <c r="G255" s="2" t="str">
        <f t="shared" si="12"/>
        <v>Pass</v>
      </c>
      <c r="Y255" s="2">
        <v>240</v>
      </c>
      <c r="Z255" s="2">
        <v>0.33510000000000001</v>
      </c>
      <c r="AA255" s="2">
        <v>0.35</v>
      </c>
      <c r="AB255" s="2">
        <v>179.50460000000001</v>
      </c>
    </row>
    <row r="256" spans="2:28" x14ac:dyDescent="0.4">
      <c r="B256" s="11">
        <v>239</v>
      </c>
      <c r="C256" s="16">
        <f t="shared" si="13"/>
        <v>161.48807348098299</v>
      </c>
      <c r="D256" s="17">
        <f t="shared" si="15"/>
        <v>179.43119275664776</v>
      </c>
      <c r="E256" s="17">
        <f t="shared" si="14"/>
        <v>197.37431203231253</v>
      </c>
      <c r="F256" s="2">
        <v>177.5966</v>
      </c>
      <c r="G256" s="2" t="str">
        <f t="shared" si="12"/>
        <v>Pass</v>
      </c>
      <c r="Y256" s="2">
        <v>241</v>
      </c>
      <c r="Z256" s="2">
        <v>0.33510000000000001</v>
      </c>
      <c r="AA256" s="2">
        <v>0.3498</v>
      </c>
      <c r="AB256" s="2">
        <v>181.5521</v>
      </c>
    </row>
    <row r="257" spans="2:28" x14ac:dyDescent="0.4">
      <c r="B257" s="11">
        <v>240</v>
      </c>
      <c r="C257" s="16">
        <f t="shared" si="13"/>
        <v>162.97681120313374</v>
      </c>
      <c r="D257" s="17">
        <f t="shared" si="15"/>
        <v>181.08534578125972</v>
      </c>
      <c r="E257" s="17">
        <f t="shared" si="14"/>
        <v>199.1938803593857</v>
      </c>
      <c r="F257" s="2">
        <v>179.50460000000001</v>
      </c>
      <c r="G257" s="2" t="str">
        <f t="shared" si="12"/>
        <v>Pass</v>
      </c>
      <c r="Y257" s="2">
        <v>242</v>
      </c>
      <c r="Z257" s="2">
        <v>0.33579999999999999</v>
      </c>
      <c r="AA257" s="2">
        <v>0.35099999999999998</v>
      </c>
      <c r="AB257" s="2">
        <v>183.13679999999999</v>
      </c>
    </row>
    <row r="258" spans="2:28" x14ac:dyDescent="0.4">
      <c r="B258" s="11">
        <v>241</v>
      </c>
      <c r="C258" s="16">
        <f t="shared" si="13"/>
        <v>164.47300380173897</v>
      </c>
      <c r="D258" s="17">
        <f t="shared" si="15"/>
        <v>182.74778200193219</v>
      </c>
      <c r="E258" s="17">
        <f t="shared" si="14"/>
        <v>201.02256020212542</v>
      </c>
      <c r="F258" s="2">
        <v>181.5521</v>
      </c>
      <c r="G258" s="2" t="str">
        <f t="shared" si="12"/>
        <v>Pass</v>
      </c>
      <c r="Y258" s="2">
        <v>243</v>
      </c>
      <c r="Z258" s="2">
        <v>0.33560000000000001</v>
      </c>
      <c r="AA258" s="2">
        <v>0.3508</v>
      </c>
      <c r="AB258" s="2">
        <v>184.60730000000001</v>
      </c>
    </row>
    <row r="259" spans="2:28" x14ac:dyDescent="0.4">
      <c r="B259" s="11">
        <v>242</v>
      </c>
      <c r="C259" s="16">
        <f t="shared" si="13"/>
        <v>165.97665747270642</v>
      </c>
      <c r="D259" s="17">
        <f t="shared" si="15"/>
        <v>184.41850830300714</v>
      </c>
      <c r="E259" s="17">
        <f t="shared" si="14"/>
        <v>202.86035913330787</v>
      </c>
      <c r="F259" s="2">
        <v>183.13679999999999</v>
      </c>
      <c r="G259" s="2" t="str">
        <f t="shared" si="12"/>
        <v>Pass</v>
      </c>
      <c r="Y259" s="2">
        <v>244</v>
      </c>
      <c r="Z259" s="2">
        <v>0.3352</v>
      </c>
      <c r="AA259" s="2">
        <v>0.35049999999999998</v>
      </c>
      <c r="AB259" s="2">
        <v>186.4332</v>
      </c>
    </row>
    <row r="260" spans="2:28" x14ac:dyDescent="0.4">
      <c r="B260" s="11">
        <v>243</v>
      </c>
      <c r="C260" s="16">
        <f t="shared" si="13"/>
        <v>167.48777839143094</v>
      </c>
      <c r="D260" s="17">
        <f t="shared" si="15"/>
        <v>186.09753154603436</v>
      </c>
      <c r="E260" s="17">
        <f t="shared" si="14"/>
        <v>204.70728470063779</v>
      </c>
      <c r="F260" s="2">
        <v>184.60730000000001</v>
      </c>
      <c r="G260" s="2" t="str">
        <f t="shared" si="12"/>
        <v>Pass</v>
      </c>
      <c r="Y260" s="2">
        <v>245</v>
      </c>
      <c r="Z260" s="2">
        <v>0.3347</v>
      </c>
      <c r="AA260" s="2">
        <v>0.35039999999999999</v>
      </c>
      <c r="AB260" s="2">
        <v>187.79220000000001</v>
      </c>
    </row>
    <row r="261" spans="2:28" x14ac:dyDescent="0.4">
      <c r="B261" s="11">
        <v>244</v>
      </c>
      <c r="C261" s="16">
        <f t="shared" si="13"/>
        <v>169.00637271294636</v>
      </c>
      <c r="D261" s="17">
        <f t="shared" si="15"/>
        <v>187.78485856994038</v>
      </c>
      <c r="E261" s="17">
        <f t="shared" si="14"/>
        <v>206.56334442693441</v>
      </c>
      <c r="F261" s="2">
        <v>186.4332</v>
      </c>
      <c r="G261" s="2" t="str">
        <f t="shared" si="12"/>
        <v>Pass</v>
      </c>
      <c r="Y261" s="2">
        <v>246</v>
      </c>
      <c r="Z261" s="2">
        <v>0.33410000000000001</v>
      </c>
      <c r="AA261" s="2">
        <v>0.35020000000000001</v>
      </c>
      <c r="AB261" s="2">
        <v>189.70930000000001</v>
      </c>
    </row>
    <row r="262" spans="2:28" x14ac:dyDescent="0.4">
      <c r="B262" s="11">
        <v>245</v>
      </c>
      <c r="C262" s="16">
        <f t="shared" si="13"/>
        <v>170.53244657207614</v>
      </c>
      <c r="D262" s="17">
        <f t="shared" si="15"/>
        <v>189.48049619119573</v>
      </c>
      <c r="E262" s="17">
        <f t="shared" si="14"/>
        <v>208.42854581031531</v>
      </c>
      <c r="F262" s="2">
        <v>187.79220000000001</v>
      </c>
      <c r="G262" s="2" t="str">
        <f t="shared" si="12"/>
        <v>Pass</v>
      </c>
      <c r="Y262" s="2">
        <v>247</v>
      </c>
      <c r="Z262" s="2">
        <v>0.33460000000000001</v>
      </c>
      <c r="AA262" s="2">
        <v>0.35110000000000002</v>
      </c>
      <c r="AB262" s="2">
        <v>191.37020000000001</v>
      </c>
    </row>
    <row r="263" spans="2:28" x14ac:dyDescent="0.4">
      <c r="B263" s="11">
        <v>246</v>
      </c>
      <c r="C263" s="16">
        <f t="shared" si="13"/>
        <v>172.06600608358198</v>
      </c>
      <c r="D263" s="17">
        <f t="shared" si="15"/>
        <v>191.18445120397999</v>
      </c>
      <c r="E263" s="17">
        <f t="shared" si="14"/>
        <v>210.302896324378</v>
      </c>
      <c r="F263" s="2">
        <v>189.70930000000001</v>
      </c>
      <c r="G263" s="2" t="str">
        <f t="shared" si="12"/>
        <v>Pass</v>
      </c>
      <c r="Y263" s="2">
        <v>248</v>
      </c>
      <c r="Z263" s="2">
        <v>0.33429999999999999</v>
      </c>
      <c r="AA263" s="2">
        <v>0.35099999999999998</v>
      </c>
      <c r="AB263" s="2">
        <v>192.82149999999999</v>
      </c>
    </row>
    <row r="264" spans="2:28" x14ac:dyDescent="0.4">
      <c r="B264" s="11">
        <v>247</v>
      </c>
      <c r="C264" s="16">
        <f t="shared" si="13"/>
        <v>173.60705734231084</v>
      </c>
      <c r="D264" s="17">
        <f t="shared" si="15"/>
        <v>192.89673038034539</v>
      </c>
      <c r="E264" s="17">
        <f t="shared" si="14"/>
        <v>212.18640341837994</v>
      </c>
      <c r="F264" s="2">
        <v>191.37020000000001</v>
      </c>
      <c r="G264" s="2" t="str">
        <f t="shared" si="12"/>
        <v>Pass</v>
      </c>
      <c r="Y264" s="2">
        <v>249</v>
      </c>
      <c r="Z264" s="2">
        <v>0.3342</v>
      </c>
      <c r="AA264" s="2">
        <v>0.3508</v>
      </c>
      <c r="AB264" s="2">
        <v>195.05330000000001</v>
      </c>
    </row>
    <row r="265" spans="2:28" x14ac:dyDescent="0.4">
      <c r="B265" s="11">
        <v>248</v>
      </c>
      <c r="C265" s="16">
        <f t="shared" si="13"/>
        <v>175.15560642334023</v>
      </c>
      <c r="D265" s="17">
        <f t="shared" si="15"/>
        <v>194.61734047037802</v>
      </c>
      <c r="E265" s="17">
        <f t="shared" si="14"/>
        <v>214.07907451741582</v>
      </c>
      <c r="F265" s="2">
        <v>192.82149999999999</v>
      </c>
      <c r="G265" s="2" t="str">
        <f t="shared" si="12"/>
        <v>Pass</v>
      </c>
      <c r="Y265" s="2">
        <v>250</v>
      </c>
      <c r="Z265" s="2">
        <v>0.33429999999999999</v>
      </c>
      <c r="AA265" s="2">
        <v>0.35070000000000001</v>
      </c>
      <c r="AB265" s="2">
        <v>196.81270000000001</v>
      </c>
    </row>
    <row r="266" spans="2:28" x14ac:dyDescent="0.4">
      <c r="B266" s="11">
        <v>249</v>
      </c>
      <c r="C266" s="16">
        <f t="shared" si="13"/>
        <v>176.71165938212201</v>
      </c>
      <c r="D266" s="17">
        <f t="shared" si="15"/>
        <v>196.34628820235778</v>
      </c>
      <c r="E266" s="17">
        <f t="shared" si="14"/>
        <v>215.98091702259356</v>
      </c>
      <c r="F266" s="2">
        <v>195.05330000000001</v>
      </c>
      <c r="G266" s="2" t="str">
        <f t="shared" si="12"/>
        <v>Pass</v>
      </c>
      <c r="Y266" s="2">
        <v>251</v>
      </c>
      <c r="Z266" s="2">
        <v>0.33460000000000001</v>
      </c>
      <c r="AA266" s="2">
        <v>0.35060000000000002</v>
      </c>
      <c r="AB266" s="2">
        <v>198.7158</v>
      </c>
    </row>
    <row r="267" spans="2:28" x14ac:dyDescent="0.4">
      <c r="B267" s="11">
        <v>250</v>
      </c>
      <c r="C267" s="16">
        <f t="shared" si="13"/>
        <v>178.27522225462442</v>
      </c>
      <c r="D267" s="17">
        <f t="shared" si="15"/>
        <v>198.08358028291602</v>
      </c>
      <c r="E267" s="17">
        <f t="shared" si="14"/>
        <v>217.89193831120761</v>
      </c>
      <c r="F267" s="2">
        <v>196.81270000000001</v>
      </c>
      <c r="G267" s="2" t="str">
        <f t="shared" si="12"/>
        <v>Pass</v>
      </c>
      <c r="Y267" s="2">
        <v>252</v>
      </c>
      <c r="Z267" s="2">
        <v>0.33479999999999999</v>
      </c>
      <c r="AA267" s="2">
        <v>0.35039999999999999</v>
      </c>
      <c r="AB267" s="2">
        <v>201.18039999999999</v>
      </c>
    </row>
    <row r="268" spans="2:28" x14ac:dyDescent="0.4">
      <c r="B268" s="11">
        <v>251</v>
      </c>
      <c r="C268" s="16">
        <f t="shared" si="13"/>
        <v>179.84630105747254</v>
      </c>
      <c r="D268" s="17">
        <f t="shared" si="15"/>
        <v>199.82922339719173</v>
      </c>
      <c r="E268" s="17">
        <f t="shared" si="14"/>
        <v>219.81214573691091</v>
      </c>
      <c r="F268" s="2">
        <v>198.7158</v>
      </c>
      <c r="G268" s="2" t="str">
        <f t="shared" si="12"/>
        <v>Pass</v>
      </c>
      <c r="Y268" s="2">
        <v>253</v>
      </c>
      <c r="Z268" s="2">
        <v>0.33550000000000002</v>
      </c>
      <c r="AA268" s="2">
        <v>0.35139999999999999</v>
      </c>
      <c r="AB268" s="2">
        <v>202.8843</v>
      </c>
    </row>
    <row r="269" spans="2:28" x14ac:dyDescent="0.4">
      <c r="B269" s="11">
        <v>252</v>
      </c>
      <c r="C269" s="16">
        <f t="shared" si="13"/>
        <v>181.42490178808731</v>
      </c>
      <c r="D269" s="17">
        <f t="shared" si="15"/>
        <v>201.58322420898591</v>
      </c>
      <c r="E269" s="17">
        <f t="shared" si="14"/>
        <v>221.74154662988451</v>
      </c>
      <c r="F269" s="2">
        <v>201.18039999999999</v>
      </c>
      <c r="G269" s="2" t="str">
        <f t="shared" si="12"/>
        <v>Pass</v>
      </c>
      <c r="Y269" s="2">
        <v>254</v>
      </c>
      <c r="Z269" s="2">
        <v>0.33550000000000002</v>
      </c>
      <c r="AA269" s="2">
        <v>0.35120000000000001</v>
      </c>
      <c r="AB269" s="2">
        <v>204.5317</v>
      </c>
    </row>
    <row r="270" spans="2:28" x14ac:dyDescent="0.4">
      <c r="B270" s="11">
        <v>253</v>
      </c>
      <c r="C270" s="16">
        <f t="shared" si="13"/>
        <v>183.01103042482274</v>
      </c>
      <c r="D270" s="17">
        <f t="shared" si="15"/>
        <v>203.34558936091415</v>
      </c>
      <c r="E270" s="17">
        <f t="shared" si="14"/>
        <v>223.68014829700556</v>
      </c>
      <c r="F270" s="2">
        <v>202.8843</v>
      </c>
      <c r="G270" s="2" t="str">
        <f t="shared" si="12"/>
        <v>Pass</v>
      </c>
      <c r="Y270" s="2">
        <v>255</v>
      </c>
      <c r="Z270" s="2">
        <v>0.33500000000000002</v>
      </c>
      <c r="AA270" s="2">
        <v>0.35099999999999998</v>
      </c>
      <c r="AB270" s="2">
        <v>206.4684</v>
      </c>
    </row>
    <row r="271" spans="2:28" x14ac:dyDescent="0.4">
      <c r="B271" s="11">
        <v>254</v>
      </c>
      <c r="C271" s="16">
        <f t="shared" si="13"/>
        <v>184.60469292710184</v>
      </c>
      <c r="D271" s="17">
        <f t="shared" si="15"/>
        <v>205.11632547455761</v>
      </c>
      <c r="E271" s="17">
        <f t="shared" si="14"/>
        <v>225.62795802201339</v>
      </c>
      <c r="F271" s="2">
        <v>204.5317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41</v>
      </c>
    </row>
    <row r="272" spans="2:28" x14ac:dyDescent="0.4">
      <c r="B272" s="11">
        <v>255</v>
      </c>
      <c r="C272" s="16">
        <f t="shared" si="13"/>
        <v>185.82156000000001</v>
      </c>
      <c r="D272" s="18">
        <f>C12</f>
        <v>206.4684</v>
      </c>
      <c r="E272" s="17">
        <f t="shared" si="14"/>
        <v>227.11524</v>
      </c>
      <c r="F272" s="2">
        <v>206.4684</v>
      </c>
      <c r="G272" s="2" t="str">
        <f t="shared" si="12"/>
        <v>Pass</v>
      </c>
    </row>
  </sheetData>
  <protectedRanges>
    <protectedRange password="EBF1" sqref="C2:D2 C4:D4" name="範圍1_2"/>
    <protectedRange password="EBF1" sqref="C11:C13" name="範圍1_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7" priority="1" operator="equal">
      <formula>"Fail"</formula>
    </cfRule>
    <cfRule type="cellIs" dxfId="6" priority="2" operator="equal">
      <formula>"Pass"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683F-4B4E-4DEA-B62D-8D03A8B1F1D8}">
  <dimension ref="B2:AB272"/>
  <sheetViews>
    <sheetView zoomScale="70" zoomScaleNormal="70" workbookViewId="0">
      <selection activeCell="Z12" sqref="Z12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45736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0.24030000000000001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204.88329999999999</v>
      </c>
      <c r="D12" s="4" t="s">
        <v>9</v>
      </c>
      <c r="E12" s="4"/>
      <c r="Y12" s="9" t="s">
        <v>44</v>
      </c>
    </row>
    <row r="13" spans="2:28" x14ac:dyDescent="0.4">
      <c r="B13" s="1" t="s">
        <v>11</v>
      </c>
      <c r="C13" s="8">
        <v>2.6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0.27089999999999997</v>
      </c>
      <c r="AA15" s="2">
        <v>0.27389999999999998</v>
      </c>
      <c r="AB15" s="2">
        <v>0.24030000000000001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0.27050000000000002</v>
      </c>
      <c r="AA16" s="2">
        <v>0.27400000000000002</v>
      </c>
      <c r="AB16" s="2">
        <v>0.2402</v>
      </c>
    </row>
    <row r="17" spans="2:28" ht="17.5" thickTop="1" x14ac:dyDescent="0.4">
      <c r="B17" s="11">
        <v>0</v>
      </c>
      <c r="C17" s="16">
        <f>D17-D17*(C$14/100)</f>
        <v>2.5044040935284796E-6</v>
      </c>
      <c r="D17" s="17">
        <f>D$272*((B17+F$17)/B$272)^C$13</f>
        <v>2.7826712150316438E-6</v>
      </c>
      <c r="E17" s="17">
        <f>D17+D17*(C$14/100)</f>
        <v>3.0609383365348081E-6</v>
      </c>
      <c r="F17" s="2">
        <v>0.24030000000000001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0.2702</v>
      </c>
      <c r="AA17" s="2">
        <v>0.2742</v>
      </c>
      <c r="AB17" s="2">
        <v>0.24030000000000001</v>
      </c>
    </row>
    <row r="18" spans="2:28" x14ac:dyDescent="0.4">
      <c r="B18" s="11">
        <v>1</v>
      </c>
      <c r="C18" s="16">
        <f t="shared" ref="C18:C81" si="1">D18-D18*(C$14/100)</f>
        <v>1.7861343986720683E-4</v>
      </c>
      <c r="D18" s="17">
        <f>D$272*((B18+F$17)/B$272)^C$13</f>
        <v>1.9845937763022983E-4</v>
      </c>
      <c r="E18" s="17">
        <f t="shared" ref="E18:E81" si="2">D18+D18*(C$14/100)</f>
        <v>2.1830531539325282E-4</v>
      </c>
      <c r="F18" s="2">
        <v>0.2402</v>
      </c>
      <c r="G18" s="2" t="str">
        <f t="shared" si="0"/>
        <v>Fail</v>
      </c>
      <c r="Y18" s="2">
        <v>3</v>
      </c>
      <c r="Z18" s="2">
        <v>0.2702</v>
      </c>
      <c r="AA18" s="2">
        <v>0.27360000000000001</v>
      </c>
      <c r="AB18" s="2">
        <v>0.24049999999999999</v>
      </c>
    </row>
    <row r="19" spans="2:28" x14ac:dyDescent="0.4">
      <c r="B19" s="11">
        <v>2</v>
      </c>
      <c r="C19" s="16">
        <f t="shared" si="1"/>
        <v>8.3088451648774574E-4</v>
      </c>
      <c r="D19" s="17">
        <f t="shared" ref="D19:D82" si="3">D$272*((B19+F$17)/B$272)^C$13</f>
        <v>9.2320501831971746E-4</v>
      </c>
      <c r="E19" s="17">
        <f t="shared" si="2"/>
        <v>1.0155255201516893E-3</v>
      </c>
      <c r="F19" s="2">
        <v>0.24030000000000001</v>
      </c>
      <c r="G19" s="2" t="str">
        <f t="shared" si="0"/>
        <v>Fail</v>
      </c>
      <c r="Y19" s="2">
        <v>4</v>
      </c>
      <c r="Z19" s="2">
        <v>0.27550000000000002</v>
      </c>
      <c r="AA19" s="2">
        <v>0.28039999999999998</v>
      </c>
      <c r="AB19" s="2">
        <v>0.25290000000000001</v>
      </c>
    </row>
    <row r="20" spans="2:28" x14ac:dyDescent="0.4">
      <c r="B20" s="11">
        <v>3</v>
      </c>
      <c r="C20" s="16">
        <f t="shared" si="1"/>
        <v>2.1690330772977141E-3</v>
      </c>
      <c r="D20" s="17">
        <f t="shared" si="3"/>
        <v>2.4100367525530159E-3</v>
      </c>
      <c r="E20" s="17">
        <f t="shared" si="2"/>
        <v>2.6510404278083178E-3</v>
      </c>
      <c r="F20" s="2">
        <v>0.24049999999999999</v>
      </c>
      <c r="G20" s="2" t="str">
        <f t="shared" si="0"/>
        <v>Fail</v>
      </c>
      <c r="Y20" s="2">
        <v>5</v>
      </c>
      <c r="Z20" s="2">
        <v>0.2727</v>
      </c>
      <c r="AA20" s="2">
        <v>0.2762</v>
      </c>
      <c r="AB20" s="2">
        <v>0.25309999999999999</v>
      </c>
    </row>
    <row r="21" spans="2:28" x14ac:dyDescent="0.4">
      <c r="B21" s="11">
        <v>4</v>
      </c>
      <c r="C21" s="16">
        <f t="shared" si="1"/>
        <v>4.3649142773150088E-3</v>
      </c>
      <c r="D21" s="17">
        <f t="shared" si="3"/>
        <v>4.8499047525722323E-3</v>
      </c>
      <c r="E21" s="17">
        <f t="shared" si="2"/>
        <v>5.3348952278294559E-3</v>
      </c>
      <c r="F21" s="2">
        <v>0.25290000000000001</v>
      </c>
      <c r="G21" s="2" t="str">
        <f t="shared" si="0"/>
        <v>Fail</v>
      </c>
      <c r="Y21" s="2">
        <v>6</v>
      </c>
      <c r="Z21" s="2">
        <v>0.27310000000000001</v>
      </c>
      <c r="AA21" s="2">
        <v>0.27550000000000002</v>
      </c>
      <c r="AB21" s="2">
        <v>0.25540000000000002</v>
      </c>
    </row>
    <row r="22" spans="2:28" x14ac:dyDescent="0.4">
      <c r="B22" s="11">
        <v>5</v>
      </c>
      <c r="C22" s="16">
        <f t="shared" si="1"/>
        <v>7.569559238837305E-3</v>
      </c>
      <c r="D22" s="17">
        <f t="shared" si="3"/>
        <v>8.4106213764858946E-3</v>
      </c>
      <c r="E22" s="17">
        <f t="shared" si="2"/>
        <v>9.2516835141344834E-3</v>
      </c>
      <c r="F22" s="2">
        <v>0.25309999999999999</v>
      </c>
      <c r="G22" s="2" t="str">
        <f t="shared" si="0"/>
        <v>Fail</v>
      </c>
      <c r="Y22" s="2">
        <v>7</v>
      </c>
      <c r="Z22" s="2">
        <v>0.27560000000000001</v>
      </c>
      <c r="AA22" s="2">
        <v>0.2843</v>
      </c>
      <c r="AB22" s="2">
        <v>0.26910000000000001</v>
      </c>
    </row>
    <row r="23" spans="2:28" x14ac:dyDescent="0.4">
      <c r="B23" s="11">
        <v>6</v>
      </c>
      <c r="C23" s="16">
        <f t="shared" si="1"/>
        <v>1.1920070378426394E-2</v>
      </c>
      <c r="D23" s="17">
        <f t="shared" si="3"/>
        <v>1.3244522642695994E-2</v>
      </c>
      <c r="E23" s="17">
        <f t="shared" si="2"/>
        <v>1.4568974906965593E-2</v>
      </c>
      <c r="F23" s="2">
        <v>0.25540000000000002</v>
      </c>
      <c r="G23" s="2" t="str">
        <f t="shared" si="0"/>
        <v>Fail</v>
      </c>
      <c r="Y23" s="2">
        <v>8</v>
      </c>
      <c r="Z23" s="2">
        <v>0.27860000000000001</v>
      </c>
      <c r="AA23" s="2">
        <v>0.28370000000000001</v>
      </c>
      <c r="AB23" s="2">
        <v>0.26960000000000001</v>
      </c>
    </row>
    <row r="24" spans="2:28" x14ac:dyDescent="0.4">
      <c r="B24" s="11">
        <v>7</v>
      </c>
      <c r="C24" s="16">
        <f t="shared" si="1"/>
        <v>1.7543314968530337E-2</v>
      </c>
      <c r="D24" s="17">
        <f t="shared" si="3"/>
        <v>1.9492572187255929E-2</v>
      </c>
      <c r="E24" s="17">
        <f t="shared" si="2"/>
        <v>2.1441829405981522E-2</v>
      </c>
      <c r="F24" s="2">
        <v>0.26910000000000001</v>
      </c>
      <c r="G24" s="2" t="str">
        <f t="shared" si="0"/>
        <v>Fail</v>
      </c>
      <c r="Y24" s="2">
        <v>9</v>
      </c>
      <c r="Z24" s="2">
        <v>0.27950000000000003</v>
      </c>
      <c r="AA24" s="2">
        <v>0.28270000000000001</v>
      </c>
      <c r="AB24" s="2">
        <v>0.28860000000000002</v>
      </c>
    </row>
    <row r="25" spans="2:28" x14ac:dyDescent="0.4">
      <c r="B25" s="11">
        <v>8</v>
      </c>
      <c r="C25" s="16">
        <f t="shared" si="1"/>
        <v>2.4558195988153383E-2</v>
      </c>
      <c r="D25" s="17">
        <f t="shared" si="3"/>
        <v>2.7286884431281539E-2</v>
      </c>
      <c r="E25" s="17">
        <f t="shared" si="2"/>
        <v>3.0015572874409695E-2</v>
      </c>
      <c r="F25" s="2">
        <v>0.26960000000000001</v>
      </c>
      <c r="G25" s="2" t="str">
        <f t="shared" si="0"/>
        <v>Fail</v>
      </c>
      <c r="Y25" s="2">
        <v>10</v>
      </c>
      <c r="Z25" s="2">
        <v>0.2787</v>
      </c>
      <c r="AA25" s="2">
        <v>0.28349999999999997</v>
      </c>
      <c r="AB25" s="2">
        <v>0.28849999999999998</v>
      </c>
    </row>
    <row r="26" spans="2:28" x14ac:dyDescent="0.4">
      <c r="B26" s="11">
        <v>9</v>
      </c>
      <c r="C26" s="16">
        <f t="shared" si="1"/>
        <v>3.3077173151008429E-2</v>
      </c>
      <c r="D26" s="17">
        <f t="shared" si="3"/>
        <v>3.6752414612231589E-2</v>
      </c>
      <c r="E26" s="17">
        <f t="shared" si="2"/>
        <v>4.0427656073454749E-2</v>
      </c>
      <c r="F26" s="2">
        <v>0.28860000000000002</v>
      </c>
      <c r="G26" s="2" t="str">
        <f t="shared" si="0"/>
        <v>Fail</v>
      </c>
      <c r="Y26" s="2">
        <v>11</v>
      </c>
      <c r="Z26" s="2">
        <v>0.28220000000000001</v>
      </c>
      <c r="AA26" s="2">
        <v>0.29120000000000001</v>
      </c>
      <c r="AB26" s="2">
        <v>0.30230000000000001</v>
      </c>
    </row>
    <row r="27" spans="2:28" x14ac:dyDescent="0.4">
      <c r="B27" s="11">
        <v>10</v>
      </c>
      <c r="C27" s="16">
        <f t="shared" si="1"/>
        <v>4.320734381034029E-2</v>
      </c>
      <c r="D27" s="17">
        <f t="shared" si="3"/>
        <v>4.8008159789266994E-2</v>
      </c>
      <c r="E27" s="17">
        <f t="shared" si="2"/>
        <v>5.2808975768193697E-2</v>
      </c>
      <c r="F27" s="2">
        <v>0.28849999999999998</v>
      </c>
      <c r="G27" s="2" t="str">
        <f t="shared" si="0"/>
        <v>Fail</v>
      </c>
      <c r="Y27" s="2">
        <v>12</v>
      </c>
      <c r="Z27" s="2">
        <v>0.27939999999999998</v>
      </c>
      <c r="AA27" s="2">
        <v>0.28289999999999998</v>
      </c>
      <c r="AB27" s="2">
        <v>0.3029</v>
      </c>
    </row>
    <row r="28" spans="2:28" x14ac:dyDescent="0.4">
      <c r="B28" s="11">
        <v>11</v>
      </c>
      <c r="C28" s="16">
        <f t="shared" si="1"/>
        <v>5.5051245310972337E-2</v>
      </c>
      <c r="D28" s="17">
        <f t="shared" si="3"/>
        <v>6.1168050345524819E-2</v>
      </c>
      <c r="E28" s="17">
        <f t="shared" si="2"/>
        <v>6.7284855380077307E-2</v>
      </c>
      <c r="F28" s="2">
        <v>0.30230000000000001</v>
      </c>
      <c r="G28" s="2" t="str">
        <f t="shared" si="0"/>
        <v>Fail</v>
      </c>
      <c r="Y28" s="2">
        <v>13</v>
      </c>
      <c r="Z28" s="2">
        <v>0.28599999999999998</v>
      </c>
      <c r="AA28" s="2">
        <v>0.29609999999999997</v>
      </c>
      <c r="AB28" s="2">
        <v>0.33079999999999998</v>
      </c>
    </row>
    <row r="29" spans="2:28" x14ac:dyDescent="0.4">
      <c r="B29" s="11">
        <v>12</v>
      </c>
      <c r="C29" s="16">
        <f t="shared" si="1"/>
        <v>6.8707470882881053E-2</v>
      </c>
      <c r="D29" s="17">
        <f t="shared" si="3"/>
        <v>7.6341634314312276E-2</v>
      </c>
      <c r="E29" s="17">
        <f t="shared" si="2"/>
        <v>8.39757977457435E-2</v>
      </c>
      <c r="F29" s="2">
        <v>0.3029</v>
      </c>
      <c r="G29" s="2" t="str">
        <f t="shared" si="0"/>
        <v>Fail</v>
      </c>
      <c r="Y29" s="2">
        <v>14</v>
      </c>
      <c r="Z29" s="2">
        <v>0.2863</v>
      </c>
      <c r="AA29" s="2">
        <v>0.2959</v>
      </c>
      <c r="AB29" s="2">
        <v>0.33050000000000002</v>
      </c>
    </row>
    <row r="30" spans="2:28" x14ac:dyDescent="0.4">
      <c r="B30" s="11">
        <v>13</v>
      </c>
      <c r="C30" s="16">
        <f t="shared" si="1"/>
        <v>8.4271155174460127E-2</v>
      </c>
      <c r="D30" s="17">
        <f t="shared" si="3"/>
        <v>9.3634616860511249E-2</v>
      </c>
      <c r="E30" s="17">
        <f t="shared" si="2"/>
        <v>0.10299807854656237</v>
      </c>
      <c r="F30" s="2">
        <v>0.33079999999999998</v>
      </c>
      <c r="G30" s="2" t="str">
        <f t="shared" si="0"/>
        <v>Fail</v>
      </c>
      <c r="Y30" s="2">
        <v>15</v>
      </c>
      <c r="Z30" s="2">
        <v>0.28889999999999999</v>
      </c>
      <c r="AA30" s="2">
        <v>0.3</v>
      </c>
      <c r="AB30" s="2">
        <v>0.3715</v>
      </c>
    </row>
    <row r="31" spans="2:28" x14ac:dyDescent="0.4">
      <c r="B31" s="11">
        <v>14</v>
      </c>
      <c r="C31" s="16">
        <f t="shared" si="1"/>
        <v>0.10183436541753829</v>
      </c>
      <c r="D31" s="17">
        <f t="shared" si="3"/>
        <v>0.11314929490837589</v>
      </c>
      <c r="E31" s="17">
        <f t="shared" si="2"/>
        <v>0.12446422439921348</v>
      </c>
      <c r="F31" s="2">
        <v>0.33050000000000002</v>
      </c>
      <c r="G31" s="2" t="str">
        <f t="shared" si="0"/>
        <v>Fail</v>
      </c>
      <c r="Y31" s="2">
        <v>16</v>
      </c>
      <c r="Z31" s="2">
        <v>0.29459999999999997</v>
      </c>
      <c r="AA31" s="2">
        <v>0.2989</v>
      </c>
      <c r="AB31" s="2">
        <v>0.3805</v>
      </c>
    </row>
    <row r="32" spans="2:28" x14ac:dyDescent="0.4">
      <c r="B32" s="11">
        <v>15</v>
      </c>
      <c r="C32" s="16">
        <f t="shared" si="1"/>
        <v>0.12148642230186826</v>
      </c>
      <c r="D32" s="17">
        <f t="shared" si="3"/>
        <v>0.13498491366874252</v>
      </c>
      <c r="E32" s="17">
        <f t="shared" si="2"/>
        <v>0.14848340503561677</v>
      </c>
      <c r="F32" s="2">
        <v>0.3715</v>
      </c>
      <c r="G32" s="2" t="str">
        <f t="shared" si="0"/>
        <v>Fail</v>
      </c>
      <c r="Y32" s="2">
        <v>17</v>
      </c>
      <c r="Z32" s="2">
        <v>0.29010000000000002</v>
      </c>
      <c r="AA32" s="2">
        <v>0.30270000000000002</v>
      </c>
      <c r="AB32" s="2">
        <v>0.40339999999999998</v>
      </c>
    </row>
    <row r="33" spans="2:28" x14ac:dyDescent="0.4">
      <c r="B33" s="11">
        <v>16</v>
      </c>
      <c r="C33" s="16">
        <f t="shared" si="1"/>
        <v>0.14331416723072321</v>
      </c>
      <c r="D33" s="17">
        <f t="shared" si="3"/>
        <v>0.15923796358969244</v>
      </c>
      <c r="E33" s="17">
        <f t="shared" si="2"/>
        <v>0.17516175994866168</v>
      </c>
      <c r="F33" s="2">
        <v>0.3805</v>
      </c>
      <c r="G33" s="2" t="str">
        <f t="shared" si="0"/>
        <v>Fail</v>
      </c>
      <c r="Y33" s="2">
        <v>18</v>
      </c>
      <c r="Z33" s="2">
        <v>0.29730000000000001</v>
      </c>
      <c r="AA33" s="2">
        <v>0.30130000000000001</v>
      </c>
      <c r="AB33" s="2">
        <v>0.41410000000000002</v>
      </c>
    </row>
    <row r="34" spans="2:28" x14ac:dyDescent="0.4">
      <c r="B34" s="11">
        <v>17</v>
      </c>
      <c r="C34" s="16">
        <f t="shared" si="1"/>
        <v>0.1674021878396082</v>
      </c>
      <c r="D34" s="17">
        <f t="shared" si="3"/>
        <v>0.18600243093289801</v>
      </c>
      <c r="E34" s="17">
        <f t="shared" si="2"/>
        <v>0.20460267402618781</v>
      </c>
      <c r="F34" s="2">
        <v>0.40339999999999998</v>
      </c>
      <c r="G34" s="2" t="str">
        <f t="shared" si="0"/>
        <v>Fail</v>
      </c>
      <c r="Y34" s="2">
        <v>19</v>
      </c>
      <c r="Z34" s="2">
        <v>0.30680000000000002</v>
      </c>
      <c r="AA34" s="2">
        <v>0.31340000000000001</v>
      </c>
      <c r="AB34" s="2">
        <v>0.4521</v>
      </c>
    </row>
    <row r="35" spans="2:28" x14ac:dyDescent="0.4">
      <c r="B35" s="11">
        <v>18</v>
      </c>
      <c r="C35" s="16">
        <f t="shared" si="1"/>
        <v>0.19383301045749393</v>
      </c>
      <c r="D35" s="17">
        <f t="shared" si="3"/>
        <v>0.2153700116194377</v>
      </c>
      <c r="E35" s="17">
        <f t="shared" si="2"/>
        <v>0.23690701278138146</v>
      </c>
      <c r="F35" s="2">
        <v>0.41410000000000002</v>
      </c>
      <c r="G35" s="2" t="str">
        <f t="shared" si="0"/>
        <v>Fail</v>
      </c>
      <c r="Y35" s="2">
        <v>20</v>
      </c>
      <c r="Z35" s="2">
        <v>0.30049999999999999</v>
      </c>
      <c r="AA35" s="2">
        <v>0.30380000000000001</v>
      </c>
      <c r="AB35" s="2">
        <v>0.45250000000000001</v>
      </c>
    </row>
    <row r="36" spans="2:28" x14ac:dyDescent="0.4">
      <c r="B36" s="11">
        <v>19</v>
      </c>
      <c r="C36" s="16">
        <f t="shared" si="1"/>
        <v>0.22268726598662436</v>
      </c>
      <c r="D36" s="17">
        <f t="shared" si="3"/>
        <v>0.24743029554069373</v>
      </c>
      <c r="E36" s="17">
        <f t="shared" si="2"/>
        <v>0.27217332509476311</v>
      </c>
      <c r="F36" s="2">
        <v>0.4521</v>
      </c>
      <c r="G36" s="2" t="str">
        <f t="shared" si="0"/>
        <v>Fail</v>
      </c>
      <c r="Y36" s="2">
        <v>21</v>
      </c>
      <c r="Z36" s="2">
        <v>0.31169999999999998</v>
      </c>
      <c r="AA36" s="2">
        <v>0.3216</v>
      </c>
      <c r="AB36" s="2">
        <v>0.52459999999999996</v>
      </c>
    </row>
    <row r="37" spans="2:28" x14ac:dyDescent="0.4">
      <c r="B37" s="11">
        <v>20</v>
      </c>
      <c r="C37" s="16">
        <f t="shared" si="1"/>
        <v>0.25404383412319581</v>
      </c>
      <c r="D37" s="17">
        <f t="shared" si="3"/>
        <v>0.28227092680355093</v>
      </c>
      <c r="E37" s="17">
        <f t="shared" si="2"/>
        <v>0.31049801948390604</v>
      </c>
      <c r="F37" s="2">
        <v>0.45250000000000001</v>
      </c>
      <c r="G37" s="2" t="str">
        <f t="shared" si="0"/>
        <v>Fail</v>
      </c>
      <c r="Y37" s="2">
        <v>22</v>
      </c>
      <c r="Z37" s="2">
        <v>0.30470000000000003</v>
      </c>
      <c r="AA37" s="2">
        <v>0.3115</v>
      </c>
      <c r="AB37" s="2">
        <v>0.52149999999999996</v>
      </c>
    </row>
    <row r="38" spans="2:28" x14ac:dyDescent="0.4">
      <c r="B38" s="11">
        <v>21</v>
      </c>
      <c r="C38" s="16">
        <f t="shared" si="1"/>
        <v>0.28797996972164264</v>
      </c>
      <c r="D38" s="17">
        <f t="shared" si="3"/>
        <v>0.3199777441351585</v>
      </c>
      <c r="E38" s="17">
        <f t="shared" si="2"/>
        <v>0.35197551854867437</v>
      </c>
      <c r="F38" s="2">
        <v>0.52459999999999996</v>
      </c>
      <c r="G38" s="2" t="str">
        <f t="shared" si="0"/>
        <v>Fail</v>
      </c>
      <c r="Y38" s="2">
        <v>23</v>
      </c>
      <c r="Z38" s="2">
        <v>0.31409999999999999</v>
      </c>
      <c r="AA38" s="2">
        <v>0.32600000000000001</v>
      </c>
      <c r="AB38" s="2">
        <v>0.57920000000000005</v>
      </c>
    </row>
    <row r="39" spans="2:28" x14ac:dyDescent="0.4">
      <c r="B39" s="11">
        <v>22</v>
      </c>
      <c r="C39" s="16">
        <f t="shared" si="1"/>
        <v>0.32457141428307357</v>
      </c>
      <c r="D39" s="17">
        <f t="shared" si="3"/>
        <v>0.36063490475897064</v>
      </c>
      <c r="E39" s="17">
        <f t="shared" si="2"/>
        <v>0.39669839523486772</v>
      </c>
      <c r="F39" s="2">
        <v>0.52149999999999996</v>
      </c>
      <c r="G39" s="2" t="str">
        <f t="shared" si="0"/>
        <v>Fail</v>
      </c>
      <c r="Y39" s="2">
        <v>24</v>
      </c>
      <c r="Z39" s="2">
        <v>0.31580000000000003</v>
      </c>
      <c r="AA39" s="2">
        <v>0.32700000000000001</v>
      </c>
      <c r="AB39" s="2">
        <v>0.64100000000000001</v>
      </c>
    </row>
    <row r="40" spans="2:28" x14ac:dyDescent="0.4">
      <c r="B40" s="11">
        <v>23</v>
      </c>
      <c r="C40" s="16">
        <f t="shared" si="1"/>
        <v>0.36389249493430292</v>
      </c>
      <c r="D40" s="17">
        <f t="shared" si="3"/>
        <v>0.4043249943714477</v>
      </c>
      <c r="E40" s="17">
        <f t="shared" si="2"/>
        <v>0.44475749380859247</v>
      </c>
      <c r="F40" s="2">
        <v>0.57920000000000005</v>
      </c>
      <c r="G40" s="2" t="str">
        <f t="shared" si="0"/>
        <v>Fail</v>
      </c>
      <c r="Y40" s="2">
        <v>25</v>
      </c>
      <c r="Z40" s="2">
        <v>0.32340000000000002</v>
      </c>
      <c r="AA40" s="2">
        <v>0.3246</v>
      </c>
      <c r="AB40" s="2">
        <v>0.6613</v>
      </c>
    </row>
    <row r="41" spans="2:28" x14ac:dyDescent="0.4">
      <c r="B41" s="11">
        <v>24</v>
      </c>
      <c r="C41" s="16">
        <f t="shared" si="1"/>
        <v>0.40601621279823497</v>
      </c>
      <c r="D41" s="17">
        <f t="shared" si="3"/>
        <v>0.45112912533137217</v>
      </c>
      <c r="E41" s="17">
        <f t="shared" si="2"/>
        <v>0.49624203786450938</v>
      </c>
      <c r="F41" s="2">
        <v>0.64100000000000001</v>
      </c>
      <c r="G41" s="2" t="str">
        <f t="shared" si="0"/>
        <v>Fail</v>
      </c>
      <c r="Y41" s="2">
        <v>26</v>
      </c>
      <c r="Z41" s="2">
        <v>0.31690000000000002</v>
      </c>
      <c r="AA41" s="2">
        <v>0.32769999999999999</v>
      </c>
      <c r="AB41" s="2">
        <v>0.72199999999999998</v>
      </c>
    </row>
    <row r="42" spans="2:28" x14ac:dyDescent="0.4">
      <c r="B42" s="11">
        <v>25</v>
      </c>
      <c r="C42" s="16">
        <f t="shared" si="1"/>
        <v>0.45101432229839844</v>
      </c>
      <c r="D42" s="17">
        <f t="shared" si="3"/>
        <v>0.50112702477599824</v>
      </c>
      <c r="E42" s="17">
        <f t="shared" si="2"/>
        <v>0.55123972725359804</v>
      </c>
      <c r="F42" s="2">
        <v>0.6613</v>
      </c>
      <c r="G42" s="2" t="str">
        <f t="shared" si="0"/>
        <v>Fail</v>
      </c>
      <c r="Y42" s="2">
        <v>27</v>
      </c>
      <c r="Z42" s="2">
        <v>0.31869999999999998</v>
      </c>
      <c r="AA42" s="2">
        <v>0.33100000000000002</v>
      </c>
      <c r="AB42" s="2">
        <v>0.80210000000000004</v>
      </c>
    </row>
    <row r="43" spans="2:28" x14ac:dyDescent="0.4">
      <c r="B43" s="11">
        <v>26</v>
      </c>
      <c r="C43" s="16">
        <f t="shared" si="1"/>
        <v>0.49895740266184208</v>
      </c>
      <c r="D43" s="17">
        <f t="shared" si="3"/>
        <v>0.55439711406871339</v>
      </c>
      <c r="E43" s="17">
        <f t="shared" si="2"/>
        <v>0.60983682547558471</v>
      </c>
      <c r="F43" s="2">
        <v>0.72199999999999998</v>
      </c>
      <c r="G43" s="2" t="str">
        <f t="shared" si="0"/>
        <v>Fail</v>
      </c>
      <c r="Y43" s="2">
        <v>28</v>
      </c>
      <c r="Z43" s="2">
        <v>0.32590000000000002</v>
      </c>
      <c r="AA43" s="2">
        <v>0.32819999999999999</v>
      </c>
      <c r="AB43" s="2">
        <v>0.82940000000000003</v>
      </c>
    </row>
    <row r="44" spans="2:28" x14ac:dyDescent="0.4">
      <c r="B44" s="11">
        <v>27</v>
      </c>
      <c r="C44" s="16">
        <f t="shared" si="1"/>
        <v>0.54991492266534281</v>
      </c>
      <c r="D44" s="17">
        <f t="shared" si="3"/>
        <v>0.61101658073926979</v>
      </c>
      <c r="E44" s="17">
        <f t="shared" si="2"/>
        <v>0.67211823881319677</v>
      </c>
      <c r="F44" s="2">
        <v>0.80210000000000004</v>
      </c>
      <c r="G44" s="2" t="str">
        <f t="shared" si="0"/>
        <v>Fail</v>
      </c>
      <c r="Y44" s="2">
        <v>29</v>
      </c>
      <c r="Z44" s="2">
        <v>0.31869999999999998</v>
      </c>
      <c r="AA44" s="2">
        <v>0.33479999999999999</v>
      </c>
      <c r="AB44" s="2">
        <v>0.9103</v>
      </c>
    </row>
    <row r="45" spans="2:28" x14ac:dyDescent="0.4">
      <c r="B45" s="11">
        <v>28</v>
      </c>
      <c r="C45" s="16">
        <f t="shared" si="1"/>
        <v>0.60395529949554072</v>
      </c>
      <c r="D45" s="17">
        <f t="shared" si="3"/>
        <v>0.67106144388393418</v>
      </c>
      <c r="E45" s="17">
        <f t="shared" si="2"/>
        <v>0.73816758827232765</v>
      </c>
      <c r="F45" s="2">
        <v>0.82940000000000003</v>
      </c>
      <c r="G45" s="2" t="str">
        <f t="shared" si="0"/>
        <v>Fail</v>
      </c>
      <c r="Y45" s="2">
        <v>30</v>
      </c>
      <c r="Z45" s="2">
        <v>0.32700000000000001</v>
      </c>
      <c r="AA45" s="2">
        <v>0.34649999999999997</v>
      </c>
      <c r="AB45" s="2">
        <v>0.99319999999999997</v>
      </c>
    </row>
    <row r="46" spans="2:28" x14ac:dyDescent="0.4">
      <c r="B46" s="11">
        <v>29</v>
      </c>
      <c r="C46" s="16">
        <f t="shared" si="1"/>
        <v>0.66114595245369823</v>
      </c>
      <c r="D46" s="17">
        <f t="shared" si="3"/>
        <v>0.73460661383744252</v>
      </c>
      <c r="E46" s="17">
        <f t="shared" si="2"/>
        <v>0.80806727522118682</v>
      </c>
      <c r="F46" s="2">
        <v>0.9103</v>
      </c>
      <c r="G46" s="2" t="str">
        <f t="shared" si="0"/>
        <v>Fail</v>
      </c>
      <c r="Y46" s="2">
        <v>31</v>
      </c>
      <c r="Z46" s="2">
        <v>0.32219999999999999</v>
      </c>
      <c r="AA46" s="2">
        <v>0.33239999999999997</v>
      </c>
      <c r="AB46" s="2">
        <v>1.014</v>
      </c>
    </row>
    <row r="47" spans="2:28" x14ac:dyDescent="0.4">
      <c r="B47" s="11">
        <v>30</v>
      </c>
      <c r="C47" s="16">
        <f t="shared" si="1"/>
        <v>0.72155335212246408</v>
      </c>
      <c r="D47" s="17">
        <f t="shared" si="3"/>
        <v>0.8017259468027379</v>
      </c>
      <c r="E47" s="17">
        <f t="shared" si="2"/>
        <v>0.88189854148301172</v>
      </c>
      <c r="F47" s="2">
        <v>0.99319999999999997</v>
      </c>
      <c r="G47" s="2" t="str">
        <f t="shared" si="0"/>
        <v>Fail</v>
      </c>
      <c r="Y47" s="2">
        <v>32</v>
      </c>
      <c r="Z47" s="2">
        <v>0.32469999999999999</v>
      </c>
      <c r="AA47" s="2">
        <v>0.33129999999999998</v>
      </c>
      <c r="AB47" s="2">
        <v>1.1013999999999999</v>
      </c>
    </row>
    <row r="48" spans="2:28" x14ac:dyDescent="0.4">
      <c r="B48" s="11">
        <v>31</v>
      </c>
      <c r="C48" s="16">
        <f t="shared" si="1"/>
        <v>0.78524306551958734</v>
      </c>
      <c r="D48" s="17">
        <f t="shared" si="3"/>
        <v>0.87249229502176373</v>
      </c>
      <c r="E48" s="17">
        <f t="shared" si="2"/>
        <v>0.95974152452394013</v>
      </c>
      <c r="F48" s="2">
        <v>1.014</v>
      </c>
      <c r="G48" s="2" t="str">
        <f t="shared" si="0"/>
        <v>Fail</v>
      </c>
      <c r="Y48" s="2">
        <v>33</v>
      </c>
      <c r="Z48" s="2">
        <v>0.33029999999999998</v>
      </c>
      <c r="AA48" s="2">
        <v>0.3412</v>
      </c>
      <c r="AB48" s="2">
        <v>1.2125999999999999</v>
      </c>
    </row>
    <row r="49" spans="2:28" x14ac:dyDescent="0.4">
      <c r="B49" s="11">
        <v>32</v>
      </c>
      <c r="C49" s="16">
        <f t="shared" si="1"/>
        <v>0.85227979768748763</v>
      </c>
      <c r="D49" s="17">
        <f t="shared" si="3"/>
        <v>0.94697755298609743</v>
      </c>
      <c r="E49" s="17">
        <f t="shared" si="2"/>
        <v>1.0416753082847072</v>
      </c>
      <c r="F49" s="2">
        <v>1.1013999999999999</v>
      </c>
      <c r="G49" s="2" t="str">
        <f t="shared" si="0"/>
        <v>Fail</v>
      </c>
      <c r="Y49" s="2">
        <v>34</v>
      </c>
      <c r="Z49" s="2">
        <v>0.32279999999999998</v>
      </c>
      <c r="AA49" s="2">
        <v>0.34399999999999997</v>
      </c>
      <c r="AB49" s="2">
        <v>1.2625999999999999</v>
      </c>
    </row>
    <row r="50" spans="2:28" x14ac:dyDescent="0.4">
      <c r="B50" s="11">
        <v>33</v>
      </c>
      <c r="C50" s="16">
        <f t="shared" si="1"/>
        <v>0.92272743010467184</v>
      </c>
      <c r="D50" s="17">
        <f t="shared" si="3"/>
        <v>1.0252527001163021</v>
      </c>
      <c r="E50" s="17">
        <f t="shared" si="2"/>
        <v>1.1277779701279322</v>
      </c>
      <c r="F50" s="2">
        <v>1.2125999999999999</v>
      </c>
      <c r="G50" s="2" t="str">
        <f t="shared" si="0"/>
        <v>Fail</v>
      </c>
      <c r="Y50" s="2">
        <v>35</v>
      </c>
      <c r="Z50" s="2">
        <v>0.32200000000000001</v>
      </c>
      <c r="AA50" s="2">
        <v>0.33100000000000002</v>
      </c>
      <c r="AB50" s="2">
        <v>1.2921</v>
      </c>
    </row>
    <row r="51" spans="2:28" x14ac:dyDescent="0.4">
      <c r="B51" s="11">
        <v>34</v>
      </c>
      <c r="C51" s="16">
        <f t="shared" si="1"/>
        <v>0.99664905625250988</v>
      </c>
      <c r="D51" s="17">
        <f t="shared" si="3"/>
        <v>1.1073878402805666</v>
      </c>
      <c r="E51" s="17">
        <f t="shared" si="2"/>
        <v>1.2181266243086233</v>
      </c>
      <c r="F51" s="2">
        <v>1.2625999999999999</v>
      </c>
      <c r="G51" s="2" t="str">
        <f t="shared" si="0"/>
        <v>Fail</v>
      </c>
      <c r="Y51" s="2">
        <v>36</v>
      </c>
      <c r="Z51" s="2">
        <v>0.32700000000000001</v>
      </c>
      <c r="AA51" s="2">
        <v>0.3402</v>
      </c>
      <c r="AB51" s="2">
        <v>1.3761000000000001</v>
      </c>
    </row>
    <row r="52" spans="2:28" x14ac:dyDescent="0.4">
      <c r="B52" s="11">
        <v>35</v>
      </c>
      <c r="C52" s="16">
        <f t="shared" si="1"/>
        <v>1.0741070146269913</v>
      </c>
      <c r="D52" s="17">
        <f t="shared" si="3"/>
        <v>1.1934522384744348</v>
      </c>
      <c r="E52" s="17">
        <f t="shared" si="2"/>
        <v>1.3127974623218783</v>
      </c>
      <c r="F52" s="2">
        <v>1.2921</v>
      </c>
      <c r="G52" s="2" t="str">
        <f t="shared" si="0"/>
        <v>Pass</v>
      </c>
      <c r="Y52" s="2">
        <v>37</v>
      </c>
      <c r="Z52" s="2">
        <v>0.32669999999999999</v>
      </c>
      <c r="AA52" s="2">
        <v>0.33989999999999998</v>
      </c>
      <c r="AB52" s="2">
        <v>1.488</v>
      </c>
    </row>
    <row r="53" spans="2:28" x14ac:dyDescent="0.4">
      <c r="B53" s="11">
        <v>36</v>
      </c>
      <c r="C53" s="16">
        <f t="shared" si="1"/>
        <v>1.1551629194479602</v>
      </c>
      <c r="D53" s="17">
        <f t="shared" si="3"/>
        <v>1.2835143549421781</v>
      </c>
      <c r="E53" s="17">
        <f t="shared" si="2"/>
        <v>1.411865790436396</v>
      </c>
      <c r="F53" s="2">
        <v>1.3761000000000001</v>
      </c>
      <c r="G53" s="2" t="str">
        <f t="shared" si="0"/>
        <v>Pass</v>
      </c>
      <c r="Y53" s="2">
        <v>38</v>
      </c>
      <c r="Z53" s="2">
        <v>0.32579999999999998</v>
      </c>
      <c r="AA53" s="2">
        <v>0.3397</v>
      </c>
      <c r="AB53" s="2">
        <v>1.575</v>
      </c>
    </row>
    <row r="54" spans="2:28" x14ac:dyDescent="0.4">
      <c r="B54" s="11">
        <v>37</v>
      </c>
      <c r="C54" s="16">
        <f t="shared" si="1"/>
        <v>1.2398776892870007</v>
      </c>
      <c r="D54" s="17">
        <f t="shared" si="3"/>
        <v>1.3776418769855563</v>
      </c>
      <c r="E54" s="17">
        <f t="shared" si="2"/>
        <v>1.5154060646841119</v>
      </c>
      <c r="F54" s="2">
        <v>1.488</v>
      </c>
      <c r="G54" s="2" t="str">
        <f t="shared" si="0"/>
        <v>Pass</v>
      </c>
      <c r="Y54" s="2">
        <v>39</v>
      </c>
      <c r="Z54" s="2">
        <v>0.32600000000000001</v>
      </c>
      <c r="AA54" s="2">
        <v>0.33900000000000002</v>
      </c>
      <c r="AB54" s="2">
        <v>1.6826000000000001</v>
      </c>
    </row>
    <row r="55" spans="2:28" x14ac:dyDescent="0.4">
      <c r="B55" s="11">
        <v>38</v>
      </c>
      <c r="C55" s="16">
        <f t="shared" si="1"/>
        <v>1.3283115738083369</v>
      </c>
      <c r="D55" s="17">
        <f t="shared" si="3"/>
        <v>1.4759017486759298</v>
      </c>
      <c r="E55" s="17">
        <f t="shared" si="2"/>
        <v>1.6234919235435228</v>
      </c>
      <c r="F55" s="2">
        <v>1.575</v>
      </c>
      <c r="G55" s="2" t="str">
        <f t="shared" si="0"/>
        <v>Pass</v>
      </c>
      <c r="Y55" s="2">
        <v>40</v>
      </c>
      <c r="Z55" s="2">
        <v>0.32440000000000002</v>
      </c>
      <c r="AA55" s="2">
        <v>0.34770000000000001</v>
      </c>
      <c r="AB55" s="2">
        <v>1.7645</v>
      </c>
    </row>
    <row r="56" spans="2:28" x14ac:dyDescent="0.4">
      <c r="B56" s="11">
        <v>39</v>
      </c>
      <c r="C56" s="16">
        <f t="shared" si="1"/>
        <v>1.4205241787943073</v>
      </c>
      <c r="D56" s="17">
        <f t="shared" si="3"/>
        <v>1.5783601986603415</v>
      </c>
      <c r="E56" s="17">
        <f t="shared" si="2"/>
        <v>1.7361962185263757</v>
      </c>
      <c r="F56" s="2">
        <v>1.6826000000000001</v>
      </c>
      <c r="G56" s="2" t="str">
        <f t="shared" si="0"/>
        <v>Pass</v>
      </c>
      <c r="Y56" s="2">
        <v>41</v>
      </c>
      <c r="Z56" s="2">
        <v>0.33210000000000001</v>
      </c>
      <c r="AA56" s="2">
        <v>0.3412</v>
      </c>
      <c r="AB56" s="2">
        <v>1.8144</v>
      </c>
    </row>
    <row r="57" spans="2:28" x14ac:dyDescent="0.4">
      <c r="B57" s="11">
        <v>40</v>
      </c>
      <c r="C57" s="16">
        <f t="shared" si="1"/>
        <v>1.5165744896072746</v>
      </c>
      <c r="D57" s="17">
        <f t="shared" si="3"/>
        <v>1.6850827662303052</v>
      </c>
      <c r="E57" s="17">
        <f t="shared" si="2"/>
        <v>1.8535910428533358</v>
      </c>
      <c r="F57" s="2">
        <v>1.7645</v>
      </c>
      <c r="G57" s="2" t="str">
        <f t="shared" si="0"/>
        <v>Pass</v>
      </c>
      <c r="Y57" s="2">
        <v>42</v>
      </c>
      <c r="Z57" s="2">
        <v>0.3332</v>
      </c>
      <c r="AA57" s="2">
        <v>0.3407</v>
      </c>
      <c r="AB57" s="2">
        <v>1.9067000000000001</v>
      </c>
    </row>
    <row r="58" spans="2:28" x14ac:dyDescent="0.4">
      <c r="B58" s="11">
        <v>41</v>
      </c>
      <c r="C58" s="16">
        <f t="shared" si="1"/>
        <v>1.6165208932228565</v>
      </c>
      <c r="D58" s="17">
        <f t="shared" si="3"/>
        <v>1.7961343258031739</v>
      </c>
      <c r="E58" s="17">
        <f t="shared" si="2"/>
        <v>1.9757477583834913</v>
      </c>
      <c r="F58" s="2">
        <v>1.8144</v>
      </c>
      <c r="G58" s="2" t="str">
        <f t="shared" si="0"/>
        <v>Pass</v>
      </c>
      <c r="Y58" s="2">
        <v>43</v>
      </c>
      <c r="Z58" s="2">
        <v>0.32790000000000002</v>
      </c>
      <c r="AA58" s="2">
        <v>0.34</v>
      </c>
      <c r="AB58" s="2">
        <v>2.1274999999999999</v>
      </c>
    </row>
    <row r="59" spans="2:28" x14ac:dyDescent="0.4">
      <c r="B59" s="11">
        <v>42</v>
      </c>
      <c r="C59" s="16">
        <f t="shared" si="1"/>
        <v>1.720421198954742</v>
      </c>
      <c r="D59" s="17">
        <f t="shared" si="3"/>
        <v>1.9115791099497133</v>
      </c>
      <c r="E59" s="17">
        <f t="shared" si="2"/>
        <v>2.1027370209446845</v>
      </c>
      <c r="F59" s="2">
        <v>1.9067000000000001</v>
      </c>
      <c r="G59" s="2" t="str">
        <f t="shared" si="0"/>
        <v>Pass</v>
      </c>
      <c r="Y59" s="2">
        <v>44</v>
      </c>
      <c r="Z59" s="2">
        <v>0.32919999999999999</v>
      </c>
      <c r="AA59" s="2">
        <v>0.34150000000000003</v>
      </c>
      <c r="AB59" s="2">
        <v>2.2835000000000001</v>
      </c>
    </row>
    <row r="60" spans="2:28" x14ac:dyDescent="0.4">
      <c r="B60" s="11">
        <v>43</v>
      </c>
      <c r="C60" s="16">
        <f t="shared" si="1"/>
        <v>1.8283326579784782</v>
      </c>
      <c r="D60" s="17">
        <f t="shared" si="3"/>
        <v>2.0314807310871981</v>
      </c>
      <c r="E60" s="17">
        <f t="shared" si="2"/>
        <v>2.2346288041959177</v>
      </c>
      <c r="F60" s="2">
        <v>2.1274999999999999</v>
      </c>
      <c r="G60" s="2" t="str">
        <f t="shared" si="0"/>
        <v>Pass</v>
      </c>
      <c r="Y60" s="2">
        <v>45</v>
      </c>
      <c r="Z60" s="2">
        <v>0.3261</v>
      </c>
      <c r="AA60" s="2">
        <v>0.34970000000000001</v>
      </c>
      <c r="AB60" s="2">
        <v>2.3717000000000001</v>
      </c>
    </row>
    <row r="61" spans="2:28" x14ac:dyDescent="0.4">
      <c r="B61" s="11">
        <v>44</v>
      </c>
      <c r="C61" s="16">
        <f t="shared" si="1"/>
        <v>1.9403119817505612</v>
      </c>
      <c r="D61" s="17">
        <f t="shared" si="3"/>
        <v>2.155902201945068</v>
      </c>
      <c r="E61" s="17">
        <f t="shared" si="2"/>
        <v>2.3714924221395748</v>
      </c>
      <c r="F61" s="2">
        <v>2.2835000000000001</v>
      </c>
      <c r="G61" s="2" t="str">
        <f t="shared" si="0"/>
        <v>Pass</v>
      </c>
      <c r="Y61" s="2">
        <v>46</v>
      </c>
      <c r="Z61" s="2">
        <v>0.3281</v>
      </c>
      <c r="AA61" s="2">
        <v>0.34860000000000002</v>
      </c>
      <c r="AB61" s="2">
        <v>2.544</v>
      </c>
    </row>
    <row r="62" spans="2:28" x14ac:dyDescent="0.4">
      <c r="B62" s="11">
        <v>45</v>
      </c>
      <c r="C62" s="16">
        <f t="shared" si="1"/>
        <v>2.0564153594093102</v>
      </c>
      <c r="D62" s="17">
        <f t="shared" si="3"/>
        <v>2.2849059548992336</v>
      </c>
      <c r="E62" s="17">
        <f t="shared" si="2"/>
        <v>2.5133965503891571</v>
      </c>
      <c r="F62" s="2">
        <v>2.3717000000000001</v>
      </c>
      <c r="G62" s="2" t="str">
        <f t="shared" si="0"/>
        <v>Pass</v>
      </c>
      <c r="Y62" s="2">
        <v>47</v>
      </c>
      <c r="Z62" s="2">
        <v>0.32869999999999999</v>
      </c>
      <c r="AA62" s="2">
        <v>0.3488</v>
      </c>
      <c r="AB62" s="2">
        <v>2.6722999999999999</v>
      </c>
    </row>
    <row r="63" spans="2:28" x14ac:dyDescent="0.4">
      <c r="B63" s="11">
        <v>46</v>
      </c>
      <c r="C63" s="16">
        <f t="shared" si="1"/>
        <v>2.1766984742355504</v>
      </c>
      <c r="D63" s="17">
        <f t="shared" si="3"/>
        <v>2.4185538602617229</v>
      </c>
      <c r="E63" s="17">
        <f t="shared" si="2"/>
        <v>2.6604092462878954</v>
      </c>
      <c r="F63" s="2">
        <v>2.544</v>
      </c>
      <c r="G63" s="2" t="str">
        <f t="shared" si="0"/>
        <v>Pass</v>
      </c>
      <c r="Y63" s="2">
        <v>48</v>
      </c>
      <c r="Z63" s="2">
        <v>0.32879999999999998</v>
      </c>
      <c r="AA63" s="2">
        <v>0.34870000000000001</v>
      </c>
      <c r="AB63" s="2">
        <v>2.8157000000000001</v>
      </c>
    </row>
    <row r="64" spans="2:28" x14ac:dyDescent="0.4">
      <c r="B64" s="11">
        <v>47</v>
      </c>
      <c r="C64" s="16">
        <f t="shared" si="1"/>
        <v>2.3012165192434146</v>
      </c>
      <c r="D64" s="17">
        <f t="shared" si="3"/>
        <v>2.5569072436037938</v>
      </c>
      <c r="E64" s="17">
        <f t="shared" si="2"/>
        <v>2.8125979679641731</v>
      </c>
      <c r="F64" s="2">
        <v>2.6722999999999999</v>
      </c>
      <c r="G64" s="2" t="str">
        <f t="shared" si="0"/>
        <v>Pass</v>
      </c>
      <c r="Y64" s="2">
        <v>49</v>
      </c>
      <c r="Z64" s="2">
        <v>0.3301</v>
      </c>
      <c r="AA64" s="2">
        <v>0.35</v>
      </c>
      <c r="AB64" s="2">
        <v>3.0182000000000002</v>
      </c>
    </row>
    <row r="65" spans="2:28" x14ac:dyDescent="0.4">
      <c r="B65" s="11">
        <v>48</v>
      </c>
      <c r="C65" s="16">
        <f t="shared" si="1"/>
        <v>2.4300242119650544</v>
      </c>
      <c r="D65" s="17">
        <f t="shared" si="3"/>
        <v>2.7000269021833936</v>
      </c>
      <c r="E65" s="17">
        <f t="shared" si="2"/>
        <v>2.9700295924017328</v>
      </c>
      <c r="F65" s="2">
        <v>2.8157000000000001</v>
      </c>
      <c r="G65" s="2" t="str">
        <f t="shared" si="0"/>
        <v>Pass</v>
      </c>
      <c r="Y65" s="2">
        <v>50</v>
      </c>
      <c r="Z65" s="2">
        <v>0.32590000000000002</v>
      </c>
      <c r="AA65" s="2">
        <v>0.35199999999999998</v>
      </c>
      <c r="AB65" s="2">
        <v>3.1836000000000002</v>
      </c>
    </row>
    <row r="66" spans="2:28" x14ac:dyDescent="0.4">
      <c r="B66" s="11">
        <v>49</v>
      </c>
      <c r="C66" s="16">
        <f t="shared" si="1"/>
        <v>2.5631758084870437</v>
      </c>
      <c r="D66" s="17">
        <f t="shared" si="3"/>
        <v>2.8479731205411598</v>
      </c>
      <c r="E66" s="17">
        <f t="shared" si="2"/>
        <v>3.1327704325952759</v>
      </c>
      <c r="F66" s="2">
        <v>3.0182000000000002</v>
      </c>
      <c r="G66" s="2" t="str">
        <f t="shared" si="0"/>
        <v>Pass</v>
      </c>
      <c r="Y66" s="2">
        <v>51</v>
      </c>
      <c r="Z66" s="2">
        <v>0.32969999999999999</v>
      </c>
      <c r="AA66" s="2">
        <v>0.34339999999999998</v>
      </c>
      <c r="AB66" s="2">
        <v>3.2046999999999999</v>
      </c>
    </row>
    <row r="67" spans="2:28" x14ac:dyDescent="0.4">
      <c r="B67" s="11">
        <v>50</v>
      </c>
      <c r="C67" s="16">
        <f t="shared" si="1"/>
        <v>2.7007251167910336</v>
      </c>
      <c r="D67" s="17">
        <f t="shared" si="3"/>
        <v>3.0008056853233707</v>
      </c>
      <c r="E67" s="17">
        <f t="shared" si="2"/>
        <v>3.3008862538557078</v>
      </c>
      <c r="F67" s="2">
        <v>3.1836000000000002</v>
      </c>
      <c r="G67" s="2" t="str">
        <f t="shared" si="0"/>
        <v>Pass</v>
      </c>
      <c r="Y67" s="2">
        <v>52</v>
      </c>
      <c r="Z67" s="2">
        <v>0.33160000000000001</v>
      </c>
      <c r="AA67" s="2">
        <v>0.34760000000000002</v>
      </c>
      <c r="AB67" s="2">
        <v>3.3645999999999998</v>
      </c>
    </row>
    <row r="68" spans="2:28" x14ac:dyDescent="0.4">
      <c r="B68" s="11">
        <v>51</v>
      </c>
      <c r="C68" s="16">
        <f t="shared" si="1"/>
        <v>2.8427255094465105</v>
      </c>
      <c r="D68" s="17">
        <f t="shared" si="3"/>
        <v>3.1585838993850119</v>
      </c>
      <c r="E68" s="17">
        <f t="shared" si="2"/>
        <v>3.4744422893235134</v>
      </c>
      <c r="F68" s="2">
        <v>3.2046999999999999</v>
      </c>
      <c r="G68" s="2" t="str">
        <f t="shared" si="0"/>
        <v>Pass</v>
      </c>
      <c r="Y68" s="2">
        <v>53</v>
      </c>
      <c r="Z68" s="2">
        <v>0.33100000000000002</v>
      </c>
      <c r="AA68" s="2">
        <v>0.34839999999999999</v>
      </c>
      <c r="AB68" s="2">
        <v>3.5838000000000001</v>
      </c>
    </row>
    <row r="69" spans="2:28" x14ac:dyDescent="0.4">
      <c r="B69" s="11">
        <v>52</v>
      </c>
      <c r="C69" s="16">
        <f t="shared" si="1"/>
        <v>2.9892299356994076</v>
      </c>
      <c r="D69" s="17">
        <f t="shared" si="3"/>
        <v>3.3213665952215643</v>
      </c>
      <c r="E69" s="17">
        <f t="shared" si="2"/>
        <v>3.653503254743721</v>
      </c>
      <c r="F69" s="2">
        <v>3.3645999999999998</v>
      </c>
      <c r="G69" s="2" t="str">
        <f t="shared" si="0"/>
        <v>Pass</v>
      </c>
      <c r="Y69" s="2">
        <v>54</v>
      </c>
      <c r="Z69" s="2">
        <v>0.3306</v>
      </c>
      <c r="AA69" s="2">
        <v>0.34839999999999999</v>
      </c>
      <c r="AB69" s="2">
        <v>3.7477</v>
      </c>
    </row>
    <row r="70" spans="2:28" x14ac:dyDescent="0.4">
      <c r="B70" s="11">
        <v>53</v>
      </c>
      <c r="C70" s="16">
        <f t="shared" si="1"/>
        <v>3.1402909329964426</v>
      </c>
      <c r="D70" s="17">
        <f t="shared" si="3"/>
        <v>3.4892121477738249</v>
      </c>
      <c r="E70" s="17">
        <f t="shared" si="2"/>
        <v>3.8381333625512073</v>
      </c>
      <c r="F70" s="2">
        <v>3.5838000000000001</v>
      </c>
      <c r="G70" s="2" t="str">
        <f t="shared" si="0"/>
        <v>Pass</v>
      </c>
      <c r="Y70" s="2">
        <v>55</v>
      </c>
      <c r="Z70" s="2">
        <v>0.33229999999999998</v>
      </c>
      <c r="AA70" s="2">
        <v>0.34899999999999998</v>
      </c>
      <c r="AB70" s="2">
        <v>3.9929000000000001</v>
      </c>
    </row>
    <row r="71" spans="2:28" x14ac:dyDescent="0.4">
      <c r="B71" s="11">
        <v>54</v>
      </c>
      <c r="C71" s="16">
        <f t="shared" si="1"/>
        <v>3.2959606379818709</v>
      </c>
      <c r="D71" s="17">
        <f t="shared" si="3"/>
        <v>3.662178486646523</v>
      </c>
      <c r="E71" s="17">
        <f t="shared" si="2"/>
        <v>4.0283963353111751</v>
      </c>
      <c r="F71" s="2">
        <v>3.7477</v>
      </c>
      <c r="G71" s="2" t="str">
        <f t="shared" si="0"/>
        <v>Pass</v>
      </c>
      <c r="Y71" s="2">
        <v>56</v>
      </c>
      <c r="Z71" s="2">
        <v>0.33150000000000002</v>
      </c>
      <c r="AA71" s="2">
        <v>0.34720000000000001</v>
      </c>
      <c r="AB71" s="2">
        <v>4.1654</v>
      </c>
    </row>
    <row r="72" spans="2:28" x14ac:dyDescent="0.4">
      <c r="B72" s="11">
        <v>55</v>
      </c>
      <c r="C72" s="16">
        <f t="shared" si="1"/>
        <v>3.4562907970001566</v>
      </c>
      <c r="D72" s="17">
        <f t="shared" si="3"/>
        <v>3.8403231077779516</v>
      </c>
      <c r="E72" s="17">
        <f t="shared" si="2"/>
        <v>4.2243554185557466</v>
      </c>
      <c r="F72" s="2">
        <v>3.9929000000000001</v>
      </c>
      <c r="G72" s="2" t="str">
        <f t="shared" si="0"/>
        <v>Pass</v>
      </c>
      <c r="Y72" s="2">
        <v>57</v>
      </c>
      <c r="Z72" s="2">
        <v>0.32790000000000002</v>
      </c>
      <c r="AA72" s="2">
        <v>0.34849999999999998</v>
      </c>
      <c r="AB72" s="2">
        <v>4.3219000000000003</v>
      </c>
    </row>
    <row r="73" spans="2:28" x14ac:dyDescent="0.4">
      <c r="B73" s="11">
        <v>56</v>
      </c>
      <c r="C73" s="16">
        <f t="shared" si="1"/>
        <v>3.6213327761355094</v>
      </c>
      <c r="D73" s="17">
        <f t="shared" si="3"/>
        <v>4.0237030845950104</v>
      </c>
      <c r="E73" s="17">
        <f t="shared" si="2"/>
        <v>4.4260733930545113</v>
      </c>
      <c r="F73" s="2">
        <v>4.1654</v>
      </c>
      <c r="G73" s="2" t="str">
        <f t="shared" si="0"/>
        <v>Pass</v>
      </c>
      <c r="Y73" s="2">
        <v>58</v>
      </c>
      <c r="Z73" s="2">
        <v>0.32819999999999999</v>
      </c>
      <c r="AA73" s="2">
        <v>0.34849999999999998</v>
      </c>
      <c r="AB73" s="2">
        <v>4.5016999999999996</v>
      </c>
    </row>
    <row r="74" spans="2:28" x14ac:dyDescent="0.4">
      <c r="B74" s="11">
        <v>57</v>
      </c>
      <c r="C74" s="16">
        <f t="shared" si="1"/>
        <v>3.7911375708166251</v>
      </c>
      <c r="D74" s="17">
        <f t="shared" si="3"/>
        <v>4.2123750786851391</v>
      </c>
      <c r="E74" s="17">
        <f t="shared" si="2"/>
        <v>4.633612586553653</v>
      </c>
      <c r="F74" s="2">
        <v>4.3219000000000003</v>
      </c>
      <c r="G74" s="2" t="str">
        <f t="shared" si="0"/>
        <v>Pass</v>
      </c>
      <c r="Y74" s="2">
        <v>59</v>
      </c>
      <c r="Z74" s="2">
        <v>0.33019999999999999</v>
      </c>
      <c r="AA74" s="2">
        <v>0.3513</v>
      </c>
      <c r="AB74" s="2">
        <v>4.7698</v>
      </c>
    </row>
    <row r="75" spans="2:28" x14ac:dyDescent="0.4">
      <c r="B75" s="11">
        <v>58</v>
      </c>
      <c r="C75" s="16">
        <f t="shared" si="1"/>
        <v>3.9657558150129026</v>
      </c>
      <c r="D75" s="17">
        <f t="shared" si="3"/>
        <v>4.4063953500143365</v>
      </c>
      <c r="E75" s="17">
        <f t="shared" si="2"/>
        <v>4.8470348850157698</v>
      </c>
      <c r="F75" s="2">
        <v>4.5016999999999996</v>
      </c>
      <c r="G75" s="2" t="str">
        <f t="shared" si="0"/>
        <v>Pass</v>
      </c>
      <c r="Y75" s="2">
        <v>60</v>
      </c>
      <c r="Z75" s="2">
        <v>0.33119999999999999</v>
      </c>
      <c r="AA75" s="2">
        <v>0.35859999999999997</v>
      </c>
      <c r="AB75" s="2">
        <v>4.9898999999999996</v>
      </c>
    </row>
    <row r="76" spans="2:28" x14ac:dyDescent="0.4">
      <c r="B76" s="11">
        <v>59</v>
      </c>
      <c r="C76" s="16">
        <f t="shared" si="1"/>
        <v>4.1452377900462789</v>
      </c>
      <c r="D76" s="17">
        <f t="shared" si="3"/>
        <v>4.6058197667180876</v>
      </c>
      <c r="E76" s="17">
        <f t="shared" si="2"/>
        <v>5.0664017433898962</v>
      </c>
      <c r="F76" s="2">
        <v>4.7698</v>
      </c>
      <c r="G76" s="2" t="str">
        <f t="shared" si="0"/>
        <v>Pass</v>
      </c>
      <c r="Y76" s="2">
        <v>61</v>
      </c>
      <c r="Z76" s="2">
        <v>0.33139999999999997</v>
      </c>
      <c r="AA76" s="2">
        <v>0.35870000000000002</v>
      </c>
      <c r="AB76" s="2">
        <v>5.1955</v>
      </c>
    </row>
    <row r="77" spans="2:28" x14ac:dyDescent="0.4">
      <c r="B77" s="11">
        <v>60</v>
      </c>
      <c r="C77" s="16">
        <f t="shared" si="1"/>
        <v>4.3296334330410859</v>
      </c>
      <c r="D77" s="17">
        <f t="shared" si="3"/>
        <v>4.8107038144900951</v>
      </c>
      <c r="E77" s="17">
        <f t="shared" si="2"/>
        <v>5.2917741959391043</v>
      </c>
      <c r="F77" s="2">
        <v>4.9898999999999996</v>
      </c>
      <c r="G77" s="2" t="str">
        <f t="shared" si="0"/>
        <v>Pass</v>
      </c>
      <c r="Y77" s="2">
        <v>62</v>
      </c>
      <c r="Z77" s="2">
        <v>0.33229999999999998</v>
      </c>
      <c r="AA77" s="2">
        <v>0.35849999999999999</v>
      </c>
      <c r="AB77" s="2">
        <v>5.4806999999999997</v>
      </c>
    </row>
    <row r="78" spans="2:28" x14ac:dyDescent="0.4">
      <c r="B78" s="11">
        <v>61</v>
      </c>
      <c r="C78" s="16">
        <f t="shared" si="1"/>
        <v>4.5189923450326202</v>
      </c>
      <c r="D78" s="17">
        <f t="shared" si="3"/>
        <v>5.0211026055918007</v>
      </c>
      <c r="E78" s="17">
        <f t="shared" si="2"/>
        <v>5.5232128661509812</v>
      </c>
      <c r="F78" s="2">
        <v>5.1955</v>
      </c>
      <c r="G78" s="2" t="str">
        <f t="shared" si="0"/>
        <v>Pass</v>
      </c>
      <c r="Y78" s="2">
        <v>63</v>
      </c>
      <c r="Z78" s="2">
        <v>0.3337</v>
      </c>
      <c r="AA78" s="2">
        <v>0.3503</v>
      </c>
      <c r="AB78" s="2">
        <v>5.5613999999999999</v>
      </c>
    </row>
    <row r="79" spans="2:28" x14ac:dyDescent="0.4">
      <c r="B79" s="11">
        <v>62</v>
      </c>
      <c r="C79" s="16">
        <f t="shared" si="1"/>
        <v>4.7133637987536456</v>
      </c>
      <c r="D79" s="17">
        <f t="shared" si="3"/>
        <v>5.2370708875040508</v>
      </c>
      <c r="E79" s="17">
        <f t="shared" si="2"/>
        <v>5.760777976254456</v>
      </c>
      <c r="F79" s="2">
        <v>5.4806999999999997</v>
      </c>
      <c r="G79" s="2" t="str">
        <f t="shared" si="0"/>
        <v>Pass</v>
      </c>
      <c r="Y79" s="2">
        <v>64</v>
      </c>
      <c r="Z79" s="2">
        <v>0.33210000000000001</v>
      </c>
      <c r="AA79" s="2">
        <v>0.35070000000000001</v>
      </c>
      <c r="AB79" s="2">
        <v>5.7590000000000003</v>
      </c>
    </row>
    <row r="80" spans="2:28" x14ac:dyDescent="0.4">
      <c r="B80" s="11">
        <v>63</v>
      </c>
      <c r="C80" s="16">
        <f t="shared" si="1"/>
        <v>4.9127967461166602</v>
      </c>
      <c r="D80" s="17">
        <f t="shared" si="3"/>
        <v>5.458663051240733</v>
      </c>
      <c r="E80" s="17">
        <f t="shared" si="2"/>
        <v>6.0045293563648059</v>
      </c>
      <c r="F80" s="2">
        <v>5.5613999999999999</v>
      </c>
      <c r="G80" s="2" t="str">
        <f t="shared" si="0"/>
        <v>Pass</v>
      </c>
      <c r="Y80" s="2">
        <v>65</v>
      </c>
      <c r="Z80" s="2">
        <v>0.3322</v>
      </c>
      <c r="AA80" s="2">
        <v>0.34960000000000002</v>
      </c>
      <c r="AB80" s="2">
        <v>6.0734000000000004</v>
      </c>
    </row>
    <row r="81" spans="2:28" x14ac:dyDescent="0.4">
      <c r="B81" s="11">
        <v>64</v>
      </c>
      <c r="C81" s="16">
        <f t="shared" si="1"/>
        <v>5.117339825408477</v>
      </c>
      <c r="D81" s="17">
        <f t="shared" si="3"/>
        <v>5.6859331393427519</v>
      </c>
      <c r="E81" s="17">
        <f t="shared" si="2"/>
        <v>6.2545264532770268</v>
      </c>
      <c r="F81" s="2">
        <v>5.7590000000000003</v>
      </c>
      <c r="G81" s="2" t="str">
        <f t="shared" ref="G81:G144" si="4">IF(F81&lt;=C81,"Fail",IF(AND(C81&lt;F81,F81&lt;E81),"Pass",IF(E81&lt;=F81,"Fail")))</f>
        <v>Pass</v>
      </c>
      <c r="Y81" s="2">
        <v>66</v>
      </c>
      <c r="Z81" s="2">
        <v>0.33300000000000002</v>
      </c>
      <c r="AA81" s="2">
        <v>0.34970000000000001</v>
      </c>
      <c r="AB81" s="2">
        <v>6.2981999999999996</v>
      </c>
    </row>
    <row r="82" spans="2:28" x14ac:dyDescent="0.4">
      <c r="B82" s="11">
        <v>65</v>
      </c>
      <c r="C82" s="16">
        <f t="shared" ref="C82:C145" si="5">D82-D82*(C$14/100)</f>
        <v>5.3270413682125595</v>
      </c>
      <c r="D82" s="17">
        <f t="shared" si="3"/>
        <v>5.9189348535695103</v>
      </c>
      <c r="E82" s="17">
        <f t="shared" ref="E82:E145" si="6">D82+D82*(C$14/100)</f>
        <v>6.5108283389264612</v>
      </c>
      <c r="F82" s="2">
        <v>6.0734000000000004</v>
      </c>
      <c r="G82" s="2" t="str">
        <f t="shared" si="4"/>
        <v>Pass</v>
      </c>
      <c r="Y82" s="2">
        <v>67</v>
      </c>
      <c r="Z82" s="2">
        <v>0.33169999999999999</v>
      </c>
      <c r="AA82" s="2">
        <v>0.34910000000000002</v>
      </c>
      <c r="AB82" s="2">
        <v>6.6012000000000004</v>
      </c>
    </row>
    <row r="83" spans="2:28" x14ac:dyDescent="0.4">
      <c r="B83" s="11">
        <v>66</v>
      </c>
      <c r="C83" s="16">
        <f t="shared" si="5"/>
        <v>5.5419494060734973</v>
      </c>
      <c r="D83" s="17">
        <f t="shared" ref="D83:D146" si="7">D$272*((B83+F$17)/B$272)^C$13</f>
        <v>6.1577215623038857</v>
      </c>
      <c r="E83" s="17">
        <f t="shared" si="6"/>
        <v>6.7734937185342741</v>
      </c>
      <c r="F83" s="2">
        <v>6.2981999999999996</v>
      </c>
      <c r="G83" s="2" t="str">
        <f t="shared" si="4"/>
        <v>Pass</v>
      </c>
      <c r="Y83" s="2">
        <v>68</v>
      </c>
      <c r="Z83" s="2">
        <v>0.33310000000000001</v>
      </c>
      <c r="AA83" s="2">
        <v>0.35560000000000003</v>
      </c>
      <c r="AB83" s="2">
        <v>6.8639999999999999</v>
      </c>
    </row>
    <row r="84" spans="2:28" x14ac:dyDescent="0.4">
      <c r="B84" s="11">
        <v>67</v>
      </c>
      <c r="C84" s="16">
        <f t="shared" si="5"/>
        <v>5.7621116769170051</v>
      </c>
      <c r="D84" s="17">
        <f t="shared" si="7"/>
        <v>6.4023463076855611</v>
      </c>
      <c r="E84" s="17">
        <f t="shared" si="6"/>
        <v>7.0425809384541171</v>
      </c>
      <c r="F84" s="2">
        <v>6.6012000000000004</v>
      </c>
      <c r="G84" s="2" t="str">
        <f t="shared" si="4"/>
        <v>Pass</v>
      </c>
      <c r="Y84" s="2">
        <v>69</v>
      </c>
      <c r="Z84" s="2">
        <v>0.33169999999999999</v>
      </c>
      <c r="AA84" s="2">
        <v>0.35520000000000002</v>
      </c>
      <c r="AB84" s="2">
        <v>7.0960999999999999</v>
      </c>
    </row>
    <row r="85" spans="2:28" x14ac:dyDescent="0.4">
      <c r="B85" s="11">
        <v>68</v>
      </c>
      <c r="C85" s="16">
        <f t="shared" si="5"/>
        <v>5.9875756312378963</v>
      </c>
      <c r="D85" s="17">
        <f t="shared" si="7"/>
        <v>6.6528618124865515</v>
      </c>
      <c r="E85" s="17">
        <f t="shared" si="6"/>
        <v>7.3181479937352067</v>
      </c>
      <c r="F85" s="2">
        <v>6.8639999999999999</v>
      </c>
      <c r="G85" s="2" t="str">
        <f t="shared" si="4"/>
        <v>Pass</v>
      </c>
      <c r="Y85" s="2">
        <v>70</v>
      </c>
      <c r="Z85" s="2">
        <v>0.33239999999999997</v>
      </c>
      <c r="AA85" s="2">
        <v>0.3513</v>
      </c>
      <c r="AB85" s="2">
        <v>7.4200999999999997</v>
      </c>
    </row>
    <row r="86" spans="2:28" x14ac:dyDescent="0.4">
      <c r="B86" s="11">
        <v>69</v>
      </c>
      <c r="C86" s="16">
        <f t="shared" si="5"/>
        <v>6.2183884380679046</v>
      </c>
      <c r="D86" s="17">
        <f t="shared" si="7"/>
        <v>6.9093204867421161</v>
      </c>
      <c r="E86" s="17">
        <f t="shared" si="6"/>
        <v>7.6002525354163275</v>
      </c>
      <c r="F86" s="2">
        <v>7.0960999999999999</v>
      </c>
      <c r="G86" s="2" t="str">
        <f t="shared" si="4"/>
        <v>Pass</v>
      </c>
      <c r="Y86" s="2">
        <v>71</v>
      </c>
      <c r="Z86" s="2">
        <v>0.33179999999999998</v>
      </c>
      <c r="AA86" s="2">
        <v>0.3518</v>
      </c>
      <c r="AB86" s="2">
        <v>7.6840000000000002</v>
      </c>
    </row>
    <row r="87" spans="2:28" x14ac:dyDescent="0.4">
      <c r="B87" s="11">
        <v>70</v>
      </c>
      <c r="C87" s="16">
        <f t="shared" si="5"/>
        <v>6.4545969907340996</v>
      </c>
      <c r="D87" s="17">
        <f t="shared" si="7"/>
        <v>7.1717744341489995</v>
      </c>
      <c r="E87" s="17">
        <f t="shared" si="6"/>
        <v>7.8889518775638994</v>
      </c>
      <c r="F87" s="2">
        <v>7.4200999999999997</v>
      </c>
      <c r="G87" s="2" t="str">
        <f t="shared" si="4"/>
        <v>Pass</v>
      </c>
      <c r="Y87" s="2">
        <v>72</v>
      </c>
      <c r="Z87" s="2">
        <v>0.33160000000000001</v>
      </c>
      <c r="AA87" s="2">
        <v>0.35199999999999998</v>
      </c>
      <c r="AB87" s="2">
        <v>7.96</v>
      </c>
    </row>
    <row r="88" spans="2:28" x14ac:dyDescent="0.4">
      <c r="B88" s="11">
        <v>71</v>
      </c>
      <c r="C88" s="16">
        <f t="shared" si="5"/>
        <v>6.6962479124182597</v>
      </c>
      <c r="D88" s="17">
        <f t="shared" si="7"/>
        <v>7.4402754582425112</v>
      </c>
      <c r="E88" s="17">
        <f t="shared" si="6"/>
        <v>8.1843030040667628</v>
      </c>
      <c r="F88" s="2">
        <v>7.6840000000000002</v>
      </c>
      <c r="G88" s="2" t="str">
        <f t="shared" si="4"/>
        <v>Pass</v>
      </c>
      <c r="Y88" s="2">
        <v>73</v>
      </c>
      <c r="Z88" s="2">
        <v>0.33110000000000001</v>
      </c>
      <c r="AA88" s="2">
        <v>0.35060000000000002</v>
      </c>
      <c r="AB88" s="2">
        <v>8.3483000000000001</v>
      </c>
    </row>
    <row r="89" spans="2:28" x14ac:dyDescent="0.4">
      <c r="B89" s="11">
        <v>72</v>
      </c>
      <c r="C89" s="16">
        <f t="shared" si="5"/>
        <v>6.9433875615267917</v>
      </c>
      <c r="D89" s="17">
        <f t="shared" si="7"/>
        <v>7.714875068363102</v>
      </c>
      <c r="E89" s="17">
        <f t="shared" si="6"/>
        <v>8.4863625751994114</v>
      </c>
      <c r="F89" s="2">
        <v>7.96</v>
      </c>
      <c r="G89" s="2" t="str">
        <f t="shared" si="4"/>
        <v>Pass</v>
      </c>
      <c r="Y89" s="2">
        <v>74</v>
      </c>
      <c r="Z89" s="2">
        <v>0.33129999999999998</v>
      </c>
      <c r="AA89" s="2">
        <v>0.35</v>
      </c>
      <c r="AB89" s="2">
        <v>8.6390999999999991</v>
      </c>
    </row>
    <row r="90" spans="2:28" x14ac:dyDescent="0.4">
      <c r="B90" s="11">
        <v>73</v>
      </c>
      <c r="C90" s="16">
        <f t="shared" si="5"/>
        <v>7.1960620368802317</v>
      </c>
      <c r="D90" s="17">
        <f t="shared" si="7"/>
        <v>7.9956244854224803</v>
      </c>
      <c r="E90" s="17">
        <f t="shared" si="6"/>
        <v>8.7951869339647288</v>
      </c>
      <c r="F90" s="2">
        <v>8.3483000000000001</v>
      </c>
      <c r="G90" s="2" t="str">
        <f t="shared" si="4"/>
        <v>Pass</v>
      </c>
      <c r="Y90" s="2">
        <v>75</v>
      </c>
      <c r="Z90" s="2">
        <v>0.33150000000000002</v>
      </c>
      <c r="AA90" s="2">
        <v>0.35589999999999999</v>
      </c>
      <c r="AB90" s="2">
        <v>8.9442000000000004</v>
      </c>
    </row>
    <row r="91" spans="2:28" x14ac:dyDescent="0.4">
      <c r="B91" s="11">
        <v>74</v>
      </c>
      <c r="C91" s="16">
        <f t="shared" si="5"/>
        <v>7.4543171827307519</v>
      </c>
      <c r="D91" s="17">
        <f t="shared" si="7"/>
        <v>8.2825746474786133</v>
      </c>
      <c r="E91" s="17">
        <f t="shared" si="6"/>
        <v>9.1108321122264755</v>
      </c>
      <c r="F91" s="2">
        <v>8.6390999999999991</v>
      </c>
      <c r="G91" s="2" t="str">
        <f t="shared" si="4"/>
        <v>Pass</v>
      </c>
      <c r="Y91" s="2">
        <v>76</v>
      </c>
      <c r="Z91" s="2">
        <v>0.33189999999999997</v>
      </c>
      <c r="AA91" s="2">
        <v>0.35599999999999998</v>
      </c>
      <c r="AB91" s="2">
        <v>9.3521999999999998</v>
      </c>
    </row>
    <row r="92" spans="2:28" x14ac:dyDescent="0.4">
      <c r="B92" s="11">
        <v>75</v>
      </c>
      <c r="C92" s="16">
        <f t="shared" si="5"/>
        <v>7.7181985936156847</v>
      </c>
      <c r="D92" s="17">
        <f t="shared" si="7"/>
        <v>8.5757762151285384</v>
      </c>
      <c r="E92" s="17">
        <f t="shared" si="6"/>
        <v>9.4333538366413929</v>
      </c>
      <c r="F92" s="2">
        <v>8.9442000000000004</v>
      </c>
      <c r="G92" s="2" t="str">
        <f t="shared" si="4"/>
        <v>Pass</v>
      </c>
      <c r="Y92" s="2">
        <v>77</v>
      </c>
      <c r="Z92" s="2">
        <v>0.33260000000000001</v>
      </c>
      <c r="AA92" s="2">
        <v>0.3523</v>
      </c>
      <c r="AB92" s="2">
        <v>9.4368999999999996</v>
      </c>
    </row>
    <row r="93" spans="2:28" x14ac:dyDescent="0.4">
      <c r="B93" s="11">
        <v>76</v>
      </c>
      <c r="C93" s="16">
        <f t="shared" si="5"/>
        <v>7.9877516190545137</v>
      </c>
      <c r="D93" s="17">
        <f t="shared" si="7"/>
        <v>8.8752795767272374</v>
      </c>
      <c r="E93" s="17">
        <f t="shared" si="6"/>
        <v>9.7628075343999612</v>
      </c>
      <c r="F93" s="2">
        <v>9.3521999999999998</v>
      </c>
      <c r="G93" s="2" t="str">
        <f t="shared" si="4"/>
        <v>Pass</v>
      </c>
      <c r="Y93" s="2">
        <v>78</v>
      </c>
      <c r="Z93" s="2">
        <v>0.3332</v>
      </c>
      <c r="AA93" s="2">
        <v>0.3513</v>
      </c>
      <c r="AB93" s="2">
        <v>9.7271000000000001</v>
      </c>
    </row>
    <row r="94" spans="2:28" x14ac:dyDescent="0.4">
      <c r="B94" s="11">
        <v>77</v>
      </c>
      <c r="C94" s="16">
        <f t="shared" si="5"/>
        <v>8.2630213680964513</v>
      </c>
      <c r="D94" s="17">
        <f t="shared" si="7"/>
        <v>9.1811348534405006</v>
      </c>
      <c r="E94" s="17">
        <f t="shared" si="6"/>
        <v>10.09924833878455</v>
      </c>
      <c r="F94" s="2">
        <v>9.4368999999999996</v>
      </c>
      <c r="G94" s="2" t="str">
        <f t="shared" si="4"/>
        <v>Pass</v>
      </c>
      <c r="Y94" s="2">
        <v>79</v>
      </c>
      <c r="Z94" s="2">
        <v>0.33379999999999999</v>
      </c>
      <c r="AA94" s="2">
        <v>0.3513</v>
      </c>
      <c r="AB94" s="2">
        <v>10.155200000000001</v>
      </c>
    </row>
    <row r="95" spans="2:28" x14ac:dyDescent="0.4">
      <c r="B95" s="11">
        <v>78</v>
      </c>
      <c r="C95" s="16">
        <f t="shared" si="5"/>
        <v>8.5440527137251703</v>
      </c>
      <c r="D95" s="17">
        <f t="shared" si="7"/>
        <v>9.4933919041390773</v>
      </c>
      <c r="E95" s="17">
        <f t="shared" si="6"/>
        <v>10.442731094552984</v>
      </c>
      <c r="F95" s="2">
        <v>9.7271000000000001</v>
      </c>
      <c r="G95" s="2" t="str">
        <f t="shared" si="4"/>
        <v>Pass</v>
      </c>
      <c r="Y95" s="2">
        <v>80</v>
      </c>
      <c r="Z95" s="2">
        <v>0.33389999999999997</v>
      </c>
      <c r="AA95" s="2">
        <v>0.35089999999999999</v>
      </c>
      <c r="AB95" s="2">
        <v>10.516999999999999</v>
      </c>
    </row>
    <row r="96" spans="2:28" x14ac:dyDescent="0.4">
      <c r="B96" s="11">
        <v>79</v>
      </c>
      <c r="C96" s="16">
        <f t="shared" si="5"/>
        <v>8.8308902971270307</v>
      </c>
      <c r="D96" s="17">
        <f t="shared" si="7"/>
        <v>9.8121003301411456</v>
      </c>
      <c r="E96" s="17">
        <f t="shared" si="6"/>
        <v>10.79331036315526</v>
      </c>
      <c r="F96" s="2">
        <v>10.155200000000001</v>
      </c>
      <c r="G96" s="2" t="str">
        <f t="shared" si="4"/>
        <v>Pass</v>
      </c>
      <c r="Y96" s="2">
        <v>81</v>
      </c>
      <c r="Z96" s="2">
        <v>0.33310000000000001</v>
      </c>
      <c r="AA96" s="2">
        <v>0.35089999999999999</v>
      </c>
      <c r="AB96" s="2">
        <v>10.936400000000001</v>
      </c>
    </row>
    <row r="97" spans="2:28" x14ac:dyDescent="0.4">
      <c r="B97" s="11">
        <v>80</v>
      </c>
      <c r="C97" s="16">
        <f t="shared" si="5"/>
        <v>9.1235785318286577</v>
      </c>
      <c r="D97" s="17">
        <f t="shared" si="7"/>
        <v>10.13730947980962</v>
      </c>
      <c r="E97" s="17">
        <f t="shared" si="6"/>
        <v>11.151040427790582</v>
      </c>
      <c r="F97" s="2">
        <v>10.516999999999999</v>
      </c>
      <c r="G97" s="2" t="str">
        <f t="shared" si="4"/>
        <v>Pass</v>
      </c>
      <c r="Y97" s="2">
        <v>82</v>
      </c>
      <c r="Z97" s="2">
        <v>0.33389999999999997</v>
      </c>
      <c r="AA97" s="2">
        <v>0.35289999999999999</v>
      </c>
      <c r="AB97" s="2">
        <v>11.257099999999999</v>
      </c>
    </row>
    <row r="98" spans="2:28" x14ac:dyDescent="0.4">
      <c r="B98" s="11">
        <v>81</v>
      </c>
      <c r="C98" s="16">
        <f t="shared" si="5"/>
        <v>9.4221616077095458</v>
      </c>
      <c r="D98" s="17">
        <f t="shared" si="7"/>
        <v>10.469068453010607</v>
      </c>
      <c r="E98" s="17">
        <f t="shared" si="6"/>
        <v>11.515975298311668</v>
      </c>
      <c r="F98" s="2">
        <v>10.936400000000001</v>
      </c>
      <c r="G98" s="2" t="str">
        <f t="shared" si="4"/>
        <v>Pass</v>
      </c>
      <c r="Y98" s="2">
        <v>83</v>
      </c>
      <c r="Z98" s="2">
        <v>0.33379999999999999</v>
      </c>
      <c r="AA98" s="2">
        <v>0.35270000000000001</v>
      </c>
      <c r="AB98" s="2">
        <v>11.630100000000001</v>
      </c>
    </row>
    <row r="99" spans="2:28" x14ac:dyDescent="0.4">
      <c r="B99" s="11">
        <v>82</v>
      </c>
      <c r="C99" s="16">
        <f t="shared" si="5"/>
        <v>9.7266834948948802</v>
      </c>
      <c r="D99" s="17">
        <f t="shared" si="7"/>
        <v>10.807426105438756</v>
      </c>
      <c r="E99" s="17">
        <f t="shared" si="6"/>
        <v>11.888168715982632</v>
      </c>
      <c r="F99" s="2">
        <v>11.257099999999999</v>
      </c>
      <c r="G99" s="2" t="str">
        <f t="shared" si="4"/>
        <v>Pass</v>
      </c>
      <c r="Y99" s="2">
        <v>84</v>
      </c>
      <c r="Z99" s="2">
        <v>0.33289999999999997</v>
      </c>
      <c r="AA99" s="2">
        <v>0.3513</v>
      </c>
      <c r="AB99" s="2">
        <v>11.9536</v>
      </c>
    </row>
    <row r="100" spans="2:28" x14ac:dyDescent="0.4">
      <c r="B100" s="11">
        <v>83</v>
      </c>
      <c r="C100" s="16">
        <f t="shared" si="5"/>
        <v>10.037187947533649</v>
      </c>
      <c r="D100" s="17">
        <f t="shared" si="7"/>
        <v>11.152431052815166</v>
      </c>
      <c r="E100" s="17">
        <f t="shared" si="6"/>
        <v>12.267674158096682</v>
      </c>
      <c r="F100" s="2">
        <v>11.630100000000001</v>
      </c>
      <c r="G100" s="2" t="str">
        <f t="shared" si="4"/>
        <v>Pass</v>
      </c>
      <c r="Y100" s="2">
        <v>85</v>
      </c>
      <c r="Z100" s="2">
        <v>0.33189999999999997</v>
      </c>
      <c r="AA100" s="2">
        <v>0.35110000000000002</v>
      </c>
      <c r="AB100" s="2">
        <v>12.3896</v>
      </c>
    </row>
    <row r="101" spans="2:28" x14ac:dyDescent="0.4">
      <c r="B101" s="11">
        <v>84</v>
      </c>
      <c r="C101" s="16">
        <f t="shared" si="5"/>
        <v>10.353718507466716</v>
      </c>
      <c r="D101" s="17">
        <f t="shared" si="7"/>
        <v>11.504131674963018</v>
      </c>
      <c r="E101" s="17">
        <f t="shared" si="6"/>
        <v>12.65454484245932</v>
      </c>
      <c r="F101" s="2">
        <v>11.9536</v>
      </c>
      <c r="G101" s="2" t="str">
        <f t="shared" si="4"/>
        <v>Pass</v>
      </c>
      <c r="Y101" s="2">
        <v>86</v>
      </c>
      <c r="Z101" s="2">
        <v>0.33310000000000001</v>
      </c>
      <c r="AA101" s="2">
        <v>0.34770000000000001</v>
      </c>
      <c r="AB101" s="2">
        <v>12.4962</v>
      </c>
    </row>
    <row r="102" spans="2:28" x14ac:dyDescent="0.4">
      <c r="B102" s="11">
        <v>85</v>
      </c>
      <c r="C102" s="16">
        <f t="shared" si="5"/>
        <v>10.676318507789434</v>
      </c>
      <c r="D102" s="17">
        <f t="shared" si="7"/>
        <v>11.862576119766038</v>
      </c>
      <c r="E102" s="17">
        <f t="shared" si="6"/>
        <v>13.048833731742642</v>
      </c>
      <c r="F102" s="2">
        <v>12.3896</v>
      </c>
      <c r="G102" s="2" t="str">
        <f t="shared" si="4"/>
        <v>Pass</v>
      </c>
      <c r="Y102" s="2">
        <v>87</v>
      </c>
      <c r="Z102" s="2">
        <v>0.33310000000000001</v>
      </c>
      <c r="AA102" s="2">
        <v>0.3478</v>
      </c>
      <c r="AB102" s="2">
        <v>12.9754</v>
      </c>
    </row>
    <row r="103" spans="2:28" x14ac:dyDescent="0.4">
      <c r="B103" s="11">
        <v>86</v>
      </c>
      <c r="C103" s="16">
        <f t="shared" si="5"/>
        <v>11.005031076312926</v>
      </c>
      <c r="D103" s="17">
        <f t="shared" si="7"/>
        <v>12.227812307014363</v>
      </c>
      <c r="E103" s="17">
        <f t="shared" si="6"/>
        <v>13.450593537715799</v>
      </c>
      <c r="F103" s="2">
        <v>12.4962</v>
      </c>
      <c r="G103" s="2" t="str">
        <f t="shared" si="4"/>
        <v>Pass</v>
      </c>
      <c r="Y103" s="2">
        <v>88</v>
      </c>
      <c r="Z103" s="2">
        <v>0.33489999999999998</v>
      </c>
      <c r="AA103" s="2">
        <v>0.35239999999999999</v>
      </c>
      <c r="AB103" s="2">
        <v>13.361700000000001</v>
      </c>
    </row>
    <row r="104" spans="2:28" x14ac:dyDescent="0.4">
      <c r="B104" s="11">
        <v>87</v>
      </c>
      <c r="C104" s="16">
        <f t="shared" si="5"/>
        <v>11.339899138928143</v>
      </c>
      <c r="D104" s="17">
        <f t="shared" si="7"/>
        <v>12.59988793214238</v>
      </c>
      <c r="E104" s="17">
        <f t="shared" si="6"/>
        <v>13.859876725356617</v>
      </c>
      <c r="F104" s="2">
        <v>12.9754</v>
      </c>
      <c r="G104" s="2" t="str">
        <f t="shared" si="4"/>
        <v>Pass</v>
      </c>
      <c r="Y104" s="2">
        <v>89</v>
      </c>
      <c r="Z104" s="2">
        <v>0.33179999999999998</v>
      </c>
      <c r="AA104" s="2">
        <v>0.35099999999999998</v>
      </c>
      <c r="AB104" s="2">
        <v>13.6225</v>
      </c>
    </row>
    <row r="105" spans="2:28" x14ac:dyDescent="0.4">
      <c r="B105" s="11">
        <v>88</v>
      </c>
      <c r="C105" s="16">
        <f t="shared" si="5"/>
        <v>11.680965422876515</v>
      </c>
      <c r="D105" s="17">
        <f t="shared" si="7"/>
        <v>12.978850469862795</v>
      </c>
      <c r="E105" s="17">
        <f t="shared" si="6"/>
        <v>14.276735516849076</v>
      </c>
      <c r="F105" s="2">
        <v>13.361700000000001</v>
      </c>
      <c r="G105" s="2" t="str">
        <f t="shared" si="4"/>
        <v>Pass</v>
      </c>
      <c r="Y105" s="2">
        <v>90</v>
      </c>
      <c r="Z105" s="2">
        <v>0.33210000000000001</v>
      </c>
      <c r="AA105" s="2">
        <v>0.35020000000000001</v>
      </c>
      <c r="AB105" s="2">
        <v>14.0886</v>
      </c>
    </row>
    <row r="106" spans="2:28" x14ac:dyDescent="0.4">
      <c r="B106" s="11">
        <v>89</v>
      </c>
      <c r="C106" s="16">
        <f t="shared" si="5"/>
        <v>12.028272459930825</v>
      </c>
      <c r="D106" s="17">
        <f t="shared" si="7"/>
        <v>13.364747177700917</v>
      </c>
      <c r="E106" s="17">
        <f t="shared" si="6"/>
        <v>14.701221895471008</v>
      </c>
      <c r="F106" s="2">
        <v>13.6225</v>
      </c>
      <c r="G106" s="2" t="str">
        <f t="shared" si="4"/>
        <v>Pass</v>
      </c>
      <c r="Y106" s="2">
        <v>91</v>
      </c>
      <c r="Z106" s="2">
        <v>0.33119999999999999</v>
      </c>
      <c r="AA106" s="2">
        <v>0.34899999999999998</v>
      </c>
      <c r="AB106" s="2">
        <v>14.5466</v>
      </c>
    </row>
    <row r="107" spans="2:28" x14ac:dyDescent="0.4">
      <c r="B107" s="11">
        <v>90</v>
      </c>
      <c r="C107" s="16">
        <f t="shared" si="5"/>
        <v>12.381862589489753</v>
      </c>
      <c r="D107" s="17">
        <f t="shared" si="7"/>
        <v>13.757625099433058</v>
      </c>
      <c r="E107" s="17">
        <f t="shared" si="6"/>
        <v>15.133387609376364</v>
      </c>
      <c r="F107" s="2">
        <v>14.0886</v>
      </c>
      <c r="G107" s="2" t="str">
        <f t="shared" si="4"/>
        <v>Pass</v>
      </c>
      <c r="Y107" s="2">
        <v>92</v>
      </c>
      <c r="Z107" s="2">
        <v>0.33110000000000001</v>
      </c>
      <c r="AA107" s="2">
        <v>0.34849999999999998</v>
      </c>
      <c r="AB107" s="2">
        <v>15.0245</v>
      </c>
    </row>
    <row r="108" spans="2:28" x14ac:dyDescent="0.4">
      <c r="B108" s="11">
        <v>91</v>
      </c>
      <c r="C108" s="16">
        <f t="shared" si="5"/>
        <v>12.741777961589312</v>
      </c>
      <c r="D108" s="17">
        <f t="shared" si="7"/>
        <v>14.157531068432569</v>
      </c>
      <c r="E108" s="17">
        <f t="shared" si="6"/>
        <v>15.573284175275825</v>
      </c>
      <c r="F108" s="2">
        <v>14.5466</v>
      </c>
      <c r="G108" s="2" t="str">
        <f t="shared" si="4"/>
        <v>Pass</v>
      </c>
      <c r="Y108" s="2">
        <v>93</v>
      </c>
      <c r="Z108" s="2">
        <v>0.33229999999999998</v>
      </c>
      <c r="AA108" s="2">
        <v>0.35299999999999998</v>
      </c>
      <c r="AB108" s="2">
        <v>15.5128</v>
      </c>
    </row>
    <row r="109" spans="2:28" x14ac:dyDescent="0.4">
      <c r="B109" s="11">
        <v>92</v>
      </c>
      <c r="C109" s="16">
        <f t="shared" si="5"/>
        <v>13.108060539834463</v>
      </c>
      <c r="D109" s="17">
        <f t="shared" si="7"/>
        <v>14.564511710927182</v>
      </c>
      <c r="E109" s="17">
        <f t="shared" si="6"/>
        <v>16.020962882019901</v>
      </c>
      <c r="F109" s="2">
        <v>15.0245</v>
      </c>
      <c r="G109" s="2" t="str">
        <f t="shared" si="4"/>
        <v>Pass</v>
      </c>
      <c r="Y109" s="2">
        <v>94</v>
      </c>
      <c r="Z109" s="2">
        <v>0.33210000000000001</v>
      </c>
      <c r="AA109" s="2">
        <v>0.35260000000000002</v>
      </c>
      <c r="AB109" s="2">
        <v>15.889200000000001</v>
      </c>
    </row>
    <row r="110" spans="2:28" x14ac:dyDescent="0.4">
      <c r="B110" s="11">
        <v>93</v>
      </c>
      <c r="C110" s="16">
        <f t="shared" si="5"/>
        <v>13.480752104253691</v>
      </c>
      <c r="D110" s="17">
        <f t="shared" si="7"/>
        <v>14.978613449170767</v>
      </c>
      <c r="E110" s="17">
        <f t="shared" si="6"/>
        <v>16.476474794087846</v>
      </c>
      <c r="F110" s="2">
        <v>15.5128</v>
      </c>
      <c r="G110" s="2" t="str">
        <f t="shared" si="4"/>
        <v>Pass</v>
      </c>
      <c r="Y110" s="2">
        <v>95</v>
      </c>
      <c r="Z110" s="2">
        <v>0.3332</v>
      </c>
      <c r="AA110" s="2">
        <v>0.3493</v>
      </c>
      <c r="AB110" s="2">
        <v>16.043900000000001</v>
      </c>
    </row>
    <row r="111" spans="2:28" x14ac:dyDescent="0.4">
      <c r="B111" s="11">
        <v>94</v>
      </c>
      <c r="C111" s="16">
        <f t="shared" si="5"/>
        <v>13.859894254079517</v>
      </c>
      <c r="D111" s="17">
        <f t="shared" si="7"/>
        <v>15.399882504532796</v>
      </c>
      <c r="E111" s="17">
        <f t="shared" si="6"/>
        <v>16.939870754986075</v>
      </c>
      <c r="F111" s="2">
        <v>15.889200000000001</v>
      </c>
      <c r="G111" s="2" t="str">
        <f t="shared" si="4"/>
        <v>Pass</v>
      </c>
      <c r="Y111" s="2">
        <v>96</v>
      </c>
      <c r="Z111" s="2">
        <v>0.33300000000000002</v>
      </c>
      <c r="AA111" s="2">
        <v>0.34899999999999998</v>
      </c>
      <c r="AB111" s="2">
        <v>16.564</v>
      </c>
    </row>
    <row r="112" spans="2:28" x14ac:dyDescent="0.4">
      <c r="B112" s="11">
        <v>95</v>
      </c>
      <c r="C112" s="16">
        <f t="shared" si="5"/>
        <v>14.245528410457531</v>
      </c>
      <c r="D112" s="17">
        <f t="shared" si="7"/>
        <v>15.828364900508369</v>
      </c>
      <c r="E112" s="17">
        <f t="shared" si="6"/>
        <v>17.411201390559206</v>
      </c>
      <c r="F112" s="2">
        <v>16.043900000000001</v>
      </c>
      <c r="G112" s="2" t="str">
        <f t="shared" si="4"/>
        <v>Pass</v>
      </c>
      <c r="Y112" s="2">
        <v>97</v>
      </c>
      <c r="Z112" s="2">
        <v>0.33250000000000002</v>
      </c>
      <c r="AA112" s="2">
        <v>0.34860000000000002</v>
      </c>
      <c r="AB112" s="2">
        <v>17.0349</v>
      </c>
    </row>
    <row r="113" spans="2:28" x14ac:dyDescent="0.4">
      <c r="B113" s="11">
        <v>96</v>
      </c>
      <c r="C113" s="16">
        <f t="shared" si="5"/>
        <v>14.637695819086604</v>
      </c>
      <c r="D113" s="17">
        <f t="shared" si="7"/>
        <v>16.264106465651782</v>
      </c>
      <c r="E113" s="17">
        <f t="shared" si="6"/>
        <v>17.890517112216962</v>
      </c>
      <c r="F113" s="2">
        <v>16.564</v>
      </c>
      <c r="G113" s="2" t="str">
        <f t="shared" si="4"/>
        <v>Pass</v>
      </c>
      <c r="Y113" s="2">
        <v>98</v>
      </c>
      <c r="Z113" s="2">
        <v>0.33389999999999997</v>
      </c>
      <c r="AA113" s="2">
        <v>0.35020000000000001</v>
      </c>
      <c r="AB113" s="2">
        <v>17.417200000000001</v>
      </c>
    </row>
    <row r="114" spans="2:28" x14ac:dyDescent="0.4">
      <c r="B114" s="11">
        <v>97</v>
      </c>
      <c r="C114" s="16">
        <f t="shared" si="5"/>
        <v>15.036437552792705</v>
      </c>
      <c r="D114" s="17">
        <f t="shared" si="7"/>
        <v>16.70715283643634</v>
      </c>
      <c r="E114" s="17">
        <f t="shared" si="6"/>
        <v>18.377868120079974</v>
      </c>
      <c r="F114" s="2">
        <v>17.0349</v>
      </c>
      <c r="G114" s="2" t="str">
        <f t="shared" si="4"/>
        <v>Pass</v>
      </c>
      <c r="Y114" s="2">
        <v>99</v>
      </c>
      <c r="Z114" s="2">
        <v>0.3332</v>
      </c>
      <c r="AA114" s="2">
        <v>0.35020000000000001</v>
      </c>
      <c r="AB114" s="2">
        <v>18.052499999999998</v>
      </c>
    </row>
    <row r="115" spans="2:28" x14ac:dyDescent="0.4">
      <c r="B115" s="11">
        <v>98</v>
      </c>
      <c r="C115" s="16">
        <f t="shared" si="5"/>
        <v>15.441794514038651</v>
      </c>
      <c r="D115" s="17">
        <f t="shared" si="7"/>
        <v>17.157549460042947</v>
      </c>
      <c r="E115" s="17">
        <f t="shared" si="6"/>
        <v>18.873304406047243</v>
      </c>
      <c r="F115" s="2">
        <v>17.417200000000001</v>
      </c>
      <c r="G115" s="2" t="str">
        <f t="shared" si="4"/>
        <v>Pass</v>
      </c>
      <c r="Y115" s="2">
        <v>100</v>
      </c>
      <c r="Z115" s="2">
        <v>0.33300000000000002</v>
      </c>
      <c r="AA115" s="2">
        <v>0.34989999999999999</v>
      </c>
      <c r="AB115" s="2">
        <v>18.517600000000002</v>
      </c>
    </row>
    <row r="116" spans="2:28" x14ac:dyDescent="0.4">
      <c r="B116" s="11">
        <v>99</v>
      </c>
      <c r="C116" s="16">
        <f t="shared" si="5"/>
        <v>15.853807437372044</v>
      </c>
      <c r="D116" s="17">
        <f t="shared" si="7"/>
        <v>17.61534159708005</v>
      </c>
      <c r="E116" s="17">
        <f t="shared" si="6"/>
        <v>19.376875756788056</v>
      </c>
      <c r="F116" s="2">
        <v>18.052499999999998</v>
      </c>
      <c r="G116" s="2" t="str">
        <f t="shared" si="4"/>
        <v>Pass</v>
      </c>
      <c r="Y116" s="2">
        <v>101</v>
      </c>
      <c r="Z116" s="2">
        <v>0.33189999999999997</v>
      </c>
      <c r="AA116" s="2">
        <v>0.34870000000000001</v>
      </c>
      <c r="AB116" s="2">
        <v>19.049900000000001</v>
      </c>
    </row>
    <row r="117" spans="2:28" x14ac:dyDescent="0.4">
      <c r="B117" s="11">
        <v>100</v>
      </c>
      <c r="C117" s="16">
        <f t="shared" si="5"/>
        <v>16.272516891813449</v>
      </c>
      <c r="D117" s="17">
        <f t="shared" si="7"/>
        <v>18.080574324237165</v>
      </c>
      <c r="E117" s="17">
        <f t="shared" si="6"/>
        <v>19.888631756660882</v>
      </c>
      <c r="F117" s="2">
        <v>18.517600000000002</v>
      </c>
      <c r="G117" s="2" t="str">
        <f t="shared" si="4"/>
        <v>Pass</v>
      </c>
      <c r="Y117" s="2">
        <v>102</v>
      </c>
      <c r="Z117" s="2">
        <v>0.3306</v>
      </c>
      <c r="AA117" s="2">
        <v>0.3473</v>
      </c>
      <c r="AB117" s="2">
        <v>19.534300000000002</v>
      </c>
    </row>
    <row r="118" spans="2:28" x14ac:dyDescent="0.4">
      <c r="B118" s="11">
        <v>101</v>
      </c>
      <c r="C118" s="16">
        <f t="shared" si="5"/>
        <v>16.697963283187079</v>
      </c>
      <c r="D118" s="17">
        <f t="shared" si="7"/>
        <v>18.553292536874533</v>
      </c>
      <c r="E118" s="17">
        <f t="shared" si="6"/>
        <v>20.408621790561988</v>
      </c>
      <c r="F118" s="2">
        <v>19.049900000000001</v>
      </c>
      <c r="G118" s="2" t="str">
        <f t="shared" si="4"/>
        <v>Pass</v>
      </c>
      <c r="Y118" s="2">
        <v>103</v>
      </c>
      <c r="Z118" s="2">
        <v>0.3322</v>
      </c>
      <c r="AA118" s="2">
        <v>0.3508</v>
      </c>
      <c r="AB118" s="2">
        <v>19.933800000000002</v>
      </c>
    </row>
    <row r="119" spans="2:28" x14ac:dyDescent="0.4">
      <c r="B119" s="11">
        <v>102</v>
      </c>
      <c r="C119" s="16">
        <f t="shared" si="5"/>
        <v>17.130186856395611</v>
      </c>
      <c r="D119" s="17">
        <f t="shared" si="7"/>
        <v>19.033540951550677</v>
      </c>
      <c r="E119" s="17">
        <f t="shared" si="6"/>
        <v>20.936895046705743</v>
      </c>
      <c r="F119" s="2">
        <v>19.534300000000002</v>
      </c>
      <c r="G119" s="2" t="str">
        <f t="shared" si="4"/>
        <v>Pass</v>
      </c>
      <c r="Y119" s="2">
        <v>104</v>
      </c>
      <c r="Z119" s="2">
        <v>0.33289999999999997</v>
      </c>
      <c r="AA119" s="2">
        <v>0.34810000000000002</v>
      </c>
      <c r="AB119" s="2">
        <v>20.155799999999999</v>
      </c>
    </row>
    <row r="120" spans="2:28" x14ac:dyDescent="0.4">
      <c r="B120" s="11">
        <v>103</v>
      </c>
      <c r="C120" s="16">
        <f t="shared" si="5"/>
        <v>17.56922769764131</v>
      </c>
      <c r="D120" s="17">
        <f t="shared" si="7"/>
        <v>19.521364108490346</v>
      </c>
      <c r="E120" s="17">
        <f t="shared" si="6"/>
        <v>21.473500519339382</v>
      </c>
      <c r="F120" s="2">
        <v>19.933800000000002</v>
      </c>
      <c r="G120" s="2" t="str">
        <f t="shared" si="4"/>
        <v>Pass</v>
      </c>
      <c r="Y120" s="2">
        <v>105</v>
      </c>
      <c r="Z120" s="2">
        <v>0.33279999999999998</v>
      </c>
      <c r="AA120" s="2">
        <v>0.3478</v>
      </c>
      <c r="AB120" s="2">
        <v>20.732299999999999</v>
      </c>
    </row>
    <row r="121" spans="2:28" x14ac:dyDescent="0.4">
      <c r="B121" s="11">
        <v>104</v>
      </c>
      <c r="C121" s="16">
        <f t="shared" si="5"/>
        <v>18.015125736595035</v>
      </c>
      <c r="D121" s="17">
        <f t="shared" si="7"/>
        <v>20.016806373994484</v>
      </c>
      <c r="E121" s="17">
        <f t="shared" si="6"/>
        <v>22.018487011393933</v>
      </c>
      <c r="F121" s="2">
        <v>20.155799999999999</v>
      </c>
      <c r="G121" s="2" t="str">
        <f t="shared" si="4"/>
        <v>Pass</v>
      </c>
      <c r="Y121" s="2">
        <v>106</v>
      </c>
      <c r="Z121" s="2">
        <v>0.33289999999999997</v>
      </c>
      <c r="AA121" s="2">
        <v>0.34749999999999998</v>
      </c>
      <c r="AB121" s="2">
        <v>21.2912</v>
      </c>
    </row>
    <row r="122" spans="2:28" x14ac:dyDescent="0.4">
      <c r="B122" s="11">
        <v>105</v>
      </c>
      <c r="C122" s="16">
        <f t="shared" si="5"/>
        <v>18.467920748514928</v>
      </c>
      <c r="D122" s="17">
        <f t="shared" si="7"/>
        <v>20.519911942794362</v>
      </c>
      <c r="E122" s="17">
        <f t="shared" si="6"/>
        <v>22.571903137073797</v>
      </c>
      <c r="F122" s="2">
        <v>20.732299999999999</v>
      </c>
      <c r="G122" s="2" t="str">
        <f t="shared" si="4"/>
        <v>Pass</v>
      </c>
      <c r="Y122" s="2">
        <v>107</v>
      </c>
      <c r="Z122" s="2">
        <v>0.33339999999999997</v>
      </c>
      <c r="AA122" s="2">
        <v>0.3473</v>
      </c>
      <c r="AB122" s="2">
        <v>21.896799999999999</v>
      </c>
    </row>
    <row r="123" spans="2:28" x14ac:dyDescent="0.4">
      <c r="B123" s="11">
        <v>106</v>
      </c>
      <c r="C123" s="16">
        <f t="shared" si="5"/>
        <v>18.927652356316443</v>
      </c>
      <c r="D123" s="17">
        <f t="shared" si="7"/>
        <v>21.030724840351603</v>
      </c>
      <c r="E123" s="17">
        <f t="shared" si="6"/>
        <v>23.133797324386762</v>
      </c>
      <c r="F123" s="2">
        <v>21.2912</v>
      </c>
      <c r="G123" s="2" t="str">
        <f t="shared" si="4"/>
        <v>Pass</v>
      </c>
      <c r="Y123" s="2">
        <v>108</v>
      </c>
      <c r="Z123" s="2">
        <v>0.33300000000000002</v>
      </c>
      <c r="AA123" s="2">
        <v>0.34739999999999999</v>
      </c>
      <c r="AB123" s="2">
        <v>22.471800000000002</v>
      </c>
    </row>
    <row r="124" spans="2:28" x14ac:dyDescent="0.4">
      <c r="B124" s="11">
        <v>107</v>
      </c>
      <c r="C124" s="16">
        <f t="shared" si="5"/>
        <v>19.394360032595209</v>
      </c>
      <c r="D124" s="17">
        <f t="shared" si="7"/>
        <v>21.549288925105788</v>
      </c>
      <c r="E124" s="17">
        <f t="shared" si="6"/>
        <v>23.704217817616367</v>
      </c>
      <c r="F124" s="2">
        <v>21.896799999999999</v>
      </c>
      <c r="G124" s="2" t="str">
        <f t="shared" si="4"/>
        <v>Pass</v>
      </c>
      <c r="Y124" s="2">
        <v>109</v>
      </c>
      <c r="Z124" s="2">
        <v>0.33429999999999999</v>
      </c>
      <c r="AA124" s="2">
        <v>0.3508</v>
      </c>
      <c r="AB124" s="2">
        <v>22.924600000000002</v>
      </c>
    </row>
    <row r="125" spans="2:28" x14ac:dyDescent="0.4">
      <c r="B125" s="11">
        <v>108</v>
      </c>
      <c r="C125" s="16">
        <f t="shared" si="5"/>
        <v>19.868083101604338</v>
      </c>
      <c r="D125" s="17">
        <f t="shared" si="7"/>
        <v>22.075647890671487</v>
      </c>
      <c r="E125" s="17">
        <f t="shared" si="6"/>
        <v>24.283212679738636</v>
      </c>
      <c r="F125" s="2">
        <v>22.471800000000002</v>
      </c>
      <c r="G125" s="2" t="str">
        <f t="shared" si="4"/>
        <v>Pass</v>
      </c>
      <c r="Y125" s="2">
        <v>110</v>
      </c>
      <c r="Z125" s="2">
        <v>0.3342</v>
      </c>
      <c r="AA125" s="2">
        <v>0.3508</v>
      </c>
      <c r="AB125" s="2">
        <v>23.6816</v>
      </c>
    </row>
    <row r="126" spans="2:28" x14ac:dyDescent="0.4">
      <c r="B126" s="11">
        <v>109</v>
      </c>
      <c r="C126" s="16">
        <f t="shared" si="5"/>
        <v>20.348860741187465</v>
      </c>
      <c r="D126" s="17">
        <f t="shared" si="7"/>
        <v>22.609845267986071</v>
      </c>
      <c r="E126" s="17">
        <f t="shared" si="6"/>
        <v>24.870829794784676</v>
      </c>
      <c r="F126" s="2">
        <v>22.924600000000002</v>
      </c>
      <c r="G126" s="2" t="str">
        <f t="shared" si="4"/>
        <v>Pass</v>
      </c>
      <c r="Y126" s="2">
        <v>111</v>
      </c>
      <c r="Z126" s="2">
        <v>0.3337</v>
      </c>
      <c r="AA126" s="2">
        <v>0.35049999999999998</v>
      </c>
      <c r="AB126" s="2">
        <v>24.191800000000001</v>
      </c>
    </row>
    <row r="127" spans="2:28" x14ac:dyDescent="0.4">
      <c r="B127" s="11">
        <v>110</v>
      </c>
      <c r="C127" s="16">
        <f t="shared" si="5"/>
        <v>20.836731984669111</v>
      </c>
      <c r="D127" s="17">
        <f t="shared" si="7"/>
        <v>23.151924427410123</v>
      </c>
      <c r="E127" s="17">
        <f t="shared" si="6"/>
        <v>25.467116870151134</v>
      </c>
      <c r="F127" s="2">
        <v>23.6816</v>
      </c>
      <c r="G127" s="2" t="str">
        <f t="shared" si="4"/>
        <v>Pass</v>
      </c>
      <c r="Y127" s="2">
        <v>112</v>
      </c>
      <c r="Z127" s="2">
        <v>0.3332</v>
      </c>
      <c r="AA127" s="2">
        <v>0.35049999999999998</v>
      </c>
      <c r="AB127" s="2">
        <v>24.641200000000001</v>
      </c>
    </row>
    <row r="128" spans="2:28" x14ac:dyDescent="0.4">
      <c r="B128" s="11">
        <v>111</v>
      </c>
      <c r="C128" s="16">
        <f t="shared" si="5"/>
        <v>21.33173572270352</v>
      </c>
      <c r="D128" s="17">
        <f t="shared" si="7"/>
        <v>23.70192858078169</v>
      </c>
      <c r="E128" s="17">
        <f t="shared" si="6"/>
        <v>26.07212143885986</v>
      </c>
      <c r="F128" s="2">
        <v>24.191800000000001</v>
      </c>
      <c r="G128" s="2" t="str">
        <f t="shared" si="4"/>
        <v>Pass</v>
      </c>
      <c r="Y128" s="2">
        <v>113</v>
      </c>
      <c r="Z128" s="2">
        <v>0.33310000000000001</v>
      </c>
      <c r="AA128" s="2">
        <v>0.35</v>
      </c>
      <c r="AB128" s="2">
        <v>25.2529</v>
      </c>
    </row>
    <row r="129" spans="2:28" x14ac:dyDescent="0.4">
      <c r="B129" s="11">
        <v>112</v>
      </c>
      <c r="C129" s="16">
        <f t="shared" si="5"/>
        <v>21.833910705083301</v>
      </c>
      <c r="D129" s="17">
        <f t="shared" si="7"/>
        <v>24.259900783425891</v>
      </c>
      <c r="E129" s="17">
        <f t="shared" si="6"/>
        <v>26.685890861768481</v>
      </c>
      <c r="F129" s="2">
        <v>24.641200000000001</v>
      </c>
      <c r="G129" s="2" t="str">
        <f t="shared" si="4"/>
        <v>Pass</v>
      </c>
      <c r="Y129" s="2">
        <v>114</v>
      </c>
      <c r="Z129" s="2">
        <v>0.33350000000000002</v>
      </c>
      <c r="AA129" s="2">
        <v>0.35139999999999999</v>
      </c>
      <c r="AB129" s="2">
        <v>25.904599999999999</v>
      </c>
    </row>
    <row r="130" spans="2:28" x14ac:dyDescent="0.4">
      <c r="B130" s="11">
        <v>113</v>
      </c>
      <c r="C130" s="16">
        <f t="shared" si="5"/>
        <v>22.343295542509203</v>
      </c>
      <c r="D130" s="17">
        <f t="shared" si="7"/>
        <v>24.825883936121336</v>
      </c>
      <c r="E130" s="17">
        <f t="shared" si="6"/>
        <v>27.308472329733469</v>
      </c>
      <c r="F130" s="2">
        <v>25.2529</v>
      </c>
      <c r="G130" s="2" t="str">
        <f t="shared" si="4"/>
        <v>Pass</v>
      </c>
      <c r="Y130" s="2">
        <v>115</v>
      </c>
      <c r="Z130" s="2">
        <v>0.33350000000000002</v>
      </c>
      <c r="AA130" s="2">
        <v>0.35139999999999999</v>
      </c>
      <c r="AB130" s="2">
        <v>26.653500000000001</v>
      </c>
    </row>
    <row r="131" spans="2:28" x14ac:dyDescent="0.4">
      <c r="B131" s="11">
        <v>114</v>
      </c>
      <c r="C131" s="16">
        <f t="shared" si="5"/>
        <v>22.859928708322009</v>
      </c>
      <c r="D131" s="17">
        <f t="shared" si="7"/>
        <v>25.399920787024456</v>
      </c>
      <c r="E131" s="17">
        <f t="shared" si="6"/>
        <v>27.939912865726903</v>
      </c>
      <c r="F131" s="2">
        <v>25.904599999999999</v>
      </c>
      <c r="G131" s="2" t="str">
        <f t="shared" si="4"/>
        <v>Pass</v>
      </c>
      <c r="Y131" s="2">
        <v>116</v>
      </c>
      <c r="Z131" s="2">
        <v>0.33410000000000001</v>
      </c>
      <c r="AA131" s="2">
        <v>0.34860000000000002</v>
      </c>
      <c r="AB131" s="2">
        <v>26.8355</v>
      </c>
    </row>
    <row r="132" spans="2:28" x14ac:dyDescent="0.4">
      <c r="B132" s="11">
        <v>115</v>
      </c>
      <c r="C132" s="16">
        <f t="shared" si="5"/>
        <v>23.383848540197832</v>
      </c>
      <c r="D132" s="17">
        <f t="shared" si="7"/>
        <v>25.982053933553146</v>
      </c>
      <c r="E132" s="17">
        <f t="shared" si="6"/>
        <v>28.580259326908461</v>
      </c>
      <c r="F132" s="2">
        <v>26.653500000000001</v>
      </c>
      <c r="G132" s="2" t="str">
        <f t="shared" si="4"/>
        <v>Pass</v>
      </c>
      <c r="Y132" s="2">
        <v>117</v>
      </c>
      <c r="Z132" s="2">
        <v>0.33410000000000001</v>
      </c>
      <c r="AA132" s="2">
        <v>0.34839999999999999</v>
      </c>
      <c r="AB132" s="2">
        <v>27.315899999999999</v>
      </c>
    </row>
    <row r="133" spans="2:28" x14ac:dyDescent="0.4">
      <c r="B133" s="11">
        <v>116</v>
      </c>
      <c r="C133" s="16">
        <f t="shared" si="5"/>
        <v>23.915093241807867</v>
      </c>
      <c r="D133" s="17">
        <f t="shared" si="7"/>
        <v>26.572325824230962</v>
      </c>
      <c r="E133" s="17">
        <f t="shared" si="6"/>
        <v>29.229558406654057</v>
      </c>
      <c r="F133" s="2">
        <v>26.8355</v>
      </c>
      <c r="G133" s="2" t="str">
        <f t="shared" si="4"/>
        <v>Pass</v>
      </c>
      <c r="Y133" s="2">
        <v>118</v>
      </c>
      <c r="Z133" s="2">
        <v>0.33350000000000002</v>
      </c>
      <c r="AA133" s="2">
        <v>0.3483</v>
      </c>
      <c r="AB133" s="2">
        <v>27.9009</v>
      </c>
    </row>
    <row r="134" spans="2:28" x14ac:dyDescent="0.4">
      <c r="B134" s="11">
        <v>117</v>
      </c>
      <c r="C134" s="16">
        <f t="shared" si="5"/>
        <v>24.453700884443645</v>
      </c>
      <c r="D134" s="17">
        <f t="shared" si="7"/>
        <v>27.17077876049294</v>
      </c>
      <c r="E134" s="17">
        <f t="shared" si="6"/>
        <v>29.887856636542235</v>
      </c>
      <c r="F134" s="2">
        <v>27.315899999999999</v>
      </c>
      <c r="G134" s="2" t="str">
        <f t="shared" si="4"/>
        <v>Pass</v>
      </c>
      <c r="Y134" s="2">
        <v>119</v>
      </c>
      <c r="Z134" s="2">
        <v>0.33329999999999999</v>
      </c>
      <c r="AA134" s="2">
        <v>0.34789999999999999</v>
      </c>
      <c r="AB134" s="2">
        <v>28.650200000000002</v>
      </c>
    </row>
    <row r="135" spans="2:28" x14ac:dyDescent="0.4">
      <c r="B135" s="11">
        <v>118</v>
      </c>
      <c r="C135" s="16">
        <f t="shared" si="5"/>
        <v>24.999709408608716</v>
      </c>
      <c r="D135" s="17">
        <f t="shared" si="7"/>
        <v>27.777454898454128</v>
      </c>
      <c r="E135" s="17">
        <f t="shared" si="6"/>
        <v>30.555200388299539</v>
      </c>
      <c r="F135" s="2">
        <v>27.9009</v>
      </c>
      <c r="G135" s="2" t="str">
        <f t="shared" si="4"/>
        <v>Pass</v>
      </c>
      <c r="Y135" s="2">
        <v>120</v>
      </c>
      <c r="Z135" s="2">
        <v>0.33300000000000002</v>
      </c>
      <c r="AA135" s="2">
        <v>0.34789999999999999</v>
      </c>
      <c r="AB135" s="2">
        <v>29.245999999999999</v>
      </c>
    </row>
    <row r="136" spans="2:28" x14ac:dyDescent="0.4">
      <c r="B136" s="11">
        <v>119</v>
      </c>
      <c r="C136" s="16">
        <f t="shared" si="5"/>
        <v>25.553156625577881</v>
      </c>
      <c r="D136" s="17">
        <f t="shared" si="7"/>
        <v>28.39239625064209</v>
      </c>
      <c r="E136" s="17">
        <f t="shared" si="6"/>
        <v>31.231635875706299</v>
      </c>
      <c r="F136" s="2">
        <v>28.650200000000002</v>
      </c>
      <c r="G136" s="2" t="str">
        <f t="shared" si="4"/>
        <v>Pass</v>
      </c>
      <c r="Y136" s="2">
        <v>121</v>
      </c>
      <c r="Z136" s="2">
        <v>0.33429999999999999</v>
      </c>
      <c r="AA136" s="2">
        <v>0.35089999999999999</v>
      </c>
      <c r="AB136" s="2">
        <v>29.851700000000001</v>
      </c>
    </row>
    <row r="137" spans="2:28" x14ac:dyDescent="0.4">
      <c r="B137" s="11">
        <v>120</v>
      </c>
      <c r="C137" s="16">
        <f t="shared" si="5"/>
        <v>26.114080218924769</v>
      </c>
      <c r="D137" s="17">
        <f t="shared" si="7"/>
        <v>29.015644687694188</v>
      </c>
      <c r="E137" s="17">
        <f t="shared" si="6"/>
        <v>31.917209156463606</v>
      </c>
      <c r="F137" s="2">
        <v>29.245999999999999</v>
      </c>
      <c r="G137" s="2" t="str">
        <f t="shared" si="4"/>
        <v>Pass</v>
      </c>
      <c r="Y137" s="2">
        <v>122</v>
      </c>
      <c r="Z137" s="2">
        <v>0.33410000000000001</v>
      </c>
      <c r="AA137" s="2">
        <v>0.35060000000000002</v>
      </c>
      <c r="AB137" s="2">
        <v>30.5398</v>
      </c>
    </row>
    <row r="138" spans="2:28" x14ac:dyDescent="0.4">
      <c r="B138" s="11">
        <v>121</v>
      </c>
      <c r="C138" s="16">
        <f t="shared" si="5"/>
        <v>26.682517746018753</v>
      </c>
      <c r="D138" s="17">
        <f t="shared" si="7"/>
        <v>29.647241940020837</v>
      </c>
      <c r="E138" s="17">
        <f t="shared" si="6"/>
        <v>32.611966134022921</v>
      </c>
      <c r="F138" s="2">
        <v>29.851700000000001</v>
      </c>
      <c r="G138" s="2" t="str">
        <f t="shared" si="4"/>
        <v>Pass</v>
      </c>
      <c r="Y138" s="2">
        <v>123</v>
      </c>
      <c r="Z138" s="2">
        <v>0.3337</v>
      </c>
      <c r="AA138" s="2">
        <v>0.35039999999999999</v>
      </c>
      <c r="AB138" s="2">
        <v>31.168700000000001</v>
      </c>
    </row>
    <row r="139" spans="2:28" x14ac:dyDescent="0.4">
      <c r="B139" s="11">
        <v>122</v>
      </c>
      <c r="C139" s="16">
        <f t="shared" si="5"/>
        <v>27.258506639492062</v>
      </c>
      <c r="D139" s="17">
        <f t="shared" si="7"/>
        <v>30.287229599435623</v>
      </c>
      <c r="E139" s="17">
        <f t="shared" si="6"/>
        <v>33.315952559379184</v>
      </c>
      <c r="F139" s="2">
        <v>30.5398</v>
      </c>
      <c r="G139" s="2" t="str">
        <f t="shared" si="4"/>
        <v>Pass</v>
      </c>
      <c r="Y139" s="2">
        <v>124</v>
      </c>
      <c r="Z139" s="2">
        <v>0.33360000000000001</v>
      </c>
      <c r="AA139" s="2">
        <v>0.34970000000000001</v>
      </c>
      <c r="AB139" s="2">
        <v>31.9892</v>
      </c>
    </row>
    <row r="140" spans="2:28" x14ac:dyDescent="0.4">
      <c r="B140" s="11">
        <v>123</v>
      </c>
      <c r="C140" s="16">
        <f t="shared" si="5"/>
        <v>27.842084208677768</v>
      </c>
      <c r="D140" s="17">
        <f t="shared" si="7"/>
        <v>30.935649120753077</v>
      </c>
      <c r="E140" s="17">
        <f t="shared" si="6"/>
        <v>34.029214032828385</v>
      </c>
      <c r="F140" s="2">
        <v>31.168700000000001</v>
      </c>
      <c r="G140" s="2" t="str">
        <f t="shared" si="4"/>
        <v>Pass</v>
      </c>
      <c r="Y140" s="2">
        <v>125</v>
      </c>
      <c r="Z140" s="2">
        <v>0.33350000000000002</v>
      </c>
      <c r="AA140" s="2">
        <v>0.34960000000000002</v>
      </c>
      <c r="AB140" s="2">
        <v>32.614400000000003</v>
      </c>
    </row>
    <row r="141" spans="2:28" x14ac:dyDescent="0.4">
      <c r="B141" s="11">
        <v>124</v>
      </c>
      <c r="C141" s="16">
        <f t="shared" si="5"/>
        <v>28.433287641019781</v>
      </c>
      <c r="D141" s="17">
        <f t="shared" si="7"/>
        <v>31.592541823355312</v>
      </c>
      <c r="E141" s="17">
        <f t="shared" si="6"/>
        <v>34.751796005690842</v>
      </c>
      <c r="F141" s="2">
        <v>31.9892</v>
      </c>
      <c r="G141" s="2" t="str">
        <f t="shared" si="4"/>
        <v>Pass</v>
      </c>
      <c r="Y141" s="2">
        <v>126</v>
      </c>
      <c r="Z141" s="2">
        <v>0.33339999999999997</v>
      </c>
      <c r="AA141" s="2">
        <v>0.34949999999999998</v>
      </c>
      <c r="AB141" s="2">
        <v>33.438600000000001</v>
      </c>
    </row>
    <row r="142" spans="2:28" x14ac:dyDescent="0.4">
      <c r="B142" s="11">
        <v>125</v>
      </c>
      <c r="C142" s="16">
        <f t="shared" si="5"/>
        <v>29.032154003455208</v>
      </c>
      <c r="D142" s="17">
        <f t="shared" si="7"/>
        <v>32.25794889272801</v>
      </c>
      <c r="E142" s="17">
        <f t="shared" si="6"/>
        <v>35.483743782000808</v>
      </c>
      <c r="F142" s="2">
        <v>32.614400000000003</v>
      </c>
      <c r="G142" s="2" t="str">
        <f t="shared" si="4"/>
        <v>Pass</v>
      </c>
      <c r="Y142" s="2">
        <v>127</v>
      </c>
      <c r="Z142" s="2">
        <v>0.33479999999999999</v>
      </c>
      <c r="AA142" s="2">
        <v>0.35210000000000002</v>
      </c>
      <c r="AB142" s="2">
        <v>34.066200000000002</v>
      </c>
    </row>
    <row r="143" spans="2:28" x14ac:dyDescent="0.4">
      <c r="B143" s="11">
        <v>126</v>
      </c>
      <c r="C143" s="16">
        <f t="shared" si="5"/>
        <v>29.63872024377029</v>
      </c>
      <c r="D143" s="17">
        <f t="shared" si="7"/>
        <v>32.931911381966991</v>
      </c>
      <c r="E143" s="17">
        <f t="shared" si="6"/>
        <v>36.225102520163688</v>
      </c>
      <c r="F143" s="2">
        <v>33.438600000000001</v>
      </c>
      <c r="G143" s="2" t="str">
        <f t="shared" si="4"/>
        <v>Pass</v>
      </c>
      <c r="Y143" s="2">
        <v>128</v>
      </c>
      <c r="Z143" s="2">
        <v>0.33450000000000002</v>
      </c>
      <c r="AA143" s="2">
        <v>0.35189999999999999</v>
      </c>
      <c r="AB143" s="2">
        <v>34.709000000000003</v>
      </c>
    </row>
    <row r="144" spans="2:28" x14ac:dyDescent="0.4">
      <c r="B144" s="11">
        <v>127</v>
      </c>
      <c r="C144" s="16">
        <f t="shared" si="5"/>
        <v>30.253023191930168</v>
      </c>
      <c r="D144" s="17">
        <f t="shared" si="7"/>
        <v>33.614470213255743</v>
      </c>
      <c r="E144" s="17">
        <f t="shared" si="6"/>
        <v>36.975917234581317</v>
      </c>
      <c r="F144" s="2">
        <v>34.066200000000002</v>
      </c>
      <c r="G144" s="2" t="str">
        <f t="shared" si="4"/>
        <v>Pass</v>
      </c>
      <c r="Y144" s="2">
        <v>129</v>
      </c>
      <c r="Z144" s="2">
        <v>0.33510000000000001</v>
      </c>
      <c r="AA144" s="2">
        <v>0.35089999999999999</v>
      </c>
      <c r="AB144" s="2">
        <v>35.544899999999998</v>
      </c>
    </row>
    <row r="145" spans="2:28" x14ac:dyDescent="0.4">
      <c r="B145" s="11">
        <v>128</v>
      </c>
      <c r="C145" s="16">
        <f t="shared" si="5"/>
        <v>30.875099561383522</v>
      </c>
      <c r="D145" s="17">
        <f t="shared" si="7"/>
        <v>34.305666179315025</v>
      </c>
      <c r="E145" s="17">
        <f t="shared" si="6"/>
        <v>37.736232797246529</v>
      </c>
      <c r="F145" s="2">
        <v>34.709000000000003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0.33339999999999997</v>
      </c>
      <c r="AA145" s="2">
        <v>0.35060000000000002</v>
      </c>
      <c r="AB145" s="2">
        <v>36.294400000000003</v>
      </c>
    </row>
    <row r="146" spans="2:28" x14ac:dyDescent="0.4">
      <c r="B146" s="11">
        <v>129</v>
      </c>
      <c r="C146" s="16">
        <f t="shared" ref="C146:C209" si="9">D146-D146*(C$14/100)</f>
        <v>31.504985950342732</v>
      </c>
      <c r="D146" s="17">
        <f t="shared" si="7"/>
        <v>35.005539944825259</v>
      </c>
      <c r="E146" s="17">
        <f t="shared" ref="E146:E209" si="10">D146+D146*(C$14/100)</f>
        <v>38.506093939307782</v>
      </c>
      <c r="F146" s="2">
        <v>35.544899999999998</v>
      </c>
      <c r="G146" s="2" t="str">
        <f t="shared" si="8"/>
        <v>Pass</v>
      </c>
      <c r="Y146" s="2">
        <v>131</v>
      </c>
      <c r="Z146" s="2">
        <v>0.3332</v>
      </c>
      <c r="AA146" s="2">
        <v>0.3503</v>
      </c>
      <c r="AB146" s="2">
        <v>37.1783</v>
      </c>
    </row>
    <row r="147" spans="2:28" x14ac:dyDescent="0.4">
      <c r="B147" s="11">
        <v>130</v>
      </c>
      <c r="C147" s="16">
        <f t="shared" si="9"/>
        <v>32.142718843039802</v>
      </c>
      <c r="D147" s="17">
        <f t="shared" ref="D147:D210" si="11">D$272*((B147+F$17)/B$272)^C$13</f>
        <v>35.714132047821998</v>
      </c>
      <c r="E147" s="17">
        <f t="shared" si="10"/>
        <v>39.285545252604194</v>
      </c>
      <c r="F147" s="2">
        <v>36.294400000000003</v>
      </c>
      <c r="G147" s="2" t="str">
        <f t="shared" si="8"/>
        <v>Pass</v>
      </c>
      <c r="Y147" s="2">
        <v>132</v>
      </c>
      <c r="Z147" s="2">
        <v>0.33450000000000002</v>
      </c>
      <c r="AA147" s="2">
        <v>0.3498</v>
      </c>
      <c r="AB147" s="2">
        <v>37.179299999999998</v>
      </c>
    </row>
    <row r="148" spans="2:28" x14ac:dyDescent="0.4">
      <c r="B148" s="11">
        <v>131</v>
      </c>
      <c r="C148" s="16">
        <f t="shared" si="9"/>
        <v>32.788334610959389</v>
      </c>
      <c r="D148" s="17">
        <f t="shared" si="11"/>
        <v>36.431482901065991</v>
      </c>
      <c r="E148" s="17">
        <f t="shared" si="10"/>
        <v>40.074631191172593</v>
      </c>
      <c r="F148" s="2">
        <v>37.1783</v>
      </c>
      <c r="G148" s="2" t="str">
        <f t="shared" si="8"/>
        <v>Pass</v>
      </c>
      <c r="Y148" s="2">
        <v>133</v>
      </c>
      <c r="Z148" s="2">
        <v>0.33439999999999998</v>
      </c>
      <c r="AA148" s="2">
        <v>0.34939999999999999</v>
      </c>
      <c r="AB148" s="2">
        <v>38.061100000000003</v>
      </c>
    </row>
    <row r="149" spans="2:28" x14ac:dyDescent="0.4">
      <c r="B149" s="11">
        <v>132</v>
      </c>
      <c r="C149" s="16">
        <f t="shared" si="9"/>
        <v>33.441869514048904</v>
      </c>
      <c r="D149" s="17">
        <f t="shared" si="11"/>
        <v>37.15763279338767</v>
      </c>
      <c r="E149" s="17">
        <f t="shared" si="10"/>
        <v>40.873396072726436</v>
      </c>
      <c r="F149" s="2">
        <v>37.179299999999998</v>
      </c>
      <c r="G149" s="2" t="str">
        <f t="shared" si="8"/>
        <v>Pass</v>
      </c>
      <c r="Y149" s="2">
        <v>134</v>
      </c>
      <c r="Z149" s="2">
        <v>0.3342</v>
      </c>
      <c r="AA149" s="2">
        <v>0.34920000000000001</v>
      </c>
      <c r="AB149" s="2">
        <v>38.7057</v>
      </c>
    </row>
    <row r="150" spans="2:28" x14ac:dyDescent="0.4">
      <c r="B150" s="11">
        <v>133</v>
      </c>
      <c r="C150" s="16">
        <f t="shared" si="9"/>
        <v>34.103359701906506</v>
      </c>
      <c r="D150" s="17">
        <f t="shared" si="11"/>
        <v>37.892621891007231</v>
      </c>
      <c r="E150" s="17">
        <f t="shared" si="10"/>
        <v>41.681884080107956</v>
      </c>
      <c r="F150" s="2">
        <v>38.061100000000003</v>
      </c>
      <c r="G150" s="2" t="str">
        <f t="shared" si="8"/>
        <v>Pass</v>
      </c>
      <c r="Y150" s="2">
        <v>135</v>
      </c>
      <c r="Z150" s="2">
        <v>0.33389999999999997</v>
      </c>
      <c r="AA150" s="2">
        <v>0.34939999999999999</v>
      </c>
      <c r="AB150" s="2">
        <v>39.607900000000001</v>
      </c>
    </row>
    <row r="151" spans="2:28" x14ac:dyDescent="0.4">
      <c r="B151" s="11">
        <v>134</v>
      </c>
      <c r="C151" s="16">
        <f t="shared" si="9"/>
        <v>34.772841214947732</v>
      </c>
      <c r="D151" s="17">
        <f t="shared" si="11"/>
        <v>38.636490238830817</v>
      </c>
      <c r="E151" s="17">
        <f t="shared" si="10"/>
        <v>42.500139262713901</v>
      </c>
      <c r="F151" s="2">
        <v>38.7057</v>
      </c>
      <c r="G151" s="2" t="str">
        <f t="shared" si="8"/>
        <v>Pass</v>
      </c>
      <c r="Y151" s="2">
        <v>136</v>
      </c>
      <c r="Z151" s="2">
        <v>0.33379999999999999</v>
      </c>
      <c r="AA151" s="2">
        <v>0.34910000000000002</v>
      </c>
      <c r="AB151" s="2">
        <v>40.177199999999999</v>
      </c>
    </row>
    <row r="152" spans="2:28" x14ac:dyDescent="0.4">
      <c r="B152" s="11">
        <v>135</v>
      </c>
      <c r="C152" s="16">
        <f t="shared" si="9"/>
        <v>35.450349985550965</v>
      </c>
      <c r="D152" s="17">
        <f t="shared" si="11"/>
        <v>39.389277761723292</v>
      </c>
      <c r="E152" s="17">
        <f t="shared" si="10"/>
        <v>43.32820553789562</v>
      </c>
      <c r="F152" s="2">
        <v>39.607900000000001</v>
      </c>
      <c r="G152" s="2" t="str">
        <f t="shared" si="8"/>
        <v>Pass</v>
      </c>
      <c r="Y152" s="2">
        <v>137</v>
      </c>
      <c r="Z152" s="2">
        <v>0.33489999999999998</v>
      </c>
      <c r="AA152" s="2">
        <v>0.35160000000000002</v>
      </c>
      <c r="AB152" s="2">
        <v>40.973100000000002</v>
      </c>
    </row>
    <row r="153" spans="2:28" x14ac:dyDescent="0.4">
      <c r="B153" s="11">
        <v>136</v>
      </c>
      <c r="C153" s="16">
        <f t="shared" si="9"/>
        <v>36.135921839182551</v>
      </c>
      <c r="D153" s="17">
        <f t="shared" si="11"/>
        <v>40.151024265758387</v>
      </c>
      <c r="E153" s="17">
        <f t="shared" si="10"/>
        <v>44.166126692334224</v>
      </c>
      <c r="F153" s="2">
        <v>40.177199999999999</v>
      </c>
      <c r="G153" s="2" t="str">
        <f t="shared" si="8"/>
        <v>Pass</v>
      </c>
      <c r="Y153" s="2">
        <v>138</v>
      </c>
      <c r="Z153" s="2">
        <v>0.33460000000000001</v>
      </c>
      <c r="AA153" s="2">
        <v>0.3513</v>
      </c>
      <c r="AB153" s="2">
        <v>41.925600000000003</v>
      </c>
    </row>
    <row r="154" spans="2:28" x14ac:dyDescent="0.4">
      <c r="B154" s="11">
        <v>137</v>
      </c>
      <c r="C154" s="16">
        <f t="shared" si="9"/>
        <v>36.829592495501963</v>
      </c>
      <c r="D154" s="17">
        <f t="shared" si="11"/>
        <v>40.921769439446628</v>
      </c>
      <c r="E154" s="17">
        <f t="shared" si="10"/>
        <v>45.013946383391293</v>
      </c>
      <c r="F154" s="2">
        <v>40.973100000000002</v>
      </c>
      <c r="G154" s="2" t="str">
        <f t="shared" si="8"/>
        <v>Pass</v>
      </c>
      <c r="Y154" s="2">
        <v>139</v>
      </c>
      <c r="Z154" s="2">
        <v>0.33429999999999999</v>
      </c>
      <c r="AA154" s="2">
        <v>0.35099999999999998</v>
      </c>
      <c r="AB154" s="2">
        <v>42.6496</v>
      </c>
    </row>
    <row r="155" spans="2:28" x14ac:dyDescent="0.4">
      <c r="B155" s="11">
        <v>138</v>
      </c>
      <c r="C155" s="16">
        <f t="shared" si="9"/>
        <v>37.531397569447513</v>
      </c>
      <c r="D155" s="17">
        <f t="shared" si="11"/>
        <v>41.701552854941681</v>
      </c>
      <c r="E155" s="17">
        <f t="shared" si="10"/>
        <v>45.87170814043585</v>
      </c>
      <c r="F155" s="2">
        <v>41.925600000000003</v>
      </c>
      <c r="G155" s="2" t="str">
        <f t="shared" si="8"/>
        <v>Pass</v>
      </c>
      <c r="Y155" s="2">
        <v>140</v>
      </c>
      <c r="Z155" s="2">
        <v>0.33410000000000001</v>
      </c>
      <c r="AA155" s="2">
        <v>0.3508</v>
      </c>
      <c r="AB155" s="2">
        <v>43.280900000000003</v>
      </c>
    </row>
    <row r="156" spans="2:28" x14ac:dyDescent="0.4">
      <c r="B156" s="11">
        <v>139</v>
      </c>
      <c r="C156" s="16">
        <f t="shared" si="9"/>
        <v>38.241372572303113</v>
      </c>
      <c r="D156" s="17">
        <f t="shared" si="11"/>
        <v>42.490413969225685</v>
      </c>
      <c r="E156" s="17">
        <f t="shared" si="10"/>
        <v>46.739455366148256</v>
      </c>
      <c r="F156" s="2">
        <v>42.6496</v>
      </c>
      <c r="G156" s="2" t="str">
        <f t="shared" si="8"/>
        <v>Pass</v>
      </c>
      <c r="Y156" s="2">
        <v>141</v>
      </c>
      <c r="Z156" s="2">
        <v>0.33389999999999997</v>
      </c>
      <c r="AA156" s="2">
        <v>0.35039999999999999</v>
      </c>
      <c r="AB156" s="2">
        <v>44.171500000000002</v>
      </c>
    </row>
    <row r="157" spans="2:28" x14ac:dyDescent="0.4">
      <c r="B157" s="11">
        <v>140</v>
      </c>
      <c r="C157" s="16">
        <f t="shared" si="9"/>
        <v>38.95955291274651</v>
      </c>
      <c r="D157" s="17">
        <f t="shared" si="11"/>
        <v>43.288392125273901</v>
      </c>
      <c r="E157" s="17">
        <f t="shared" si="10"/>
        <v>47.617231337801293</v>
      </c>
      <c r="F157" s="2">
        <v>43.280900000000003</v>
      </c>
      <c r="G157" s="2" t="str">
        <f t="shared" si="8"/>
        <v>Pass</v>
      </c>
      <c r="Y157" s="2">
        <v>142</v>
      </c>
      <c r="Z157" s="2">
        <v>0.33350000000000002</v>
      </c>
      <c r="AA157" s="2">
        <v>0.35020000000000001</v>
      </c>
      <c r="AB157" s="2">
        <v>44.920299999999997</v>
      </c>
    </row>
    <row r="158" spans="2:28" x14ac:dyDescent="0.4">
      <c r="B158" s="11">
        <v>141</v>
      </c>
      <c r="C158" s="16">
        <f t="shared" si="9"/>
        <v>39.685973897879578</v>
      </c>
      <c r="D158" s="17">
        <f t="shared" si="11"/>
        <v>44.095526553199527</v>
      </c>
      <c r="E158" s="17">
        <f t="shared" si="10"/>
        <v>48.505079208519476</v>
      </c>
      <c r="F158" s="2">
        <v>44.171500000000002</v>
      </c>
      <c r="G158" s="2" t="str">
        <f t="shared" si="8"/>
        <v>Pass</v>
      </c>
      <c r="Y158" s="2">
        <v>143</v>
      </c>
      <c r="Z158" s="2">
        <v>0.33479999999999999</v>
      </c>
      <c r="AA158" s="2">
        <v>0.34939999999999999</v>
      </c>
      <c r="AB158" s="2">
        <v>45.124200000000002</v>
      </c>
    </row>
    <row r="159" spans="2:28" x14ac:dyDescent="0.4">
      <c r="B159" s="11">
        <v>142</v>
      </c>
      <c r="C159" s="16">
        <f t="shared" si="9"/>
        <v>40.420670734240815</v>
      </c>
      <c r="D159" s="17">
        <f t="shared" si="11"/>
        <v>44.911856371378683</v>
      </c>
      <c r="E159" s="17">
        <f t="shared" si="10"/>
        <v>49.40304200851655</v>
      </c>
      <c r="F159" s="2">
        <v>44.920299999999997</v>
      </c>
      <c r="G159" s="2" t="str">
        <f t="shared" si="8"/>
        <v>Pass</v>
      </c>
      <c r="Y159" s="2">
        <v>144</v>
      </c>
      <c r="Z159" s="2">
        <v>0.33450000000000002</v>
      </c>
      <c r="AA159" s="2">
        <v>0.34920000000000001</v>
      </c>
      <c r="AB159" s="2">
        <v>46.093600000000002</v>
      </c>
    </row>
    <row r="160" spans="2:28" x14ac:dyDescent="0.4">
      <c r="B160" s="11">
        <v>143</v>
      </c>
      <c r="C160" s="16">
        <f t="shared" si="9"/>
        <v>41.163678528800872</v>
      </c>
      <c r="D160" s="17">
        <f t="shared" si="11"/>
        <v>45.737420587556521</v>
      </c>
      <c r="E160" s="17">
        <f t="shared" si="10"/>
        <v>50.311162646312169</v>
      </c>
      <c r="F160" s="2">
        <v>45.124200000000002</v>
      </c>
      <c r="G160" s="2" t="str">
        <f t="shared" si="8"/>
        <v>Pass</v>
      </c>
      <c r="Y160" s="2">
        <v>145</v>
      </c>
      <c r="Z160" s="2">
        <v>0.33429999999999999</v>
      </c>
      <c r="AA160" s="2">
        <v>0.34899999999999998</v>
      </c>
      <c r="AB160" s="2">
        <v>46.918700000000001</v>
      </c>
    </row>
    <row r="161" spans="2:28" x14ac:dyDescent="0.4">
      <c r="B161" s="11">
        <v>144</v>
      </c>
      <c r="C161" s="16">
        <f t="shared" si="9"/>
        <v>41.915032289941166</v>
      </c>
      <c r="D161" s="17">
        <f t="shared" si="11"/>
        <v>46.572258099934629</v>
      </c>
      <c r="E161" s="17">
        <f t="shared" si="10"/>
        <v>51.229483909928092</v>
      </c>
      <c r="F161" s="2">
        <v>46.093600000000002</v>
      </c>
      <c r="G161" s="2" t="str">
        <f t="shared" si="8"/>
        <v>Pass</v>
      </c>
      <c r="Y161" s="2">
        <v>146</v>
      </c>
      <c r="Z161" s="2">
        <v>0.33400000000000002</v>
      </c>
      <c r="AA161" s="2">
        <v>0.3488</v>
      </c>
      <c r="AB161" s="2">
        <v>47.628900000000002</v>
      </c>
    </row>
    <row r="162" spans="2:28" x14ac:dyDescent="0.4">
      <c r="B162" s="11">
        <v>145</v>
      </c>
      <c r="C162" s="16">
        <f t="shared" si="9"/>
        <v>42.674766928416169</v>
      </c>
      <c r="D162" s="17">
        <f t="shared" si="11"/>
        <v>47.416407698240185</v>
      </c>
      <c r="E162" s="17">
        <f t="shared" si="10"/>
        <v>52.158048468064202</v>
      </c>
      <c r="F162" s="2">
        <v>46.918700000000001</v>
      </c>
      <c r="G162" s="2" t="str">
        <f t="shared" si="8"/>
        <v>Pass</v>
      </c>
      <c r="Y162" s="2">
        <v>147</v>
      </c>
      <c r="Z162" s="2">
        <v>0.33389999999999997</v>
      </c>
      <c r="AA162" s="2">
        <v>0.34860000000000002</v>
      </c>
      <c r="AB162" s="2">
        <v>48.633000000000003</v>
      </c>
    </row>
    <row r="163" spans="2:28" x14ac:dyDescent="0.4">
      <c r="B163" s="11">
        <v>146</v>
      </c>
      <c r="C163" s="16">
        <f t="shared" si="9"/>
        <v>43.442917258299666</v>
      </c>
      <c r="D163" s="17">
        <f t="shared" si="11"/>
        <v>48.269908064777404</v>
      </c>
      <c r="E163" s="17">
        <f t="shared" si="10"/>
        <v>53.096898871255142</v>
      </c>
      <c r="F163" s="2">
        <v>47.628900000000002</v>
      </c>
      <c r="G163" s="2" t="str">
        <f t="shared" si="8"/>
        <v>Pass</v>
      </c>
      <c r="Y163" s="2">
        <v>148</v>
      </c>
      <c r="Z163" s="2">
        <v>0.3342</v>
      </c>
      <c r="AA163" s="2">
        <v>0.34799999999999998</v>
      </c>
      <c r="AB163" s="2">
        <v>49.589500000000001</v>
      </c>
    </row>
    <row r="164" spans="2:28" x14ac:dyDescent="0.4">
      <c r="B164" s="11">
        <v>147</v>
      </c>
      <c r="C164" s="16">
        <f t="shared" si="9"/>
        <v>44.219517997915467</v>
      </c>
      <c r="D164" s="17">
        <f t="shared" si="11"/>
        <v>49.132797775461633</v>
      </c>
      <c r="E164" s="17">
        <f t="shared" si="10"/>
        <v>54.046077553007798</v>
      </c>
      <c r="F164" s="2">
        <v>48.633000000000003</v>
      </c>
      <c r="G164" s="2" t="str">
        <f t="shared" si="8"/>
        <v>Pass</v>
      </c>
      <c r="Y164" s="2">
        <v>149</v>
      </c>
      <c r="Z164" s="2">
        <v>0.33400000000000002</v>
      </c>
      <c r="AA164" s="2">
        <v>0.3478</v>
      </c>
      <c r="AB164" s="2">
        <v>50.411999999999999</v>
      </c>
    </row>
    <row r="165" spans="2:28" x14ac:dyDescent="0.4">
      <c r="B165" s="11">
        <v>148</v>
      </c>
      <c r="C165" s="16">
        <f t="shared" si="9"/>
        <v>45.004603770752851</v>
      </c>
      <c r="D165" s="17">
        <f t="shared" si="11"/>
        <v>50.005115300836501</v>
      </c>
      <c r="E165" s="17">
        <f t="shared" si="10"/>
        <v>55.00562683092015</v>
      </c>
      <c r="F165" s="2">
        <v>49.589500000000001</v>
      </c>
      <c r="G165" s="2" t="str">
        <f t="shared" si="8"/>
        <v>Pass</v>
      </c>
      <c r="Y165" s="2">
        <v>150</v>
      </c>
      <c r="Z165" s="2">
        <v>0.33379999999999999</v>
      </c>
      <c r="AA165" s="2">
        <v>0.34770000000000001</v>
      </c>
      <c r="AB165" s="2">
        <v>51.4621</v>
      </c>
    </row>
    <row r="166" spans="2:28" x14ac:dyDescent="0.4">
      <c r="B166" s="11">
        <v>149</v>
      </c>
      <c r="C166" s="16">
        <f t="shared" si="9"/>
        <v>45.798209106367011</v>
      </c>
      <c r="D166" s="17">
        <f t="shared" si="11"/>
        <v>50.886899007074462</v>
      </c>
      <c r="E166" s="17">
        <f t="shared" si="10"/>
        <v>55.975588907781912</v>
      </c>
      <c r="F166" s="2">
        <v>50.411999999999999</v>
      </c>
      <c r="G166" s="2" t="str">
        <f t="shared" si="8"/>
        <v>Pass</v>
      </c>
      <c r="Y166" s="2">
        <v>151</v>
      </c>
      <c r="Z166" s="2">
        <v>0.33500000000000002</v>
      </c>
      <c r="AA166" s="2">
        <v>0.34989999999999999</v>
      </c>
      <c r="AB166" s="2">
        <v>52.280900000000003</v>
      </c>
    </row>
    <row r="167" spans="2:28" x14ac:dyDescent="0.4">
      <c r="B167" s="11">
        <v>150</v>
      </c>
      <c r="C167" s="16">
        <f t="shared" si="9"/>
        <v>46.600368441265111</v>
      </c>
      <c r="D167" s="17">
        <f t="shared" si="11"/>
        <v>51.778187156961238</v>
      </c>
      <c r="E167" s="17">
        <f t="shared" si="10"/>
        <v>56.956005872657364</v>
      </c>
      <c r="F167" s="2">
        <v>51.4621</v>
      </c>
      <c r="G167" s="2" t="str">
        <f t="shared" si="8"/>
        <v>Pass</v>
      </c>
      <c r="Y167" s="2">
        <v>152</v>
      </c>
      <c r="Z167" s="2">
        <v>0.33479999999999999</v>
      </c>
      <c r="AA167" s="2">
        <v>0.3498</v>
      </c>
      <c r="AB167" s="2">
        <v>53.072000000000003</v>
      </c>
    </row>
    <row r="168" spans="2:28" x14ac:dyDescent="0.4">
      <c r="B168" s="11">
        <v>151</v>
      </c>
      <c r="C168" s="16">
        <f t="shared" si="9"/>
        <v>47.411116119777887</v>
      </c>
      <c r="D168" s="17">
        <f t="shared" si="11"/>
        <v>52.679017910864317</v>
      </c>
      <c r="E168" s="17">
        <f t="shared" si="10"/>
        <v>57.946919701950748</v>
      </c>
      <c r="F168" s="2">
        <v>52.280900000000003</v>
      </c>
      <c r="G168" s="2" t="str">
        <f t="shared" si="8"/>
        <v>Pass</v>
      </c>
      <c r="Y168" s="2">
        <v>153</v>
      </c>
      <c r="Z168" s="2">
        <v>0.33460000000000001</v>
      </c>
      <c r="AA168" s="2">
        <v>0.3493</v>
      </c>
      <c r="AB168" s="2">
        <v>54.139000000000003</v>
      </c>
    </row>
    <row r="169" spans="2:28" x14ac:dyDescent="0.4">
      <c r="B169" s="11">
        <v>152</v>
      </c>
      <c r="C169" s="16">
        <f t="shared" si="9"/>
        <v>48.230486394917598</v>
      </c>
      <c r="D169" s="17">
        <f t="shared" si="11"/>
        <v>53.589429327686219</v>
      </c>
      <c r="E169" s="17">
        <f t="shared" si="10"/>
        <v>58.948372260454839</v>
      </c>
      <c r="F169" s="2">
        <v>53.072000000000003</v>
      </c>
      <c r="G169" s="2" t="str">
        <f t="shared" si="8"/>
        <v>Pass</v>
      </c>
      <c r="Y169" s="2">
        <v>154</v>
      </c>
      <c r="Z169" s="2">
        <v>0.33439999999999998</v>
      </c>
      <c r="AA169" s="2">
        <v>0.34920000000000001</v>
      </c>
      <c r="AB169" s="2">
        <v>54.9435</v>
      </c>
    </row>
    <row r="170" spans="2:28" x14ac:dyDescent="0.4">
      <c r="B170" s="11">
        <v>153</v>
      </c>
      <c r="C170" s="16">
        <f t="shared" si="9"/>
        <v>49.058513429222188</v>
      </c>
      <c r="D170" s="17">
        <f t="shared" si="11"/>
        <v>54.509459365802428</v>
      </c>
      <c r="E170" s="17">
        <f t="shared" si="10"/>
        <v>59.960405302382668</v>
      </c>
      <c r="F170" s="2">
        <v>54.139000000000003</v>
      </c>
      <c r="G170" s="2" t="str">
        <f t="shared" si="8"/>
        <v>Pass</v>
      </c>
      <c r="Y170" s="2">
        <v>155</v>
      </c>
      <c r="Z170" s="2">
        <v>0.33439999999999998</v>
      </c>
      <c r="AA170" s="2">
        <v>0.34889999999999999</v>
      </c>
      <c r="AB170" s="2">
        <v>56.036700000000003</v>
      </c>
    </row>
    <row r="171" spans="2:28" x14ac:dyDescent="0.4">
      <c r="B171" s="11">
        <v>154</v>
      </c>
      <c r="C171" s="16">
        <f t="shared" si="9"/>
        <v>49.895231295586179</v>
      </c>
      <c r="D171" s="17">
        <f t="shared" si="11"/>
        <v>55.439145883984644</v>
      </c>
      <c r="E171" s="17">
        <f t="shared" si="10"/>
        <v>60.983060472383109</v>
      </c>
      <c r="F171" s="2">
        <v>54.9435</v>
      </c>
      <c r="G171" s="2" t="str">
        <f t="shared" si="8"/>
        <v>Pass</v>
      </c>
      <c r="Y171" s="2">
        <v>156</v>
      </c>
      <c r="Z171" s="2">
        <v>0.3342</v>
      </c>
      <c r="AA171" s="2">
        <v>0.34860000000000002</v>
      </c>
      <c r="AB171" s="2">
        <v>56.8202</v>
      </c>
    </row>
    <row r="172" spans="2:28" x14ac:dyDescent="0.4">
      <c r="B172" s="11">
        <v>155</v>
      </c>
      <c r="C172" s="16">
        <f t="shared" si="9"/>
        <v>50.740673978078711</v>
      </c>
      <c r="D172" s="17">
        <f t="shared" si="11"/>
        <v>56.37852664230968</v>
      </c>
      <c r="E172" s="17">
        <f t="shared" si="10"/>
        <v>62.016379306540649</v>
      </c>
      <c r="F172" s="2">
        <v>56.036700000000003</v>
      </c>
      <c r="G172" s="2" t="str">
        <f t="shared" si="8"/>
        <v>Pass</v>
      </c>
      <c r="Y172" s="2">
        <v>157</v>
      </c>
      <c r="Z172" s="2">
        <v>0.33350000000000002</v>
      </c>
      <c r="AA172" s="2">
        <v>0.34789999999999999</v>
      </c>
      <c r="AB172" s="2">
        <v>57.902700000000003</v>
      </c>
    </row>
    <row r="173" spans="2:28" x14ac:dyDescent="0.4">
      <c r="B173" s="11">
        <v>156</v>
      </c>
      <c r="C173" s="16">
        <f t="shared" si="9"/>
        <v>51.594875372748703</v>
      </c>
      <c r="D173" s="17">
        <f t="shared" si="11"/>
        <v>57.327639303054113</v>
      </c>
      <c r="E173" s="17">
        <f t="shared" si="10"/>
        <v>63.060403233359523</v>
      </c>
      <c r="F173" s="2">
        <v>56.8202</v>
      </c>
      <c r="G173" s="2" t="str">
        <f t="shared" si="8"/>
        <v>Pass</v>
      </c>
      <c r="Y173" s="2">
        <v>158</v>
      </c>
      <c r="Z173" s="2">
        <v>0.33339999999999997</v>
      </c>
      <c r="AA173" s="2">
        <v>0.34770000000000001</v>
      </c>
      <c r="AB173" s="2">
        <v>58.790599999999998</v>
      </c>
    </row>
    <row r="174" spans="2:28" x14ac:dyDescent="0.4">
      <c r="B174" s="11">
        <v>157</v>
      </c>
      <c r="C174" s="16">
        <f t="shared" si="9"/>
        <v>52.457869288417655</v>
      </c>
      <c r="D174" s="17">
        <f t="shared" si="11"/>
        <v>58.286521431575174</v>
      </c>
      <c r="E174" s="17">
        <f t="shared" si="10"/>
        <v>64.115173574732694</v>
      </c>
      <c r="F174" s="2">
        <v>57.902700000000003</v>
      </c>
      <c r="G174" s="2" t="str">
        <f t="shared" si="8"/>
        <v>Pass</v>
      </c>
      <c r="Y174" s="2">
        <v>159</v>
      </c>
      <c r="Z174" s="2">
        <v>0.33329999999999999</v>
      </c>
      <c r="AA174" s="2">
        <v>0.34770000000000001</v>
      </c>
      <c r="AB174" s="2">
        <v>59.995800000000003</v>
      </c>
    </row>
    <row r="175" spans="2:28" x14ac:dyDescent="0.4">
      <c r="B175" s="11">
        <v>158</v>
      </c>
      <c r="C175" s="16">
        <f t="shared" si="9"/>
        <v>53.329689447460296</v>
      </c>
      <c r="D175" s="17">
        <f t="shared" si="11"/>
        <v>59.255210497178105</v>
      </c>
      <c r="E175" s="17">
        <f t="shared" si="10"/>
        <v>65.180731546895913</v>
      </c>
      <c r="F175" s="2">
        <v>58.790599999999998</v>
      </c>
      <c r="G175" s="2" t="str">
        <f t="shared" si="8"/>
        <v>Pass</v>
      </c>
      <c r="Y175" s="2">
        <v>160</v>
      </c>
      <c r="Z175" s="2">
        <v>0.3332</v>
      </c>
      <c r="AA175" s="2">
        <v>0.34760000000000002</v>
      </c>
      <c r="AB175" s="2">
        <v>60.914299999999997</v>
      </c>
    </row>
    <row r="176" spans="2:28" x14ac:dyDescent="0.4">
      <c r="B176" s="11">
        <v>159</v>
      </c>
      <c r="C176" s="16">
        <f t="shared" si="9"/>
        <v>54.210369486573263</v>
      </c>
      <c r="D176" s="17">
        <f t="shared" si="11"/>
        <v>60.23374387397029</v>
      </c>
      <c r="E176" s="17">
        <f t="shared" si="10"/>
        <v>66.257118261367324</v>
      </c>
      <c r="F176" s="2">
        <v>59.995800000000003</v>
      </c>
      <c r="G176" s="2" t="str">
        <f t="shared" si="8"/>
        <v>Pass</v>
      </c>
      <c r="Y176" s="2">
        <v>161</v>
      </c>
      <c r="Z176" s="2">
        <v>0.33310000000000001</v>
      </c>
      <c r="AA176" s="2">
        <v>0.34749999999999998</v>
      </c>
      <c r="AB176" s="2">
        <v>61.814100000000003</v>
      </c>
    </row>
    <row r="177" spans="2:28" x14ac:dyDescent="0.4">
      <c r="B177" s="11">
        <v>160</v>
      </c>
      <c r="C177" s="16">
        <f t="shared" si="9"/>
        <v>55.099942957532285</v>
      </c>
      <c r="D177" s="17">
        <f t="shared" si="11"/>
        <v>61.222158841702537</v>
      </c>
      <c r="E177" s="17">
        <f t="shared" si="10"/>
        <v>67.344374725872797</v>
      </c>
      <c r="F177" s="2">
        <v>60.914299999999997</v>
      </c>
      <c r="G177" s="2" t="str">
        <f t="shared" si="8"/>
        <v>Pass</v>
      </c>
      <c r="Y177" s="2">
        <v>162</v>
      </c>
      <c r="Z177" s="2">
        <v>0.33450000000000002</v>
      </c>
      <c r="AA177" s="2">
        <v>0.34789999999999999</v>
      </c>
      <c r="AB177" s="2">
        <v>63.314100000000003</v>
      </c>
    </row>
    <row r="178" spans="2:28" x14ac:dyDescent="0.4">
      <c r="B178" s="11">
        <v>161</v>
      </c>
      <c r="C178" s="16">
        <f t="shared" si="9"/>
        <v>55.998443327937743</v>
      </c>
      <c r="D178" s="17">
        <f t="shared" si="11"/>
        <v>62.220492586597494</v>
      </c>
      <c r="E178" s="17">
        <f t="shared" si="10"/>
        <v>68.442541845257239</v>
      </c>
      <c r="F178" s="2">
        <v>61.814100000000003</v>
      </c>
      <c r="G178" s="2" t="str">
        <f t="shared" si="8"/>
        <v>Pass</v>
      </c>
      <c r="Y178" s="2">
        <v>163</v>
      </c>
      <c r="Z178" s="2">
        <v>0.33439999999999998</v>
      </c>
      <c r="AA178" s="2">
        <v>0.34789999999999999</v>
      </c>
      <c r="AB178" s="2">
        <v>64.198700000000002</v>
      </c>
    </row>
    <row r="179" spans="2:28" x14ac:dyDescent="0.4">
      <c r="B179" s="11">
        <v>162</v>
      </c>
      <c r="C179" s="16">
        <f t="shared" si="9"/>
        <v>56.905903981949308</v>
      </c>
      <c r="D179" s="17">
        <f t="shared" si="11"/>
        <v>63.228782202165895</v>
      </c>
      <c r="E179" s="17">
        <f t="shared" si="10"/>
        <v>69.551660422382483</v>
      </c>
      <c r="F179" s="2">
        <v>63.314100000000003</v>
      </c>
      <c r="G179" s="2" t="str">
        <f t="shared" si="8"/>
        <v>Pass</v>
      </c>
      <c r="Y179" s="2">
        <v>164</v>
      </c>
      <c r="Z179" s="2">
        <v>0.3342</v>
      </c>
      <c r="AA179" s="2">
        <v>0.34770000000000001</v>
      </c>
      <c r="AB179" s="2">
        <v>65.097499999999997</v>
      </c>
    </row>
    <row r="180" spans="2:28" x14ac:dyDescent="0.4">
      <c r="B180" s="11">
        <v>163</v>
      </c>
      <c r="C180" s="16">
        <f t="shared" si="9"/>
        <v>57.822358221009466</v>
      </c>
      <c r="D180" s="17">
        <f t="shared" si="11"/>
        <v>64.247064690010518</v>
      </c>
      <c r="E180" s="17">
        <f t="shared" si="10"/>
        <v>70.67177115901157</v>
      </c>
      <c r="F180" s="2">
        <v>64.198700000000002</v>
      </c>
      <c r="G180" s="2" t="str">
        <f t="shared" si="8"/>
        <v>Pass</v>
      </c>
      <c r="Y180" s="2">
        <v>165</v>
      </c>
      <c r="Z180" s="2">
        <v>0.33439999999999998</v>
      </c>
      <c r="AA180" s="2">
        <v>0.34970000000000001</v>
      </c>
      <c r="AB180" s="2">
        <v>66.897499999999994</v>
      </c>
    </row>
    <row r="181" spans="2:28" x14ac:dyDescent="0.4">
      <c r="B181" s="11">
        <v>164</v>
      </c>
      <c r="C181" s="16">
        <f t="shared" si="9"/>
        <v>58.747839264556589</v>
      </c>
      <c r="D181" s="17">
        <f t="shared" si="11"/>
        <v>65.275376960618431</v>
      </c>
      <c r="E181" s="17">
        <f t="shared" si="10"/>
        <v>71.802914656680272</v>
      </c>
      <c r="F181" s="2">
        <v>65.097499999999997</v>
      </c>
      <c r="G181" s="2" t="str">
        <f t="shared" si="8"/>
        <v>Pass</v>
      </c>
      <c r="Y181" s="2">
        <v>166</v>
      </c>
      <c r="Z181" s="2">
        <v>0.33429999999999999</v>
      </c>
      <c r="AA181" s="2">
        <v>0.34960000000000002</v>
      </c>
      <c r="AB181" s="2">
        <v>68.191400000000002</v>
      </c>
    </row>
    <row r="182" spans="2:28" x14ac:dyDescent="0.4">
      <c r="B182" s="11">
        <v>165</v>
      </c>
      <c r="C182" s="16">
        <f t="shared" si="9"/>
        <v>59.682380250727164</v>
      </c>
      <c r="D182" s="17">
        <f t="shared" si="11"/>
        <v>66.31375583414129</v>
      </c>
      <c r="E182" s="17">
        <f t="shared" si="10"/>
        <v>72.945131417555416</v>
      </c>
      <c r="F182" s="2">
        <v>66.897499999999994</v>
      </c>
      <c r="G182" s="2" t="str">
        <f t="shared" si="8"/>
        <v>Pass</v>
      </c>
      <c r="Y182" s="2">
        <v>167</v>
      </c>
      <c r="Z182" s="2">
        <v>0.33439999999999998</v>
      </c>
      <c r="AA182" s="2">
        <v>0.34960000000000002</v>
      </c>
      <c r="AB182" s="2">
        <v>69.191800000000001</v>
      </c>
    </row>
    <row r="183" spans="2:28" x14ac:dyDescent="0.4">
      <c r="B183" s="11">
        <v>166</v>
      </c>
      <c r="C183" s="16">
        <f t="shared" si="9"/>
        <v>60.626014237048203</v>
      </c>
      <c r="D183" s="17">
        <f t="shared" si="11"/>
        <v>67.362238041164673</v>
      </c>
      <c r="E183" s="17">
        <f t="shared" si="10"/>
        <v>74.098461845281136</v>
      </c>
      <c r="F183" s="2">
        <v>68.191400000000002</v>
      </c>
      <c r="G183" s="2" t="str">
        <f t="shared" si="8"/>
        <v>Pass</v>
      </c>
      <c r="Y183" s="2">
        <v>168</v>
      </c>
      <c r="Z183" s="2">
        <v>0.33560000000000001</v>
      </c>
      <c r="AA183" s="2">
        <v>0.35160000000000002</v>
      </c>
      <c r="AB183" s="2">
        <v>70.230199999999996</v>
      </c>
    </row>
    <row r="184" spans="2:28" x14ac:dyDescent="0.4">
      <c r="B184" s="11">
        <v>167</v>
      </c>
      <c r="C184" s="16">
        <f t="shared" si="9"/>
        <v>61.57877420111928</v>
      </c>
      <c r="D184" s="17">
        <f t="shared" si="11"/>
        <v>68.420860223465866</v>
      </c>
      <c r="E184" s="17">
        <f t="shared" si="10"/>
        <v>75.262946245812458</v>
      </c>
      <c r="F184" s="2">
        <v>69.191800000000001</v>
      </c>
      <c r="G184" s="2" t="str">
        <f t="shared" si="8"/>
        <v>Pass</v>
      </c>
      <c r="Y184" s="2">
        <v>169</v>
      </c>
      <c r="Z184" s="2">
        <v>0.33550000000000002</v>
      </c>
      <c r="AA184" s="2">
        <v>0.35120000000000001</v>
      </c>
      <c r="AB184" s="2">
        <v>71.452500000000001</v>
      </c>
    </row>
    <row r="185" spans="2:28" x14ac:dyDescent="0.4">
      <c r="B185" s="11">
        <v>168</v>
      </c>
      <c r="C185" s="16">
        <f t="shared" si="9"/>
        <v>62.540693041284882</v>
      </c>
      <c r="D185" s="17">
        <f t="shared" si="11"/>
        <v>69.489658934760982</v>
      </c>
      <c r="E185" s="17">
        <f t="shared" si="10"/>
        <v>76.438624828237081</v>
      </c>
      <c r="F185" s="2">
        <v>70.230199999999996</v>
      </c>
      <c r="G185" s="2" t="str">
        <f t="shared" si="8"/>
        <v>Pass</v>
      </c>
      <c r="Y185" s="2">
        <v>170</v>
      </c>
      <c r="Z185" s="2">
        <v>0.33529999999999999</v>
      </c>
      <c r="AA185" s="2">
        <v>0.35120000000000001</v>
      </c>
      <c r="AB185" s="2">
        <v>72.381100000000004</v>
      </c>
    </row>
    <row r="186" spans="2:28" x14ac:dyDescent="0.4">
      <c r="B186" s="11">
        <v>169</v>
      </c>
      <c r="C186" s="16">
        <f t="shared" si="9"/>
        <v>63.511803577297115</v>
      </c>
      <c r="D186" s="17">
        <f t="shared" si="11"/>
        <v>70.568670641441244</v>
      </c>
      <c r="E186" s="17">
        <f t="shared" si="10"/>
        <v>77.625537705585373</v>
      </c>
      <c r="F186" s="2">
        <v>71.452500000000001</v>
      </c>
      <c r="G186" s="2" t="str">
        <f t="shared" si="8"/>
        <v>Pass</v>
      </c>
      <c r="Y186" s="2">
        <v>171</v>
      </c>
      <c r="Z186" s="2">
        <v>0.33510000000000001</v>
      </c>
      <c r="AA186" s="2">
        <v>0.3508</v>
      </c>
      <c r="AB186" s="2">
        <v>73.625100000000003</v>
      </c>
    </row>
    <row r="187" spans="2:28" x14ac:dyDescent="0.4">
      <c r="B187" s="11">
        <v>170</v>
      </c>
      <c r="C187" s="16">
        <f t="shared" si="9"/>
        <v>64.492138550968875</v>
      </c>
      <c r="D187" s="17">
        <f t="shared" si="11"/>
        <v>71.657931723298745</v>
      </c>
      <c r="E187" s="17">
        <f t="shared" si="10"/>
        <v>78.823724895628615</v>
      </c>
      <c r="F187" s="2">
        <v>72.381100000000004</v>
      </c>
      <c r="G187" s="2" t="str">
        <f t="shared" si="8"/>
        <v>Pass</v>
      </c>
      <c r="Y187" s="2">
        <v>172</v>
      </c>
      <c r="Z187" s="2">
        <v>0.33460000000000001</v>
      </c>
      <c r="AA187" s="2">
        <v>0.34989999999999999</v>
      </c>
      <c r="AB187" s="2">
        <v>74.805300000000003</v>
      </c>
    </row>
    <row r="188" spans="2:28" x14ac:dyDescent="0.4">
      <c r="B188" s="11">
        <v>171</v>
      </c>
      <c r="C188" s="16">
        <f t="shared" si="9"/>
        <v>65.481730626817935</v>
      </c>
      <c r="D188" s="17">
        <f t="shared" si="11"/>
        <v>72.757478474242149</v>
      </c>
      <c r="E188" s="17">
        <f t="shared" si="10"/>
        <v>80.033226321666362</v>
      </c>
      <c r="F188" s="2">
        <v>73.625100000000003</v>
      </c>
      <c r="G188" s="2" t="str">
        <f t="shared" si="8"/>
        <v>Pass</v>
      </c>
      <c r="Y188" s="2">
        <v>173</v>
      </c>
      <c r="Z188" s="2">
        <v>0.3342</v>
      </c>
      <c r="AA188" s="2">
        <v>0.34920000000000001</v>
      </c>
      <c r="AB188" s="2">
        <v>75.855500000000006</v>
      </c>
    </row>
    <row r="189" spans="2:28" x14ac:dyDescent="0.4">
      <c r="B189" s="11">
        <v>172</v>
      </c>
      <c r="C189" s="16">
        <f t="shared" si="9"/>
        <v>66.480612392701815</v>
      </c>
      <c r="D189" s="17">
        <f t="shared" si="11"/>
        <v>73.867347103002018</v>
      </c>
      <c r="E189" s="17">
        <f t="shared" si="10"/>
        <v>81.254081813302221</v>
      </c>
      <c r="F189" s="2">
        <v>74.805300000000003</v>
      </c>
      <c r="G189" s="2" t="str">
        <f t="shared" si="8"/>
        <v>Pass</v>
      </c>
      <c r="Y189" s="2">
        <v>174</v>
      </c>
      <c r="Z189" s="2">
        <v>0.33400000000000002</v>
      </c>
      <c r="AA189" s="2">
        <v>0.34899999999999998</v>
      </c>
      <c r="AB189" s="2">
        <v>77.225300000000004</v>
      </c>
    </row>
    <row r="190" spans="2:28" x14ac:dyDescent="0.4">
      <c r="B190" s="11">
        <v>173</v>
      </c>
      <c r="C190" s="16">
        <f t="shared" si="9"/>
        <v>67.488816360443792</v>
      </c>
      <c r="D190" s="17">
        <f t="shared" si="11"/>
        <v>74.987573733826437</v>
      </c>
      <c r="E190" s="17">
        <f t="shared" si="10"/>
        <v>82.486331107209082</v>
      </c>
      <c r="F190" s="2">
        <v>75.855500000000006</v>
      </c>
      <c r="G190" s="2" t="str">
        <f t="shared" si="8"/>
        <v>Pass</v>
      </c>
      <c r="Y190" s="2">
        <v>175</v>
      </c>
      <c r="Z190" s="2">
        <v>0.3337</v>
      </c>
      <c r="AA190" s="2">
        <v>0.34910000000000002</v>
      </c>
      <c r="AB190" s="2">
        <v>78.303600000000003</v>
      </c>
    </row>
    <row r="191" spans="2:28" x14ac:dyDescent="0.4">
      <c r="B191" s="11">
        <v>174</v>
      </c>
      <c r="C191" s="16">
        <f t="shared" si="9"/>
        <v>68.506374966450238</v>
      </c>
      <c r="D191" s="17">
        <f t="shared" si="11"/>
        <v>76.118194407166939</v>
      </c>
      <c r="E191" s="17">
        <f t="shared" si="10"/>
        <v>83.73001384788364</v>
      </c>
      <c r="F191" s="2">
        <v>77.225300000000004</v>
      </c>
      <c r="G191" s="2" t="str">
        <f t="shared" si="8"/>
        <v>Pass</v>
      </c>
      <c r="Y191" s="2">
        <v>176</v>
      </c>
      <c r="Z191" s="2">
        <v>0.3337</v>
      </c>
      <c r="AA191" s="2">
        <v>0.34889999999999999</v>
      </c>
      <c r="AB191" s="2">
        <v>79.729500000000002</v>
      </c>
    </row>
    <row r="192" spans="2:28" x14ac:dyDescent="0.4">
      <c r="B192" s="11">
        <v>175</v>
      </c>
      <c r="C192" s="16">
        <f t="shared" si="9"/>
        <v>69.533320572319468</v>
      </c>
      <c r="D192" s="17">
        <f t="shared" si="11"/>
        <v>77.259245080354958</v>
      </c>
      <c r="E192" s="17">
        <f t="shared" si="10"/>
        <v>84.985169588390448</v>
      </c>
      <c r="F192" s="2">
        <v>78.303600000000003</v>
      </c>
      <c r="G192" s="2" t="str">
        <f t="shared" si="8"/>
        <v>Pass</v>
      </c>
      <c r="Y192" s="2">
        <v>177</v>
      </c>
      <c r="Z192" s="2">
        <v>0.33389999999999997</v>
      </c>
      <c r="AA192" s="2">
        <v>0.34860000000000002</v>
      </c>
      <c r="AB192" s="2">
        <v>80.809600000000003</v>
      </c>
    </row>
    <row r="193" spans="2:28" x14ac:dyDescent="0.4">
      <c r="B193" s="11">
        <v>176</v>
      </c>
      <c r="C193" s="16">
        <f t="shared" si="9"/>
        <v>70.569685465441935</v>
      </c>
      <c r="D193" s="17">
        <f t="shared" si="11"/>
        <v>78.410761628268816</v>
      </c>
      <c r="E193" s="17">
        <f t="shared" si="10"/>
        <v>86.251837791095696</v>
      </c>
      <c r="F193" s="2">
        <v>79.729500000000002</v>
      </c>
      <c r="G193" s="2" t="str">
        <f t="shared" si="8"/>
        <v>Pass</v>
      </c>
      <c r="Y193" s="2">
        <v>178</v>
      </c>
      <c r="Z193" s="2">
        <v>0.3352</v>
      </c>
      <c r="AA193" s="2">
        <v>0.35039999999999999</v>
      </c>
      <c r="AB193" s="2">
        <v>81.889499999999998</v>
      </c>
    </row>
    <row r="194" spans="2:28" x14ac:dyDescent="0.4">
      <c r="B194" s="11">
        <v>177</v>
      </c>
      <c r="C194" s="16">
        <f t="shared" si="9"/>
        <v>71.615501859592726</v>
      </c>
      <c r="D194" s="17">
        <f t="shared" si="11"/>
        <v>79.572779843991924</v>
      </c>
      <c r="E194" s="17">
        <f t="shared" si="10"/>
        <v>87.530057828391122</v>
      </c>
      <c r="F194" s="2">
        <v>80.809600000000003</v>
      </c>
      <c r="G194" s="2" t="str">
        <f t="shared" si="8"/>
        <v>Pass</v>
      </c>
      <c r="Y194" s="2">
        <v>179</v>
      </c>
      <c r="Z194" s="2">
        <v>0.33489999999999998</v>
      </c>
      <c r="AA194" s="2">
        <v>0.35010000000000002</v>
      </c>
      <c r="AB194" s="2">
        <v>83.231999999999999</v>
      </c>
    </row>
    <row r="195" spans="2:28" x14ac:dyDescent="0.4">
      <c r="B195" s="11">
        <v>178</v>
      </c>
      <c r="C195" s="16">
        <f t="shared" si="9"/>
        <v>72.670801895515353</v>
      </c>
      <c r="D195" s="17">
        <f t="shared" si="11"/>
        <v>80.745335439461499</v>
      </c>
      <c r="E195" s="17">
        <f t="shared" si="10"/>
        <v>88.819868983407645</v>
      </c>
      <c r="F195" s="2">
        <v>81.889499999999998</v>
      </c>
      <c r="G195" s="2" t="str">
        <f t="shared" si="8"/>
        <v>Pass</v>
      </c>
      <c r="Y195" s="2">
        <v>180</v>
      </c>
      <c r="Z195" s="2">
        <v>0.33479999999999999</v>
      </c>
      <c r="AA195" s="2">
        <v>0.3498</v>
      </c>
      <c r="AB195" s="2">
        <v>84.236999999999995</v>
      </c>
    </row>
    <row r="196" spans="2:28" x14ac:dyDescent="0.4">
      <c r="B196" s="11">
        <v>179</v>
      </c>
      <c r="C196" s="16">
        <f t="shared" si="9"/>
        <v>73.735617641498209</v>
      </c>
      <c r="D196" s="17">
        <f t="shared" si="11"/>
        <v>81.928464046109113</v>
      </c>
      <c r="E196" s="17">
        <f t="shared" si="10"/>
        <v>90.121310450720017</v>
      </c>
      <c r="F196" s="2">
        <v>83.231999999999999</v>
      </c>
      <c r="G196" s="2" t="str">
        <f t="shared" si="8"/>
        <v>Pass</v>
      </c>
      <c r="Y196" s="2">
        <v>181</v>
      </c>
      <c r="Z196" s="2">
        <v>0.3347</v>
      </c>
      <c r="AA196" s="2">
        <v>0.34970000000000001</v>
      </c>
      <c r="AB196" s="2">
        <v>85.2346</v>
      </c>
    </row>
    <row r="197" spans="2:28" x14ac:dyDescent="0.4">
      <c r="B197" s="11">
        <v>180</v>
      </c>
      <c r="C197" s="16">
        <f t="shared" si="9"/>
        <v>74.809981093943009</v>
      </c>
      <c r="D197" s="17">
        <f t="shared" si="11"/>
        <v>83.12220121549224</v>
      </c>
      <c r="E197" s="17">
        <f t="shared" si="10"/>
        <v>91.434421337041471</v>
      </c>
      <c r="F197" s="2">
        <v>84.236999999999995</v>
      </c>
      <c r="G197" s="2" t="str">
        <f t="shared" si="8"/>
        <v>Pass</v>
      </c>
      <c r="Y197" s="2">
        <v>182</v>
      </c>
      <c r="Z197" s="2">
        <v>0.33450000000000002</v>
      </c>
      <c r="AA197" s="2">
        <v>0.34960000000000002</v>
      </c>
      <c r="AB197" s="2">
        <v>86.590500000000006</v>
      </c>
    </row>
    <row r="198" spans="2:28" x14ac:dyDescent="0.4">
      <c r="B198" s="11">
        <v>181</v>
      </c>
      <c r="C198" s="16">
        <f t="shared" si="9"/>
        <v>75.893924177925641</v>
      </c>
      <c r="D198" s="17">
        <f t="shared" si="11"/>
        <v>84.326582419917372</v>
      </c>
      <c r="E198" s="17">
        <f t="shared" si="10"/>
        <v>92.759240661909104</v>
      </c>
      <c r="F198" s="2">
        <v>85.2346</v>
      </c>
      <c r="G198" s="2" t="str">
        <f t="shared" si="8"/>
        <v>Pass</v>
      </c>
      <c r="Y198" s="2">
        <v>183</v>
      </c>
      <c r="Z198" s="2">
        <v>0.3347</v>
      </c>
      <c r="AA198" s="2">
        <v>0.3493</v>
      </c>
      <c r="AB198" s="2">
        <v>87.635099999999994</v>
      </c>
    </row>
    <row r="199" spans="2:28" x14ac:dyDescent="0.4">
      <c r="B199" s="11">
        <v>182</v>
      </c>
      <c r="C199" s="16">
        <f t="shared" si="9"/>
        <v>76.98747874774952</v>
      </c>
      <c r="D199" s="17">
        <f t="shared" si="11"/>
        <v>85.541643053055026</v>
      </c>
      <c r="E199" s="17">
        <f t="shared" si="10"/>
        <v>94.095807358360531</v>
      </c>
      <c r="F199" s="2">
        <v>86.590500000000006</v>
      </c>
      <c r="G199" s="2" t="str">
        <f t="shared" si="8"/>
        <v>Pass</v>
      </c>
      <c r="Y199" s="2">
        <v>184</v>
      </c>
      <c r="Z199" s="2">
        <v>0.3352</v>
      </c>
      <c r="AA199" s="2">
        <v>0.3513</v>
      </c>
      <c r="AB199" s="2">
        <v>89.133799999999994</v>
      </c>
    </row>
    <row r="200" spans="2:28" x14ac:dyDescent="0.4">
      <c r="B200" s="11">
        <v>183</v>
      </c>
      <c r="C200" s="16">
        <f t="shared" si="9"/>
        <v>78.090676587491842</v>
      </c>
      <c r="D200" s="17">
        <f t="shared" si="11"/>
        <v>86.767418430546485</v>
      </c>
      <c r="E200" s="17">
        <f t="shared" si="10"/>
        <v>95.444160273601128</v>
      </c>
      <c r="F200" s="2">
        <v>87.635099999999994</v>
      </c>
      <c r="G200" s="2" t="str">
        <f t="shared" si="8"/>
        <v>Pass</v>
      </c>
      <c r="Y200" s="2">
        <v>185</v>
      </c>
      <c r="Z200" s="2">
        <v>0.33510000000000001</v>
      </c>
      <c r="AA200" s="2">
        <v>0.35110000000000002</v>
      </c>
      <c r="AB200" s="2">
        <v>90.243799999999993</v>
      </c>
    </row>
    <row r="201" spans="2:28" x14ac:dyDescent="0.4">
      <c r="B201" s="11">
        <v>184</v>
      </c>
      <c r="C201" s="16">
        <f t="shared" si="9"/>
        <v>79.203549411542298</v>
      </c>
      <c r="D201" s="17">
        <f t="shared" si="11"/>
        <v>88.003943790602548</v>
      </c>
      <c r="E201" s="17">
        <f t="shared" si="10"/>
        <v>96.804338169662799</v>
      </c>
      <c r="F201" s="2">
        <v>89.133799999999994</v>
      </c>
      <c r="G201" s="2" t="str">
        <f t="shared" si="8"/>
        <v>Pass</v>
      </c>
      <c r="Y201" s="2">
        <v>186</v>
      </c>
      <c r="Z201" s="2">
        <v>0.33479999999999999</v>
      </c>
      <c r="AA201" s="2">
        <v>0.35089999999999999</v>
      </c>
      <c r="AB201" s="2">
        <v>91.347800000000007</v>
      </c>
    </row>
    <row r="202" spans="2:28" x14ac:dyDescent="0.4">
      <c r="B202" s="11">
        <v>185</v>
      </c>
      <c r="C202" s="16">
        <f t="shared" si="9"/>
        <v>80.326128865135104</v>
      </c>
      <c r="D202" s="17">
        <f t="shared" si="11"/>
        <v>89.25125429459456</v>
      </c>
      <c r="E202" s="17">
        <f t="shared" si="10"/>
        <v>98.176379724054016</v>
      </c>
      <c r="F202" s="2">
        <v>90.243799999999993</v>
      </c>
      <c r="G202" s="2" t="str">
        <f t="shared" si="8"/>
        <v>Pass</v>
      </c>
      <c r="Y202" s="2">
        <v>187</v>
      </c>
      <c r="Z202" s="2">
        <v>0.3347</v>
      </c>
      <c r="AA202" s="2">
        <v>0.35060000000000002</v>
      </c>
      <c r="AB202" s="2">
        <v>92.876000000000005</v>
      </c>
    </row>
    <row r="203" spans="2:28" x14ac:dyDescent="0.4">
      <c r="B203" s="11">
        <v>186</v>
      </c>
      <c r="C203" s="16">
        <f t="shared" si="9"/>
        <v>81.458446524873779</v>
      </c>
      <c r="D203" s="17">
        <f t="shared" si="11"/>
        <v>90.509385027637535</v>
      </c>
      <c r="E203" s="17">
        <f t="shared" si="10"/>
        <v>99.560323530401291</v>
      </c>
      <c r="F203" s="2">
        <v>91.347800000000007</v>
      </c>
      <c r="G203" s="2" t="str">
        <f t="shared" si="8"/>
        <v>Pass</v>
      </c>
      <c r="Y203" s="2">
        <v>188</v>
      </c>
      <c r="Z203" s="2">
        <v>0.33439999999999998</v>
      </c>
      <c r="AA203" s="2">
        <v>0.35039999999999999</v>
      </c>
      <c r="AB203" s="2">
        <v>93.998199999999997</v>
      </c>
    </row>
    <row r="204" spans="2:28" x14ac:dyDescent="0.4">
      <c r="B204" s="11">
        <v>187</v>
      </c>
      <c r="C204" s="16">
        <f t="shared" si="9"/>
        <v>82.600533899249484</v>
      </c>
      <c r="D204" s="17">
        <f t="shared" si="11"/>
        <v>91.7783709991661</v>
      </c>
      <c r="E204" s="17">
        <f t="shared" si="10"/>
        <v>100.95620809908272</v>
      </c>
      <c r="F204" s="2">
        <v>92.876000000000005</v>
      </c>
      <c r="G204" s="2" t="str">
        <f t="shared" si="8"/>
        <v>Pass</v>
      </c>
      <c r="Y204" s="2">
        <v>189</v>
      </c>
      <c r="Z204" s="2">
        <v>0.33500000000000002</v>
      </c>
      <c r="AA204" s="2">
        <v>0.34970000000000001</v>
      </c>
      <c r="AB204" s="2">
        <v>95.495000000000005</v>
      </c>
    </row>
    <row r="205" spans="2:28" x14ac:dyDescent="0.4">
      <c r="B205" s="11">
        <v>188</v>
      </c>
      <c r="C205" s="16">
        <f t="shared" si="9"/>
        <v>83.752422429152318</v>
      </c>
      <c r="D205" s="17">
        <f t="shared" si="11"/>
        <v>93.058247143502584</v>
      </c>
      <c r="E205" s="17">
        <f t="shared" si="10"/>
        <v>102.36407185785285</v>
      </c>
      <c r="F205" s="2">
        <v>93.998199999999997</v>
      </c>
      <c r="G205" s="2" t="str">
        <f t="shared" si="8"/>
        <v>Pass</v>
      </c>
      <c r="Y205" s="2">
        <v>190</v>
      </c>
      <c r="Z205" s="2">
        <v>0.33479999999999999</v>
      </c>
      <c r="AA205" s="2">
        <v>0.34970000000000001</v>
      </c>
      <c r="AB205" s="2">
        <v>97.021600000000007</v>
      </c>
    </row>
    <row r="206" spans="2:28" x14ac:dyDescent="0.4">
      <c r="B206" s="11">
        <v>189</v>
      </c>
      <c r="C206" s="16">
        <f t="shared" si="9"/>
        <v>84.914143488376354</v>
      </c>
      <c r="D206" s="17">
        <f t="shared" si="11"/>
        <v>94.349048320418177</v>
      </c>
      <c r="E206" s="17">
        <f t="shared" si="10"/>
        <v>103.78395315246</v>
      </c>
      <c r="F206" s="2">
        <v>95.495000000000005</v>
      </c>
      <c r="G206" s="2" t="str">
        <f t="shared" si="8"/>
        <v>Pass</v>
      </c>
      <c r="Y206" s="2">
        <v>191</v>
      </c>
      <c r="Z206" s="2">
        <v>0.3347</v>
      </c>
      <c r="AA206" s="2">
        <v>0.34949999999999998</v>
      </c>
      <c r="AB206" s="2">
        <v>98.161199999999994</v>
      </c>
    </row>
    <row r="207" spans="2:28" x14ac:dyDescent="0.4">
      <c r="B207" s="11">
        <v>190</v>
      </c>
      <c r="C207" s="16">
        <f t="shared" si="9"/>
        <v>86.08572838411807</v>
      </c>
      <c r="D207" s="17">
        <f t="shared" si="11"/>
        <v>95.650809315686743</v>
      </c>
      <c r="E207" s="17">
        <f t="shared" si="10"/>
        <v>105.21589024725542</v>
      </c>
      <c r="F207" s="2">
        <v>97.021600000000007</v>
      </c>
      <c r="G207" s="2" t="str">
        <f t="shared" si="8"/>
        <v>Pass</v>
      </c>
      <c r="Y207" s="2">
        <v>192</v>
      </c>
      <c r="Z207" s="2">
        <v>0.33439999999999998</v>
      </c>
      <c r="AA207" s="2">
        <v>0.3493</v>
      </c>
      <c r="AB207" s="2">
        <v>99.662400000000005</v>
      </c>
    </row>
    <row r="208" spans="2:28" x14ac:dyDescent="0.4">
      <c r="B208" s="11">
        <v>191</v>
      </c>
      <c r="C208" s="16">
        <f t="shared" si="9"/>
        <v>87.267208357468547</v>
      </c>
      <c r="D208" s="17">
        <f t="shared" si="11"/>
        <v>96.963564841631722</v>
      </c>
      <c r="E208" s="17">
        <f t="shared" si="10"/>
        <v>106.6599213257949</v>
      </c>
      <c r="F208" s="2">
        <v>98.161199999999994</v>
      </c>
      <c r="G208" s="2" t="str">
        <f t="shared" si="8"/>
        <v>Pass</v>
      </c>
      <c r="Y208" s="2">
        <v>193</v>
      </c>
      <c r="Z208" s="2">
        <v>0.33439999999999998</v>
      </c>
      <c r="AA208" s="2">
        <v>0.3493</v>
      </c>
      <c r="AB208" s="2">
        <v>100.789</v>
      </c>
    </row>
    <row r="209" spans="2:28" x14ac:dyDescent="0.4">
      <c r="B209" s="11">
        <v>192</v>
      </c>
      <c r="C209" s="16">
        <f t="shared" si="9"/>
        <v>88.458614583899475</v>
      </c>
      <c r="D209" s="17">
        <f t="shared" si="11"/>
        <v>98.287349537666088</v>
      </c>
      <c r="E209" s="17">
        <f t="shared" si="10"/>
        <v>108.1160844914327</v>
      </c>
      <c r="F209" s="2">
        <v>99.662400000000005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0.3352</v>
      </c>
      <c r="AA209" s="2">
        <v>0.35089999999999999</v>
      </c>
      <c r="AB209" s="2">
        <v>101.967</v>
      </c>
    </row>
    <row r="210" spans="2:28" x14ac:dyDescent="0.4">
      <c r="B210" s="11">
        <v>193</v>
      </c>
      <c r="C210" s="16">
        <f t="shared" ref="C210:C272" si="13">D210-D210*(C$14/100)</f>
        <v>89.659978173743042</v>
      </c>
      <c r="D210" s="17">
        <f t="shared" si="11"/>
        <v>99.622197970825596</v>
      </c>
      <c r="E210" s="17">
        <f t="shared" ref="E210:E272" si="14">D210+D210*(C$14/100)</f>
        <v>109.58441776790815</v>
      </c>
      <c r="F210" s="2">
        <v>100.789</v>
      </c>
      <c r="G210" s="2" t="str">
        <f t="shared" si="12"/>
        <v>Pass</v>
      </c>
      <c r="Y210" s="2">
        <v>195</v>
      </c>
      <c r="Z210" s="2">
        <v>0.33489999999999998</v>
      </c>
      <c r="AA210" s="2">
        <v>0.35060000000000002</v>
      </c>
      <c r="AB210" s="2">
        <v>103.4706</v>
      </c>
    </row>
    <row r="211" spans="2:28" x14ac:dyDescent="0.4">
      <c r="B211" s="11">
        <v>194</v>
      </c>
      <c r="C211" s="16">
        <f t="shared" si="13"/>
        <v>90.871330172665637</v>
      </c>
      <c r="D211" s="17">
        <f t="shared" ref="D211:D271" si="15">D$272*((B211+F$17)/B$272)^C$13</f>
        <v>100.96814463629515</v>
      </c>
      <c r="E211" s="17">
        <f t="shared" si="14"/>
        <v>111.06495909992466</v>
      </c>
      <c r="F211" s="2">
        <v>101.967</v>
      </c>
      <c r="G211" s="2" t="str">
        <f t="shared" si="12"/>
        <v>Pass</v>
      </c>
      <c r="Y211" s="2">
        <v>196</v>
      </c>
      <c r="Z211" s="2">
        <v>0.33479999999999999</v>
      </c>
      <c r="AA211" s="2">
        <v>0.35049999999999998</v>
      </c>
      <c r="AB211" s="2">
        <v>104.6092</v>
      </c>
    </row>
    <row r="212" spans="2:28" x14ac:dyDescent="0.4">
      <c r="B212" s="11">
        <v>195</v>
      </c>
      <c r="C212" s="16">
        <f t="shared" si="13"/>
        <v>92.092701562136256</v>
      </c>
      <c r="D212" s="17">
        <f t="shared" si="15"/>
        <v>102.32522395792918</v>
      </c>
      <c r="E212" s="17">
        <f t="shared" si="14"/>
        <v>112.55774635372211</v>
      </c>
      <c r="F212" s="2">
        <v>103.4706</v>
      </c>
      <c r="G212" s="2" t="str">
        <f t="shared" si="12"/>
        <v>Pass</v>
      </c>
      <c r="Y212" s="2">
        <v>197</v>
      </c>
      <c r="Z212" s="2">
        <v>0.33460000000000001</v>
      </c>
      <c r="AA212" s="2">
        <v>0.3503</v>
      </c>
      <c r="AB212" s="2">
        <v>106.15519999999999</v>
      </c>
    </row>
    <row r="213" spans="2:28" x14ac:dyDescent="0.4">
      <c r="B213" s="11">
        <v>196</v>
      </c>
      <c r="C213" s="16">
        <f t="shared" si="13"/>
        <v>93.324123259888381</v>
      </c>
      <c r="D213" s="17">
        <f t="shared" si="15"/>
        <v>103.69347028876487</v>
      </c>
      <c r="E213" s="17">
        <f t="shared" si="14"/>
        <v>114.06281731764136</v>
      </c>
      <c r="F213" s="2">
        <v>104.6092</v>
      </c>
      <c r="G213" s="2" t="str">
        <f t="shared" si="12"/>
        <v>Pass</v>
      </c>
      <c r="Y213" s="2">
        <v>198</v>
      </c>
      <c r="Z213" s="2">
        <v>0.33439999999999998</v>
      </c>
      <c r="AA213" s="2">
        <v>0.35020000000000001</v>
      </c>
      <c r="AB213" s="2">
        <v>107.4101</v>
      </c>
    </row>
    <row r="214" spans="2:28" x14ac:dyDescent="0.4">
      <c r="B214" s="11">
        <v>197</v>
      </c>
      <c r="C214" s="16">
        <f t="shared" si="13"/>
        <v>94.565626120376749</v>
      </c>
      <c r="D214" s="17">
        <f t="shared" si="15"/>
        <v>105.07291791152973</v>
      </c>
      <c r="E214" s="17">
        <f t="shared" si="14"/>
        <v>115.58020970268271</v>
      </c>
      <c r="F214" s="2">
        <v>106.15519999999999</v>
      </c>
      <c r="G214" s="2" t="str">
        <f t="shared" si="12"/>
        <v>Pass</v>
      </c>
      <c r="Y214" s="2">
        <v>199</v>
      </c>
      <c r="Z214" s="2">
        <v>0.33410000000000001</v>
      </c>
      <c r="AA214" s="2">
        <v>0.35</v>
      </c>
      <c r="AB214" s="2">
        <v>109.08110000000001</v>
      </c>
    </row>
    <row r="215" spans="2:28" x14ac:dyDescent="0.4">
      <c r="B215" s="11">
        <v>198</v>
      </c>
      <c r="C215" s="16">
        <f t="shared" si="13"/>
        <v>95.817240935228199</v>
      </c>
      <c r="D215" s="17">
        <f t="shared" si="15"/>
        <v>106.46360103914245</v>
      </c>
      <c r="E215" s="17">
        <f t="shared" si="14"/>
        <v>117.10996114305669</v>
      </c>
      <c r="F215" s="2">
        <v>107.4101</v>
      </c>
      <c r="G215" s="2" t="str">
        <f t="shared" si="12"/>
        <v>Pass</v>
      </c>
      <c r="Y215" s="2">
        <v>200</v>
      </c>
      <c r="Z215" s="2">
        <v>0.33400000000000002</v>
      </c>
      <c r="AA215" s="2">
        <v>0.34910000000000002</v>
      </c>
      <c r="AB215" s="2">
        <v>110.6332</v>
      </c>
    </row>
    <row r="216" spans="2:28" x14ac:dyDescent="0.4">
      <c r="B216" s="11">
        <v>199</v>
      </c>
      <c r="C216" s="16">
        <f t="shared" si="13"/>
        <v>97.078998433687332</v>
      </c>
      <c r="D216" s="17">
        <f t="shared" si="15"/>
        <v>107.86555381520814</v>
      </c>
      <c r="E216" s="17">
        <f t="shared" si="14"/>
        <v>118.65210919672896</v>
      </c>
      <c r="F216" s="2">
        <v>109.08110000000001</v>
      </c>
      <c r="G216" s="2" t="str">
        <f t="shared" si="12"/>
        <v>Pass</v>
      </c>
      <c r="Y216" s="2">
        <v>201</v>
      </c>
      <c r="Z216" s="2">
        <v>0.3337</v>
      </c>
      <c r="AA216" s="2">
        <v>0.34870000000000001</v>
      </c>
      <c r="AB216" s="2">
        <v>111.86579999999999</v>
      </c>
    </row>
    <row r="217" spans="2:28" x14ac:dyDescent="0.4">
      <c r="B217" s="11">
        <v>200</v>
      </c>
      <c r="C217" s="16">
        <f t="shared" si="13"/>
        <v>98.350929283056487</v>
      </c>
      <c r="D217" s="17">
        <f t="shared" si="15"/>
        <v>109.27881031450721</v>
      </c>
      <c r="E217" s="17">
        <f t="shared" si="14"/>
        <v>120.20669134595794</v>
      </c>
      <c r="F217" s="2">
        <v>110.6332</v>
      </c>
      <c r="G217" s="2" t="str">
        <f t="shared" si="12"/>
        <v>Pass</v>
      </c>
      <c r="Y217" s="2">
        <v>202</v>
      </c>
      <c r="Z217" s="2">
        <v>0.33479999999999999</v>
      </c>
      <c r="AA217" s="2">
        <v>0.35010000000000002</v>
      </c>
      <c r="AB217" s="2">
        <v>113.12390000000001</v>
      </c>
    </row>
    <row r="218" spans="2:28" x14ac:dyDescent="0.4">
      <c r="B218" s="11">
        <v>201</v>
      </c>
      <c r="C218" s="16">
        <f t="shared" si="13"/>
        <v>99.633064089130727</v>
      </c>
      <c r="D218" s="17">
        <f t="shared" si="15"/>
        <v>110.70340454347858</v>
      </c>
      <c r="E218" s="17">
        <f t="shared" si="14"/>
        <v>121.77374499782644</v>
      </c>
      <c r="F218" s="2">
        <v>111.86579999999999</v>
      </c>
      <c r="G218" s="2" t="str">
        <f t="shared" si="12"/>
        <v>Pass</v>
      </c>
      <c r="Y218" s="2">
        <v>203</v>
      </c>
      <c r="Z218" s="2">
        <v>0.33450000000000002</v>
      </c>
      <c r="AA218" s="2">
        <v>0.35</v>
      </c>
      <c r="AB218" s="2">
        <v>114.7133</v>
      </c>
    </row>
    <row r="219" spans="2:28" x14ac:dyDescent="0.4">
      <c r="B219" s="11">
        <v>202</v>
      </c>
      <c r="C219" s="16">
        <f t="shared" si="13"/>
        <v>100.92543339662717</v>
      </c>
      <c r="D219" s="17">
        <f t="shared" si="15"/>
        <v>112.13937044069685</v>
      </c>
      <c r="E219" s="17">
        <f t="shared" si="14"/>
        <v>123.35330748476653</v>
      </c>
      <c r="F219" s="2">
        <v>113.12390000000001</v>
      </c>
      <c r="G219" s="2" t="str">
        <f t="shared" si="12"/>
        <v>Pass</v>
      </c>
      <c r="Y219" s="2">
        <v>204</v>
      </c>
      <c r="Z219" s="2">
        <v>0.33439999999999998</v>
      </c>
      <c r="AA219" s="2">
        <v>0.3498</v>
      </c>
      <c r="AB219" s="2">
        <v>115.9195</v>
      </c>
    </row>
    <row r="220" spans="2:28" x14ac:dyDescent="0.4">
      <c r="B220" s="11">
        <v>203</v>
      </c>
      <c r="C220" s="16">
        <f t="shared" si="13"/>
        <v>102.22806768960977</v>
      </c>
      <c r="D220" s="17">
        <f t="shared" si="15"/>
        <v>113.5867418773442</v>
      </c>
      <c r="E220" s="17">
        <f t="shared" si="14"/>
        <v>124.94541606507862</v>
      </c>
      <c r="F220" s="2">
        <v>114.7133</v>
      </c>
      <c r="G220" s="2" t="str">
        <f t="shared" si="12"/>
        <v>Pass</v>
      </c>
      <c r="Y220" s="2">
        <v>205</v>
      </c>
      <c r="Z220" s="2">
        <v>0.3342</v>
      </c>
      <c r="AA220" s="2">
        <v>0.34960000000000002</v>
      </c>
      <c r="AB220" s="2">
        <v>117.4892</v>
      </c>
    </row>
    <row r="221" spans="2:28" x14ac:dyDescent="0.4">
      <c r="B221" s="11">
        <v>204</v>
      </c>
      <c r="C221" s="16">
        <f t="shared" si="13"/>
        <v>103.54099739190873</v>
      </c>
      <c r="D221" s="17">
        <f t="shared" si="15"/>
        <v>115.04555265767637</v>
      </c>
      <c r="E221" s="17">
        <f t="shared" si="14"/>
        <v>126.550107923444</v>
      </c>
      <c r="F221" s="2">
        <v>115.9195</v>
      </c>
      <c r="G221" s="2" t="str">
        <f t="shared" si="12"/>
        <v>Pass</v>
      </c>
      <c r="Y221" s="2">
        <v>206</v>
      </c>
      <c r="Z221" s="2">
        <v>0.33400000000000002</v>
      </c>
      <c r="AA221" s="2">
        <v>0.34949999999999998</v>
      </c>
      <c r="AB221" s="2">
        <v>118.639</v>
      </c>
    </row>
    <row r="222" spans="2:28" x14ac:dyDescent="0.4">
      <c r="B222" s="11">
        <v>205</v>
      </c>
      <c r="C222" s="16">
        <f t="shared" si="13"/>
        <v>104.86425286753483</v>
      </c>
      <c r="D222" s="17">
        <f t="shared" si="15"/>
        <v>116.51583651948314</v>
      </c>
      <c r="E222" s="17">
        <f t="shared" si="14"/>
        <v>128.16742017143144</v>
      </c>
      <c r="F222" s="2">
        <v>117.4892</v>
      </c>
      <c r="G222" s="2" t="str">
        <f t="shared" si="12"/>
        <v>Pass</v>
      </c>
      <c r="Y222" s="2">
        <v>207</v>
      </c>
      <c r="Z222" s="2">
        <v>0.33389999999999997</v>
      </c>
      <c r="AA222" s="2">
        <v>0.34920000000000001</v>
      </c>
      <c r="AB222" s="2">
        <v>119.9151</v>
      </c>
    </row>
    <row r="223" spans="2:28" x14ac:dyDescent="0.4">
      <c r="B223" s="11">
        <v>206</v>
      </c>
      <c r="C223" s="16">
        <f t="shared" si="13"/>
        <v>106.19786442108928</v>
      </c>
      <c r="D223" s="17">
        <f t="shared" si="15"/>
        <v>117.99762713454365</v>
      </c>
      <c r="E223" s="17">
        <f t="shared" si="14"/>
        <v>129.79738984799801</v>
      </c>
      <c r="F223" s="2">
        <v>118.639</v>
      </c>
      <c r="G223" s="2" t="str">
        <f t="shared" si="12"/>
        <v>Pass</v>
      </c>
      <c r="Y223" s="2">
        <v>208</v>
      </c>
      <c r="Z223" s="2">
        <v>0.33410000000000001</v>
      </c>
      <c r="AA223" s="2">
        <v>0.3488</v>
      </c>
      <c r="AB223" s="2">
        <v>122.05719999999999</v>
      </c>
    </row>
    <row r="224" spans="2:28" x14ac:dyDescent="0.4">
      <c r="B224" s="11">
        <v>207</v>
      </c>
      <c r="C224" s="16">
        <f t="shared" si="13"/>
        <v>107.5418622981685</v>
      </c>
      <c r="D224" s="17">
        <f t="shared" si="15"/>
        <v>119.4909581090761</v>
      </c>
      <c r="E224" s="17">
        <f t="shared" si="14"/>
        <v>131.44005391998371</v>
      </c>
      <c r="F224" s="2">
        <v>119.9151</v>
      </c>
      <c r="G224" s="2" t="str">
        <f t="shared" si="12"/>
        <v>Pass</v>
      </c>
      <c r="Y224" s="2">
        <v>209</v>
      </c>
      <c r="Z224" s="2">
        <v>0.33389999999999997</v>
      </c>
      <c r="AA224" s="2">
        <v>0.34839999999999999</v>
      </c>
      <c r="AB224" s="2">
        <v>123.4057</v>
      </c>
    </row>
    <row r="225" spans="2:28" x14ac:dyDescent="0.4">
      <c r="B225" s="11">
        <v>208</v>
      </c>
      <c r="C225" s="16">
        <f t="shared" si="13"/>
        <v>108.89627668576419</v>
      </c>
      <c r="D225" s="17">
        <f t="shared" si="15"/>
        <v>120.99586298418244</v>
      </c>
      <c r="E225" s="17">
        <f t="shared" si="14"/>
        <v>133.09544928260067</v>
      </c>
      <c r="F225" s="2">
        <v>122.05719999999999</v>
      </c>
      <c r="G225" s="2" t="str">
        <f t="shared" si="12"/>
        <v>Pass</v>
      </c>
      <c r="Y225" s="2">
        <v>210</v>
      </c>
      <c r="Z225" s="2">
        <v>0.33489999999999998</v>
      </c>
      <c r="AA225" s="2">
        <v>0.34960000000000002</v>
      </c>
      <c r="AB225" s="2">
        <v>124.58880000000001</v>
      </c>
    </row>
    <row r="226" spans="2:28" x14ac:dyDescent="0.4">
      <c r="B226" s="11">
        <v>209</v>
      </c>
      <c r="C226" s="16">
        <f t="shared" si="13"/>
        <v>110.26113771265911</v>
      </c>
      <c r="D226" s="17">
        <f t="shared" si="15"/>
        <v>122.51237523628789</v>
      </c>
      <c r="E226" s="17">
        <f t="shared" si="14"/>
        <v>134.7636127599167</v>
      </c>
      <c r="F226" s="2">
        <v>123.4057</v>
      </c>
      <c r="G226" s="2" t="str">
        <f t="shared" si="12"/>
        <v>Pass</v>
      </c>
      <c r="Y226" s="2">
        <v>211</v>
      </c>
      <c r="Z226" s="2">
        <v>0.33479999999999999</v>
      </c>
      <c r="AA226" s="2">
        <v>0.34949999999999998</v>
      </c>
      <c r="AB226" s="2">
        <v>126.2886</v>
      </c>
    </row>
    <row r="227" spans="2:28" x14ac:dyDescent="0.4">
      <c r="B227" s="11">
        <v>210</v>
      </c>
      <c r="C227" s="16">
        <f t="shared" si="13"/>
        <v>111.63647544981769</v>
      </c>
      <c r="D227" s="17">
        <f t="shared" si="15"/>
        <v>124.04052827757522</v>
      </c>
      <c r="E227" s="17">
        <f t="shared" si="14"/>
        <v>136.44458110533273</v>
      </c>
      <c r="F227" s="2">
        <v>124.58880000000001</v>
      </c>
      <c r="G227" s="2" t="str">
        <f t="shared" si="12"/>
        <v>Pass</v>
      </c>
      <c r="Y227" s="2">
        <v>212</v>
      </c>
      <c r="Z227" s="2">
        <v>0.3347</v>
      </c>
      <c r="AA227" s="2">
        <v>0.3493</v>
      </c>
      <c r="AB227" s="2">
        <v>127.5421</v>
      </c>
    </row>
    <row r="228" spans="2:28" x14ac:dyDescent="0.4">
      <c r="B228" s="11">
        <v>211</v>
      </c>
      <c r="C228" s="16">
        <f t="shared" si="13"/>
        <v>113.02231991077284</v>
      </c>
      <c r="D228" s="17">
        <f t="shared" si="15"/>
        <v>125.58035545641427</v>
      </c>
      <c r="E228" s="17">
        <f t="shared" si="14"/>
        <v>138.1383910020557</v>
      </c>
      <c r="F228" s="2">
        <v>126.2886</v>
      </c>
      <c r="G228" s="2" t="str">
        <f t="shared" si="12"/>
        <v>Pass</v>
      </c>
      <c r="Y228" s="2">
        <v>213</v>
      </c>
      <c r="Z228" s="2">
        <v>0.33450000000000002</v>
      </c>
      <c r="AA228" s="2">
        <v>0.34910000000000002</v>
      </c>
      <c r="AB228" s="2">
        <v>129.23509999999999</v>
      </c>
    </row>
    <row r="229" spans="2:28" x14ac:dyDescent="0.4">
      <c r="B229" s="11">
        <v>212</v>
      </c>
      <c r="C229" s="16">
        <f t="shared" si="13"/>
        <v>114.41870105200789</v>
      </c>
      <c r="D229" s="17">
        <f t="shared" si="15"/>
        <v>127.13189005778655</v>
      </c>
      <c r="E229" s="17">
        <f t="shared" si="14"/>
        <v>139.84507906356521</v>
      </c>
      <c r="F229" s="2">
        <v>127.5421</v>
      </c>
      <c r="G229" s="2" t="str">
        <f t="shared" si="12"/>
        <v>Pass</v>
      </c>
      <c r="Y229" s="2">
        <v>214</v>
      </c>
      <c r="Z229" s="2">
        <v>0.33429999999999999</v>
      </c>
      <c r="AA229" s="2">
        <v>0.34889999999999999</v>
      </c>
      <c r="AB229" s="2">
        <v>130.50489999999999</v>
      </c>
    </row>
    <row r="230" spans="2:28" x14ac:dyDescent="0.4">
      <c r="B230" s="11">
        <v>213</v>
      </c>
      <c r="C230" s="16">
        <f t="shared" si="13"/>
        <v>115.82564877333434</v>
      </c>
      <c r="D230" s="17">
        <f t="shared" si="15"/>
        <v>128.69516530370481</v>
      </c>
      <c r="E230" s="17">
        <f t="shared" si="14"/>
        <v>141.56468183407529</v>
      </c>
      <c r="F230" s="2">
        <v>129.23509999999999</v>
      </c>
      <c r="G230" s="2" t="str">
        <f t="shared" si="12"/>
        <v>Pass</v>
      </c>
      <c r="Y230" s="2">
        <v>215</v>
      </c>
      <c r="Z230" s="2">
        <v>0.3342</v>
      </c>
      <c r="AA230" s="2">
        <v>0.34870000000000001</v>
      </c>
      <c r="AB230" s="2">
        <v>131.78440000000001</v>
      </c>
    </row>
    <row r="231" spans="2:28" x14ac:dyDescent="0.4">
      <c r="B231" s="11">
        <v>214</v>
      </c>
      <c r="C231" s="16">
        <f t="shared" si="13"/>
        <v>117.24319291826531</v>
      </c>
      <c r="D231" s="17">
        <f t="shared" si="15"/>
        <v>130.27021435362812</v>
      </c>
      <c r="E231" s="17">
        <f t="shared" si="14"/>
        <v>143.29723578899092</v>
      </c>
      <c r="F231" s="2">
        <v>130.50489999999999</v>
      </c>
      <c r="G231" s="2" t="str">
        <f t="shared" si="12"/>
        <v>Pass</v>
      </c>
      <c r="Y231" s="2">
        <v>216</v>
      </c>
      <c r="Z231" s="2">
        <v>0.3352</v>
      </c>
      <c r="AA231" s="2">
        <v>0.3498</v>
      </c>
      <c r="AB231" s="2">
        <v>133.47970000000001</v>
      </c>
    </row>
    <row r="232" spans="2:28" x14ac:dyDescent="0.4">
      <c r="B232" s="11">
        <v>215</v>
      </c>
      <c r="C232" s="16">
        <f t="shared" si="13"/>
        <v>118.67136327438497</v>
      </c>
      <c r="D232" s="17">
        <f t="shared" si="15"/>
        <v>131.8570703048722</v>
      </c>
      <c r="E232" s="17">
        <f t="shared" si="14"/>
        <v>145.0427773353594</v>
      </c>
      <c r="F232" s="2">
        <v>131.78440000000001</v>
      </c>
      <c r="G232" s="2" t="str">
        <f t="shared" si="12"/>
        <v>Pass</v>
      </c>
      <c r="Y232" s="2">
        <v>217</v>
      </c>
      <c r="Z232" s="2">
        <v>0.33500000000000002</v>
      </c>
      <c r="AA232" s="2">
        <v>0.34960000000000002</v>
      </c>
      <c r="AB232" s="2">
        <v>135.25640000000001</v>
      </c>
    </row>
    <row r="233" spans="2:28" x14ac:dyDescent="0.4">
      <c r="B233" s="11">
        <v>216</v>
      </c>
      <c r="C233" s="16">
        <f t="shared" si="13"/>
        <v>120.11018957371344</v>
      </c>
      <c r="D233" s="17">
        <f t="shared" si="15"/>
        <v>133.45576619301494</v>
      </c>
      <c r="E233" s="17">
        <f t="shared" si="14"/>
        <v>146.80134281231642</v>
      </c>
      <c r="F233" s="2">
        <v>133.47970000000001</v>
      </c>
      <c r="G233" s="2" t="str">
        <f t="shared" si="12"/>
        <v>Pass</v>
      </c>
      <c r="Y233" s="2">
        <v>218</v>
      </c>
      <c r="Z233" s="2">
        <v>0.33479999999999999</v>
      </c>
      <c r="AA233" s="2">
        <v>0.34949999999999998</v>
      </c>
      <c r="AB233" s="2">
        <v>136.59030000000001</v>
      </c>
    </row>
    <row r="234" spans="2:28" x14ac:dyDescent="0.4">
      <c r="B234" s="11">
        <v>217</v>
      </c>
      <c r="C234" s="16">
        <f t="shared" si="13"/>
        <v>121.55970149306813</v>
      </c>
      <c r="D234" s="17">
        <f t="shared" si="15"/>
        <v>135.06633499229793</v>
      </c>
      <c r="E234" s="17">
        <f t="shared" si="14"/>
        <v>148.57296849152772</v>
      </c>
      <c r="F234" s="2">
        <v>135.25640000000001</v>
      </c>
      <c r="G234" s="2" t="str">
        <f t="shared" si="12"/>
        <v>Pass</v>
      </c>
      <c r="Y234" s="2">
        <v>219</v>
      </c>
      <c r="Z234" s="2">
        <v>0.3347</v>
      </c>
      <c r="AA234" s="2">
        <v>0.3493</v>
      </c>
      <c r="AB234" s="2">
        <v>138.3424</v>
      </c>
    </row>
    <row r="235" spans="2:28" x14ac:dyDescent="0.4">
      <c r="B235" s="11">
        <v>218</v>
      </c>
      <c r="C235" s="16">
        <f t="shared" si="13"/>
        <v>123.01992865442055</v>
      </c>
      <c r="D235" s="17">
        <f t="shared" si="15"/>
        <v>136.68880961602284</v>
      </c>
      <c r="E235" s="17">
        <f t="shared" si="14"/>
        <v>150.35769057762514</v>
      </c>
      <c r="F235" s="2">
        <v>136.59030000000001</v>
      </c>
      <c r="G235" s="2" t="str">
        <f t="shared" si="12"/>
        <v>Pass</v>
      </c>
      <c r="Y235" s="2">
        <v>220</v>
      </c>
      <c r="Z235" s="2">
        <v>0.33450000000000002</v>
      </c>
      <c r="AA235" s="2">
        <v>0.34920000000000001</v>
      </c>
      <c r="AB235" s="2">
        <v>139.67070000000001</v>
      </c>
    </row>
    <row r="236" spans="2:28" x14ac:dyDescent="0.4">
      <c r="B236" s="11">
        <v>219</v>
      </c>
      <c r="C236" s="16">
        <f t="shared" si="13"/>
        <v>124.49090062524969</v>
      </c>
      <c r="D236" s="17">
        <f t="shared" si="15"/>
        <v>138.3232229169441</v>
      </c>
      <c r="E236" s="17">
        <f t="shared" si="14"/>
        <v>152.1555452086385</v>
      </c>
      <c r="F236" s="2">
        <v>138.3424</v>
      </c>
      <c r="G236" s="2" t="str">
        <f t="shared" si="12"/>
        <v>Pass</v>
      </c>
      <c r="Y236" s="2">
        <v>221</v>
      </c>
      <c r="Z236" s="2">
        <v>0.33429999999999999</v>
      </c>
      <c r="AA236" s="2">
        <v>0.34899999999999998</v>
      </c>
      <c r="AB236" s="2">
        <v>141.4873</v>
      </c>
    </row>
    <row r="237" spans="2:28" x14ac:dyDescent="0.4">
      <c r="B237" s="11">
        <v>220</v>
      </c>
      <c r="C237" s="16">
        <f t="shared" si="13"/>
        <v>125.97264691889117</v>
      </c>
      <c r="D237" s="17">
        <f t="shared" si="15"/>
        <v>139.96960768765686</v>
      </c>
      <c r="E237" s="17">
        <f t="shared" si="14"/>
        <v>153.96656845642255</v>
      </c>
      <c r="F237" s="2">
        <v>139.67070000000001</v>
      </c>
      <c r="G237" s="2" t="str">
        <f t="shared" si="12"/>
        <v>Pass</v>
      </c>
      <c r="Y237" s="2">
        <v>222</v>
      </c>
      <c r="Z237" s="2">
        <v>0.33500000000000002</v>
      </c>
      <c r="AA237" s="2">
        <v>0.3493</v>
      </c>
      <c r="AB237" s="2">
        <v>143.19059999999999</v>
      </c>
    </row>
    <row r="238" spans="2:28" x14ac:dyDescent="0.4">
      <c r="B238" s="11">
        <v>221</v>
      </c>
      <c r="C238" s="16">
        <f t="shared" si="13"/>
        <v>127.4651969948825</v>
      </c>
      <c r="D238" s="17">
        <f t="shared" si="15"/>
        <v>141.62799666098056</v>
      </c>
      <c r="E238" s="17">
        <f t="shared" si="14"/>
        <v>155.79079632707862</v>
      </c>
      <c r="F238" s="2">
        <v>141.4873</v>
      </c>
      <c r="G238" s="2" t="str">
        <f t="shared" si="12"/>
        <v>Pass</v>
      </c>
      <c r="Y238" s="2">
        <v>223</v>
      </c>
      <c r="Z238" s="2">
        <v>0.33460000000000001</v>
      </c>
      <c r="AA238" s="2">
        <v>0.34910000000000002</v>
      </c>
      <c r="AB238" s="2">
        <v>144.4512</v>
      </c>
    </row>
    <row r="239" spans="2:28" x14ac:dyDescent="0.4">
      <c r="B239" s="11">
        <v>222</v>
      </c>
      <c r="C239" s="16">
        <f t="shared" si="13"/>
        <v>128.96858025930516</v>
      </c>
      <c r="D239" s="17">
        <f t="shared" si="15"/>
        <v>143.29842251033907</v>
      </c>
      <c r="E239" s="17">
        <f t="shared" si="14"/>
        <v>157.62826476137298</v>
      </c>
      <c r="F239" s="2">
        <v>143.19059999999999</v>
      </c>
      <c r="G239" s="2" t="str">
        <f t="shared" si="12"/>
        <v>Pass</v>
      </c>
      <c r="Y239" s="2">
        <v>224</v>
      </c>
      <c r="Z239" s="2">
        <v>0.33439999999999998</v>
      </c>
      <c r="AA239" s="2">
        <v>0.34889999999999999</v>
      </c>
      <c r="AB239" s="2">
        <v>146.27680000000001</v>
      </c>
    </row>
    <row r="240" spans="2:28" x14ac:dyDescent="0.4">
      <c r="B240" s="11">
        <v>223</v>
      </c>
      <c r="C240" s="16">
        <f t="shared" si="13"/>
        <v>130.48282606512214</v>
      </c>
      <c r="D240" s="17">
        <f t="shared" si="15"/>
        <v>144.98091785013571</v>
      </c>
      <c r="E240" s="17">
        <f t="shared" si="14"/>
        <v>159.47900963514928</v>
      </c>
      <c r="F240" s="2">
        <v>144.4512</v>
      </c>
      <c r="G240" s="2" t="str">
        <f t="shared" si="12"/>
        <v>Pass</v>
      </c>
      <c r="Y240" s="2">
        <v>225</v>
      </c>
      <c r="Z240" s="2">
        <v>0.33510000000000001</v>
      </c>
      <c r="AA240" s="2">
        <v>0.35110000000000002</v>
      </c>
      <c r="AB240" s="2">
        <v>148.6079</v>
      </c>
    </row>
    <row r="241" spans="2:28" x14ac:dyDescent="0.4">
      <c r="B241" s="11">
        <v>224</v>
      </c>
      <c r="C241" s="16">
        <f t="shared" si="13"/>
        <v>132.00796371251252</v>
      </c>
      <c r="D241" s="17">
        <f t="shared" si="15"/>
        <v>146.67551523612502</v>
      </c>
      <c r="E241" s="17">
        <f t="shared" si="14"/>
        <v>161.34306675973752</v>
      </c>
      <c r="F241" s="2">
        <v>146.27680000000001</v>
      </c>
      <c r="G241" s="2" t="str">
        <f t="shared" si="12"/>
        <v>Pass</v>
      </c>
      <c r="Y241" s="2">
        <v>226</v>
      </c>
      <c r="Z241" s="2">
        <v>0.33489999999999998</v>
      </c>
      <c r="AA241" s="2">
        <v>0.35089999999999999</v>
      </c>
      <c r="AB241" s="2">
        <v>150.50020000000001</v>
      </c>
    </row>
    <row r="242" spans="2:28" x14ac:dyDescent="0.4">
      <c r="B242" s="11">
        <v>225</v>
      </c>
      <c r="C242" s="16">
        <f t="shared" si="13"/>
        <v>133.54402244920215</v>
      </c>
      <c r="D242" s="17">
        <f t="shared" si="15"/>
        <v>148.38224716578017</v>
      </c>
      <c r="E242" s="17">
        <f t="shared" si="14"/>
        <v>163.2204718823582</v>
      </c>
      <c r="F242" s="2">
        <v>148.6079</v>
      </c>
      <c r="G242" s="2" t="str">
        <f t="shared" si="12"/>
        <v>Pass</v>
      </c>
      <c r="Y242" s="2">
        <v>227</v>
      </c>
      <c r="Z242" s="2">
        <v>0.3347</v>
      </c>
      <c r="AA242" s="2">
        <v>0.3508</v>
      </c>
      <c r="AB242" s="2">
        <v>151.89009999999999</v>
      </c>
    </row>
    <row r="243" spans="2:28" x14ac:dyDescent="0.4">
      <c r="B243" s="11">
        <v>226</v>
      </c>
      <c r="C243" s="16">
        <f t="shared" si="13"/>
        <v>135.09103147079074</v>
      </c>
      <c r="D243" s="17">
        <f t="shared" si="15"/>
        <v>150.10114607865637</v>
      </c>
      <c r="E243" s="17">
        <f t="shared" si="14"/>
        <v>165.111260686522</v>
      </c>
      <c r="F243" s="2">
        <v>150.50020000000001</v>
      </c>
      <c r="G243" s="2" t="str">
        <f t="shared" si="12"/>
        <v>Pass</v>
      </c>
      <c r="Y243" s="2">
        <v>228</v>
      </c>
      <c r="Z243" s="2">
        <v>0.3352</v>
      </c>
      <c r="AA243" s="2">
        <v>0.35039999999999999</v>
      </c>
      <c r="AB243" s="2">
        <v>153.69759999999999</v>
      </c>
    </row>
    <row r="244" spans="2:28" x14ac:dyDescent="0.4">
      <c r="B244" s="11">
        <v>227</v>
      </c>
      <c r="C244" s="16">
        <f t="shared" si="13"/>
        <v>136.64901992107568</v>
      </c>
      <c r="D244" s="17">
        <f t="shared" si="15"/>
        <v>151.83224435675075</v>
      </c>
      <c r="E244" s="17">
        <f t="shared" si="14"/>
        <v>167.01546879242582</v>
      </c>
      <c r="F244" s="2">
        <v>151.89009999999999</v>
      </c>
      <c r="G244" s="2" t="str">
        <f t="shared" si="12"/>
        <v>Pass</v>
      </c>
      <c r="Y244" s="2">
        <v>229</v>
      </c>
      <c r="Z244" s="2">
        <v>0.33500000000000002</v>
      </c>
      <c r="AA244" s="2">
        <v>0.3503</v>
      </c>
      <c r="AB244" s="2">
        <v>155.61080000000001</v>
      </c>
    </row>
    <row r="245" spans="2:28" x14ac:dyDescent="0.4">
      <c r="B245" s="11">
        <v>228</v>
      </c>
      <c r="C245" s="16">
        <f t="shared" si="13"/>
        <v>138.21801689237236</v>
      </c>
      <c r="D245" s="17">
        <f t="shared" si="15"/>
        <v>153.5755743248582</v>
      </c>
      <c r="E245" s="17">
        <f t="shared" si="14"/>
        <v>168.93313175734403</v>
      </c>
      <c r="F245" s="2">
        <v>153.69759999999999</v>
      </c>
      <c r="G245" s="2" t="str">
        <f t="shared" si="12"/>
        <v>Pass</v>
      </c>
      <c r="Y245" s="2">
        <v>230</v>
      </c>
      <c r="Z245" s="2">
        <v>0.33489999999999998</v>
      </c>
      <c r="AA245" s="2">
        <v>0.35020000000000001</v>
      </c>
      <c r="AB245" s="2">
        <v>157.01509999999999</v>
      </c>
    </row>
    <row r="246" spans="2:28" x14ac:dyDescent="0.4">
      <c r="B246" s="11">
        <v>229</v>
      </c>
      <c r="C246" s="16">
        <f t="shared" si="13"/>
        <v>139.79805142583101</v>
      </c>
      <c r="D246" s="17">
        <f t="shared" si="15"/>
        <v>155.33116825092333</v>
      </c>
      <c r="E246" s="17">
        <f t="shared" si="14"/>
        <v>170.86428507601565</v>
      </c>
      <c r="F246" s="2">
        <v>155.61080000000001</v>
      </c>
      <c r="G246" s="2" t="str">
        <f t="shared" si="12"/>
        <v>Pass</v>
      </c>
      <c r="Y246" s="2">
        <v>231</v>
      </c>
      <c r="Z246" s="2">
        <v>0.33460000000000001</v>
      </c>
      <c r="AA246" s="2">
        <v>0.34989999999999999</v>
      </c>
      <c r="AB246" s="2">
        <v>158.82759999999999</v>
      </c>
    </row>
    <row r="247" spans="2:28" x14ac:dyDescent="0.4">
      <c r="B247" s="11">
        <v>230</v>
      </c>
      <c r="C247" s="16">
        <f t="shared" si="13"/>
        <v>141.38915251175007</v>
      </c>
      <c r="D247" s="17">
        <f t="shared" si="15"/>
        <v>157.09905834638897</v>
      </c>
      <c r="E247" s="17">
        <f t="shared" si="14"/>
        <v>172.80896418102787</v>
      </c>
      <c r="F247" s="2">
        <v>157.01509999999999</v>
      </c>
      <c r="G247" s="2" t="str">
        <f t="shared" si="12"/>
        <v>Pass</v>
      </c>
      <c r="Y247" s="2">
        <v>232</v>
      </c>
      <c r="Z247" s="2">
        <v>0.3352</v>
      </c>
      <c r="AA247" s="2">
        <v>0.35039999999999999</v>
      </c>
      <c r="AB247" s="2">
        <v>160.7654</v>
      </c>
    </row>
    <row r="248" spans="2:28" x14ac:dyDescent="0.4">
      <c r="B248" s="11">
        <v>231</v>
      </c>
      <c r="C248" s="16">
        <f t="shared" si="13"/>
        <v>142.99134908988697</v>
      </c>
      <c r="D248" s="17">
        <f t="shared" si="15"/>
        <v>158.87927676654107</v>
      </c>
      <c r="E248" s="17">
        <f t="shared" si="14"/>
        <v>174.76720444319517</v>
      </c>
      <c r="F248" s="2">
        <v>158.82759999999999</v>
      </c>
      <c r="G248" s="2" t="str">
        <f t="shared" si="12"/>
        <v>Pass</v>
      </c>
      <c r="Y248" s="2">
        <v>233</v>
      </c>
      <c r="Z248" s="2">
        <v>0.33489999999999998</v>
      </c>
      <c r="AA248" s="2">
        <v>0.3503</v>
      </c>
      <c r="AB248" s="2">
        <v>162.1455</v>
      </c>
    </row>
    <row r="249" spans="2:28" x14ac:dyDescent="0.4">
      <c r="B249" s="11">
        <v>232</v>
      </c>
      <c r="C249" s="16">
        <f t="shared" si="13"/>
        <v>144.60467004976468</v>
      </c>
      <c r="D249" s="17">
        <f t="shared" si="15"/>
        <v>160.67185561084963</v>
      </c>
      <c r="E249" s="17">
        <f t="shared" si="14"/>
        <v>176.73904117193459</v>
      </c>
      <c r="F249" s="2">
        <v>160.7654</v>
      </c>
      <c r="G249" s="2" t="str">
        <f t="shared" si="12"/>
        <v>Pass</v>
      </c>
      <c r="Y249" s="2">
        <v>234</v>
      </c>
      <c r="Z249" s="2">
        <v>0.33460000000000001</v>
      </c>
      <c r="AA249" s="2">
        <v>0.35010000000000002</v>
      </c>
      <c r="AB249" s="2">
        <v>163.97739999999999</v>
      </c>
    </row>
    <row r="250" spans="2:28" x14ac:dyDescent="0.4">
      <c r="B250" s="11">
        <v>233</v>
      </c>
      <c r="C250" s="16">
        <f t="shared" si="13"/>
        <v>146.22914423097592</v>
      </c>
      <c r="D250" s="17">
        <f t="shared" si="15"/>
        <v>162.47682692330656</v>
      </c>
      <c r="E250" s="17">
        <f t="shared" si="14"/>
        <v>178.7245096156372</v>
      </c>
      <c r="F250" s="2">
        <v>162.1455</v>
      </c>
      <c r="G250" s="2" t="str">
        <f t="shared" si="12"/>
        <v>Pass</v>
      </c>
      <c r="Y250" s="2">
        <v>235</v>
      </c>
      <c r="Z250" s="2">
        <v>0.33450000000000002</v>
      </c>
      <c r="AA250" s="2">
        <v>0.35</v>
      </c>
      <c r="AB250" s="2">
        <v>165.42019999999999</v>
      </c>
    </row>
    <row r="251" spans="2:28" x14ac:dyDescent="0.4">
      <c r="B251" s="11">
        <v>234</v>
      </c>
      <c r="C251" s="16">
        <f t="shared" si="13"/>
        <v>147.86480042348362</v>
      </c>
      <c r="D251" s="17">
        <f t="shared" si="15"/>
        <v>164.29422269275958</v>
      </c>
      <c r="E251" s="17">
        <f t="shared" si="14"/>
        <v>180.72364496203554</v>
      </c>
      <c r="F251" s="2">
        <v>163.97739999999999</v>
      </c>
      <c r="G251" s="2" t="str">
        <f t="shared" si="12"/>
        <v>Pass</v>
      </c>
      <c r="Y251" s="2">
        <v>236</v>
      </c>
      <c r="Z251" s="2">
        <v>0.3357</v>
      </c>
      <c r="AA251" s="2">
        <v>0.35099999999999998</v>
      </c>
      <c r="AB251" s="2">
        <v>167.35409999999999</v>
      </c>
    </row>
    <row r="252" spans="2:28" x14ac:dyDescent="0.4">
      <c r="B252" s="11">
        <v>235</v>
      </c>
      <c r="C252" s="16">
        <f t="shared" si="13"/>
        <v>149.51166736791885</v>
      </c>
      <c r="D252" s="17">
        <f t="shared" si="15"/>
        <v>166.12407485324317</v>
      </c>
      <c r="E252" s="17">
        <f t="shared" si="14"/>
        <v>182.7364823385675</v>
      </c>
      <c r="F252" s="2">
        <v>165.42019999999999</v>
      </c>
      <c r="G252" s="2" t="str">
        <f t="shared" si="12"/>
        <v>Pass</v>
      </c>
      <c r="Y252" s="2">
        <v>237</v>
      </c>
      <c r="Z252" s="2">
        <v>0.33550000000000002</v>
      </c>
      <c r="AA252" s="2">
        <v>0.35149999999999998</v>
      </c>
      <c r="AB252" s="2">
        <v>170.31399999999999</v>
      </c>
    </row>
    <row r="253" spans="2:28" x14ac:dyDescent="0.4">
      <c r="B253" s="11">
        <v>236</v>
      </c>
      <c r="C253" s="16">
        <f t="shared" si="13"/>
        <v>151.16977375587533</v>
      </c>
      <c r="D253" s="17">
        <f t="shared" si="15"/>
        <v>167.96641528430592</v>
      </c>
      <c r="E253" s="17">
        <f t="shared" si="14"/>
        <v>184.76305681273652</v>
      </c>
      <c r="F253" s="2">
        <v>167.35409999999999</v>
      </c>
      <c r="G253" s="2" t="str">
        <f t="shared" si="12"/>
        <v>Pass</v>
      </c>
      <c r="Y253" s="2">
        <v>238</v>
      </c>
      <c r="Z253" s="2">
        <v>0.33539999999999998</v>
      </c>
      <c r="AA253" s="2">
        <v>0.3513</v>
      </c>
      <c r="AB253" s="2">
        <v>171.78139999999999</v>
      </c>
    </row>
    <row r="254" spans="2:28" x14ac:dyDescent="0.4">
      <c r="B254" s="11">
        <v>237</v>
      </c>
      <c r="C254" s="16">
        <f t="shared" si="13"/>
        <v>152.83914823020086</v>
      </c>
      <c r="D254" s="17">
        <f t="shared" si="15"/>
        <v>169.82127581133429</v>
      </c>
      <c r="E254" s="17">
        <f t="shared" si="14"/>
        <v>186.80340339246771</v>
      </c>
      <c r="F254" s="2">
        <v>170.31399999999999</v>
      </c>
      <c r="G254" s="2" t="str">
        <f t="shared" si="12"/>
        <v>Pass</v>
      </c>
      <c r="Y254" s="2">
        <v>239</v>
      </c>
      <c r="Z254" s="2">
        <v>0.3352</v>
      </c>
      <c r="AA254" s="2">
        <v>0.35099999999999998</v>
      </c>
      <c r="AB254" s="2">
        <v>173.69380000000001</v>
      </c>
    </row>
    <row r="255" spans="2:28" x14ac:dyDescent="0.4">
      <c r="B255" s="11">
        <v>238</v>
      </c>
      <c r="C255" s="16">
        <f t="shared" si="13"/>
        <v>154.51981938528618</v>
      </c>
      <c r="D255" s="17">
        <f t="shared" si="15"/>
        <v>171.68868820587355</v>
      </c>
      <c r="E255" s="17">
        <f t="shared" si="14"/>
        <v>188.85755702646091</v>
      </c>
      <c r="F255" s="2">
        <v>171.78139999999999</v>
      </c>
      <c r="G255" s="2" t="str">
        <f t="shared" si="12"/>
        <v>Pass</v>
      </c>
      <c r="Y255" s="2">
        <v>240</v>
      </c>
      <c r="Z255" s="2">
        <v>0.33529999999999999</v>
      </c>
      <c r="AA255" s="2">
        <v>0.35070000000000001</v>
      </c>
      <c r="AB255" s="2">
        <v>175.68039999999999</v>
      </c>
    </row>
    <row r="256" spans="2:28" x14ac:dyDescent="0.4">
      <c r="B256" s="11">
        <v>239</v>
      </c>
      <c r="C256" s="16">
        <f t="shared" si="13"/>
        <v>156.21181576735052</v>
      </c>
      <c r="D256" s="17">
        <f t="shared" si="15"/>
        <v>173.56868418594502</v>
      </c>
      <c r="E256" s="17">
        <f t="shared" si="14"/>
        <v>190.92555260453952</v>
      </c>
      <c r="F256" s="2">
        <v>173.69380000000001</v>
      </c>
      <c r="G256" s="2" t="str">
        <f t="shared" si="12"/>
        <v>Pass</v>
      </c>
      <c r="Y256" s="2">
        <v>241</v>
      </c>
      <c r="Z256" s="2">
        <v>0.3352</v>
      </c>
      <c r="AA256" s="2">
        <v>0.35060000000000002</v>
      </c>
      <c r="AB256" s="2">
        <v>177.15100000000001</v>
      </c>
    </row>
    <row r="257" spans="2:28" x14ac:dyDescent="0.4">
      <c r="B257" s="11">
        <v>240</v>
      </c>
      <c r="C257" s="16">
        <f t="shared" si="13"/>
        <v>157.91516587472455</v>
      </c>
      <c r="D257" s="17">
        <f t="shared" si="15"/>
        <v>175.46129541636063</v>
      </c>
      <c r="E257" s="17">
        <f t="shared" si="14"/>
        <v>193.0074249579967</v>
      </c>
      <c r="F257" s="2">
        <v>175.68039999999999</v>
      </c>
      <c r="G257" s="2" t="str">
        <f t="shared" si="12"/>
        <v>Pass</v>
      </c>
      <c r="Y257" s="2">
        <v>242</v>
      </c>
      <c r="Z257" s="2">
        <v>0.33489999999999998</v>
      </c>
      <c r="AA257" s="2">
        <v>0.35039999999999999</v>
      </c>
      <c r="AB257" s="2">
        <v>179.0933</v>
      </c>
    </row>
    <row r="258" spans="2:28" x14ac:dyDescent="0.4">
      <c r="B258" s="11">
        <v>241</v>
      </c>
      <c r="C258" s="16">
        <f t="shared" si="13"/>
        <v>159.6298981581304</v>
      </c>
      <c r="D258" s="17">
        <f t="shared" si="15"/>
        <v>177.36655350903379</v>
      </c>
      <c r="E258" s="17">
        <f t="shared" si="14"/>
        <v>195.10320885993718</v>
      </c>
      <c r="F258" s="2">
        <v>177.15100000000001</v>
      </c>
      <c r="G258" s="2" t="str">
        <f t="shared" si="12"/>
        <v>Pass</v>
      </c>
      <c r="Y258" s="2">
        <v>243</v>
      </c>
      <c r="Z258" s="2">
        <v>0.3347</v>
      </c>
      <c r="AA258" s="2">
        <v>0.35020000000000001</v>
      </c>
      <c r="AB258" s="2">
        <v>180.58260000000001</v>
      </c>
    </row>
    <row r="259" spans="2:28" x14ac:dyDescent="0.4">
      <c r="B259" s="11">
        <v>242</v>
      </c>
      <c r="C259" s="16">
        <f t="shared" si="13"/>
        <v>161.35604102095863</v>
      </c>
      <c r="D259" s="17">
        <f t="shared" si="15"/>
        <v>179.28449002328736</v>
      </c>
      <c r="E259" s="17">
        <f t="shared" si="14"/>
        <v>197.21293902561609</v>
      </c>
      <c r="F259" s="2">
        <v>179.0933</v>
      </c>
      <c r="G259" s="2" t="str">
        <f t="shared" si="12"/>
        <v>Pass</v>
      </c>
      <c r="Y259" s="2">
        <v>244</v>
      </c>
      <c r="Z259" s="2">
        <v>0.33579999999999999</v>
      </c>
      <c r="AA259" s="2">
        <v>0.35039999999999999</v>
      </c>
      <c r="AB259" s="2">
        <v>182.7304</v>
      </c>
    </row>
    <row r="260" spans="2:28" x14ac:dyDescent="0.4">
      <c r="B260" s="11">
        <v>243</v>
      </c>
      <c r="C260" s="16">
        <f t="shared" si="13"/>
        <v>163.09362281954307</v>
      </c>
      <c r="D260" s="17">
        <f t="shared" si="15"/>
        <v>181.21513646615898</v>
      </c>
      <c r="E260" s="17">
        <f t="shared" si="14"/>
        <v>199.33665011277489</v>
      </c>
      <c r="F260" s="2">
        <v>180.58260000000001</v>
      </c>
      <c r="G260" s="2" t="str">
        <f t="shared" si="12"/>
        <v>Pass</v>
      </c>
      <c r="Y260" s="2">
        <v>245</v>
      </c>
      <c r="Z260" s="2">
        <v>0.33550000000000002</v>
      </c>
      <c r="AA260" s="2">
        <v>0.35020000000000001</v>
      </c>
      <c r="AB260" s="2">
        <v>184.73609999999999</v>
      </c>
    </row>
    <row r="261" spans="2:28" x14ac:dyDescent="0.4">
      <c r="B261" s="11">
        <v>244</v>
      </c>
      <c r="C261" s="16">
        <f t="shared" si="13"/>
        <v>164.84267186343232</v>
      </c>
      <c r="D261" s="17">
        <f t="shared" si="15"/>
        <v>183.15852429270257</v>
      </c>
      <c r="E261" s="17">
        <f t="shared" si="14"/>
        <v>201.47437672197282</v>
      </c>
      <c r="F261" s="2">
        <v>182.7304</v>
      </c>
      <c r="G261" s="2" t="str">
        <f t="shared" si="12"/>
        <v>Pass</v>
      </c>
      <c r="Y261" s="2">
        <v>246</v>
      </c>
      <c r="Z261" s="2">
        <v>0.3352</v>
      </c>
      <c r="AA261" s="2">
        <v>0.35</v>
      </c>
      <c r="AB261" s="2">
        <v>186.1361</v>
      </c>
    </row>
    <row r="262" spans="2:28" x14ac:dyDescent="0.4">
      <c r="B262" s="11">
        <v>245</v>
      </c>
      <c r="C262" s="16">
        <f t="shared" si="13"/>
        <v>166.60321641565875</v>
      </c>
      <c r="D262" s="17">
        <f t="shared" si="15"/>
        <v>185.11468490628749</v>
      </c>
      <c r="E262" s="17">
        <f t="shared" si="14"/>
        <v>203.62615339691624</v>
      </c>
      <c r="F262" s="2">
        <v>184.73609999999999</v>
      </c>
      <c r="G262" s="2" t="str">
        <f t="shared" si="12"/>
        <v>Pass</v>
      </c>
      <c r="Y262" s="2">
        <v>247</v>
      </c>
      <c r="Z262" s="2">
        <v>0.33479999999999999</v>
      </c>
      <c r="AA262" s="2">
        <v>0.34949999999999998</v>
      </c>
      <c r="AB262" s="2">
        <v>187.74170000000001</v>
      </c>
    </row>
    <row r="263" spans="2:28" x14ac:dyDescent="0.4">
      <c r="B263" s="11">
        <v>246</v>
      </c>
      <c r="C263" s="16">
        <f t="shared" si="13"/>
        <v>168.37528469300511</v>
      </c>
      <c r="D263" s="17">
        <f t="shared" si="15"/>
        <v>187.08364965889456</v>
      </c>
      <c r="E263" s="17">
        <f t="shared" si="14"/>
        <v>205.792014624784</v>
      </c>
      <c r="F263" s="2">
        <v>186.1361</v>
      </c>
      <c r="G263" s="2" t="str">
        <f t="shared" si="12"/>
        <v>Pass</v>
      </c>
      <c r="Y263" s="2">
        <v>248</v>
      </c>
      <c r="Z263" s="2">
        <v>0.33450000000000002</v>
      </c>
      <c r="AA263" s="2">
        <v>0.35089999999999999</v>
      </c>
      <c r="AB263" s="2">
        <v>190.78960000000001</v>
      </c>
    </row>
    <row r="264" spans="2:28" x14ac:dyDescent="0.4">
      <c r="B264" s="11">
        <v>247</v>
      </c>
      <c r="C264" s="16">
        <f t="shared" si="13"/>
        <v>170.1589048662683</v>
      </c>
      <c r="D264" s="17">
        <f t="shared" si="15"/>
        <v>189.06544985140923</v>
      </c>
      <c r="E264" s="17">
        <f t="shared" si="14"/>
        <v>207.97199483655015</v>
      </c>
      <c r="F264" s="2">
        <v>187.74170000000001</v>
      </c>
      <c r="G264" s="2" t="str">
        <f t="shared" si="12"/>
        <v>Pass</v>
      </c>
      <c r="Y264" s="2">
        <v>249</v>
      </c>
      <c r="Z264" s="2">
        <v>0.33439999999999998</v>
      </c>
      <c r="AA264" s="2">
        <v>0.35149999999999998</v>
      </c>
      <c r="AB264" s="2">
        <v>192.1953</v>
      </c>
    </row>
    <row r="265" spans="2:28" x14ac:dyDescent="0.4">
      <c r="B265" s="11">
        <v>248</v>
      </c>
      <c r="C265" s="16">
        <f t="shared" si="13"/>
        <v>171.95410506052048</v>
      </c>
      <c r="D265" s="17">
        <f t="shared" si="15"/>
        <v>191.06011673391163</v>
      </c>
      <c r="E265" s="17">
        <f t="shared" si="14"/>
        <v>210.16612840730278</v>
      </c>
      <c r="F265" s="2">
        <v>190.78960000000001</v>
      </c>
      <c r="G265" s="2" t="str">
        <f t="shared" si="12"/>
        <v>Pass</v>
      </c>
      <c r="Y265" s="2">
        <v>250</v>
      </c>
      <c r="Z265" s="2">
        <v>0.33500000000000002</v>
      </c>
      <c r="AA265" s="2">
        <v>0.35170000000000001</v>
      </c>
      <c r="AB265" s="2">
        <v>194.81950000000001</v>
      </c>
    </row>
    <row r="266" spans="2:28" x14ac:dyDescent="0.4">
      <c r="B266" s="11">
        <v>249</v>
      </c>
      <c r="C266" s="16">
        <f t="shared" si="13"/>
        <v>173.76091335536793</v>
      </c>
      <c r="D266" s="17">
        <f t="shared" si="15"/>
        <v>193.06768150596437</v>
      </c>
      <c r="E266" s="17">
        <f t="shared" si="14"/>
        <v>212.37444965656081</v>
      </c>
      <c r="F266" s="2">
        <v>192.1953</v>
      </c>
      <c r="G266" s="2" t="str">
        <f t="shared" si="12"/>
        <v>Pass</v>
      </c>
      <c r="Y266" s="2">
        <v>251</v>
      </c>
      <c r="Z266" s="2">
        <v>0.33500000000000002</v>
      </c>
      <c r="AA266" s="2">
        <v>0.35149999999999998</v>
      </c>
      <c r="AB266" s="2">
        <v>196.57730000000001</v>
      </c>
    </row>
    <row r="267" spans="2:28" x14ac:dyDescent="0.4">
      <c r="B267" s="11">
        <v>250</v>
      </c>
      <c r="C267" s="16">
        <f t="shared" si="13"/>
        <v>175.57935778520712</v>
      </c>
      <c r="D267" s="17">
        <f t="shared" si="15"/>
        <v>195.08817531689681</v>
      </c>
      <c r="E267" s="17">
        <f t="shared" si="14"/>
        <v>214.5969928485865</v>
      </c>
      <c r="F267" s="2">
        <v>194.81950000000001</v>
      </c>
      <c r="G267" s="2" t="str">
        <f t="shared" si="12"/>
        <v>Pass</v>
      </c>
      <c r="Y267" s="2">
        <v>252</v>
      </c>
      <c r="Z267" s="2">
        <v>0.33529999999999999</v>
      </c>
      <c r="AA267" s="2">
        <v>0.35139999999999999</v>
      </c>
      <c r="AB267" s="2">
        <v>198.50829999999999</v>
      </c>
    </row>
    <row r="268" spans="2:28" x14ac:dyDescent="0.4">
      <c r="B268" s="11">
        <v>251</v>
      </c>
      <c r="C268" s="16">
        <f t="shared" si="13"/>
        <v>177.40946633947863</v>
      </c>
      <c r="D268" s="17">
        <f t="shared" si="15"/>
        <v>197.12162926608735</v>
      </c>
      <c r="E268" s="17">
        <f t="shared" si="14"/>
        <v>216.83379219269608</v>
      </c>
      <c r="F268" s="2">
        <v>196.57730000000001</v>
      </c>
      <c r="G268" s="2" t="str">
        <f t="shared" si="12"/>
        <v>Pass</v>
      </c>
      <c r="Y268" s="2">
        <v>253</v>
      </c>
      <c r="Z268" s="2">
        <v>0.3357</v>
      </c>
      <c r="AA268" s="2">
        <v>0.35120000000000001</v>
      </c>
      <c r="AB268" s="2">
        <v>201.03819999999999</v>
      </c>
    </row>
    <row r="269" spans="2:28" x14ac:dyDescent="0.4">
      <c r="B269" s="11">
        <v>252</v>
      </c>
      <c r="C269" s="16">
        <f t="shared" si="13"/>
        <v>179.25126696291827</v>
      </c>
      <c r="D269" s="17">
        <f t="shared" si="15"/>
        <v>199.16807440324251</v>
      </c>
      <c r="E269" s="17">
        <f t="shared" si="14"/>
        <v>219.08488184356676</v>
      </c>
      <c r="F269" s="2">
        <v>198.50829999999999</v>
      </c>
      <c r="G269" s="2" t="str">
        <f t="shared" si="12"/>
        <v>Pass</v>
      </c>
      <c r="Y269" s="2">
        <v>254</v>
      </c>
      <c r="Z269" s="2">
        <v>0.3357</v>
      </c>
      <c r="AA269" s="2">
        <v>0.35099999999999998</v>
      </c>
      <c r="AB269" s="2">
        <v>202.82310000000001</v>
      </c>
    </row>
    <row r="270" spans="2:28" x14ac:dyDescent="0.4">
      <c r="B270" s="11">
        <v>253</v>
      </c>
      <c r="C270" s="16">
        <f t="shared" si="13"/>
        <v>181.10478755580615</v>
      </c>
      <c r="D270" s="17">
        <f t="shared" si="15"/>
        <v>201.22754172867351</v>
      </c>
      <c r="E270" s="17">
        <f t="shared" si="14"/>
        <v>221.35029590154087</v>
      </c>
      <c r="F270" s="2">
        <v>201.03819999999999</v>
      </c>
      <c r="G270" s="2" t="str">
        <f t="shared" si="12"/>
        <v>Pass</v>
      </c>
      <c r="Y270" s="2">
        <v>255</v>
      </c>
      <c r="Z270" s="2">
        <v>0.33589999999999998</v>
      </c>
      <c r="AA270" s="2">
        <v>0.35049999999999998</v>
      </c>
      <c r="AB270" s="2">
        <v>204.88329999999999</v>
      </c>
    </row>
    <row r="271" spans="2:28" x14ac:dyDescent="0.4">
      <c r="B271" s="11">
        <v>254</v>
      </c>
      <c r="C271" s="16">
        <f t="shared" si="13"/>
        <v>182.97005597421327</v>
      </c>
      <c r="D271" s="17">
        <f t="shared" si="15"/>
        <v>203.30006219357031</v>
      </c>
      <c r="E271" s="17">
        <f t="shared" si="14"/>
        <v>223.63006841292736</v>
      </c>
      <c r="F271" s="2">
        <v>202.82310000000001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43</v>
      </c>
    </row>
    <row r="272" spans="2:28" x14ac:dyDescent="0.4">
      <c r="B272" s="11">
        <v>255</v>
      </c>
      <c r="C272" s="16">
        <f t="shared" si="13"/>
        <v>184.39497</v>
      </c>
      <c r="D272" s="18">
        <f>C12</f>
        <v>204.88329999999999</v>
      </c>
      <c r="E272" s="17">
        <f t="shared" si="14"/>
        <v>225.37162999999998</v>
      </c>
      <c r="F272" s="2">
        <v>204.88329999999999</v>
      </c>
      <c r="G272" s="2" t="str">
        <f t="shared" si="12"/>
        <v>Pass</v>
      </c>
    </row>
  </sheetData>
  <protectedRanges>
    <protectedRange password="EBF1" sqref="C2:D2 C4:D4" name="範圍1_2"/>
    <protectedRange password="EBF1" sqref="C11:C13" name="範圍1_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5" priority="1" operator="equal">
      <formula>"Fail"</formula>
    </cfRule>
    <cfRule type="cellIs" dxfId="4" priority="2" operator="equal">
      <formula>"Pass"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B8FB-F928-47F4-B905-C854BBD4EAD8}">
  <dimension ref="B2:AB272"/>
  <sheetViews>
    <sheetView topLeftCell="A10" zoomScale="70" zoomScaleNormal="70" workbookViewId="0">
      <selection activeCell="N60" sqref="N60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45736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0.24590000000000001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203.4008</v>
      </c>
      <c r="D12" s="4" t="s">
        <v>9</v>
      </c>
      <c r="E12" s="4"/>
      <c r="Y12" s="9" t="s">
        <v>36</v>
      </c>
    </row>
    <row r="13" spans="2:28" x14ac:dyDescent="0.4">
      <c r="B13" s="1" t="s">
        <v>11</v>
      </c>
      <c r="C13" s="8">
        <v>2.2000000000000002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0.27179999999999999</v>
      </c>
      <c r="AA15" s="2">
        <v>0.27460000000000001</v>
      </c>
      <c r="AB15" s="2">
        <v>0.24590000000000001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0.27089999999999997</v>
      </c>
      <c r="AA16" s="2">
        <v>0.27489999999999998</v>
      </c>
      <c r="AB16" s="2">
        <v>0.2462</v>
      </c>
    </row>
    <row r="17" spans="2:28" ht="17.5" thickTop="1" x14ac:dyDescent="0.4">
      <c r="B17" s="11">
        <v>0</v>
      </c>
      <c r="C17" s="16">
        <f>D17-D17*(C$14/100)</f>
        <v>4.2449788662011416E-5</v>
      </c>
      <c r="D17" s="17">
        <f>D$272*((B17+F$17)/B$272)^C$13</f>
        <v>4.7166431846679349E-5</v>
      </c>
      <c r="E17" s="17">
        <f>D17+D17*(C$14/100)</f>
        <v>5.1883075031347283E-5</v>
      </c>
      <c r="F17" s="2">
        <v>0.24590000000000001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0.2712</v>
      </c>
      <c r="AA17" s="2">
        <v>0.27429999999999999</v>
      </c>
      <c r="AB17" s="2">
        <v>0.246</v>
      </c>
    </row>
    <row r="18" spans="2:28" x14ac:dyDescent="0.4">
      <c r="B18" s="11">
        <v>1</v>
      </c>
      <c r="C18" s="16">
        <f t="shared" ref="C18:C81" si="1">D18-D18*(C$14/100)</f>
        <v>1.5075432414635359E-3</v>
      </c>
      <c r="D18" s="17">
        <f>D$272*((B18+F$17)/B$272)^C$13</f>
        <v>1.6750480460705954E-3</v>
      </c>
      <c r="E18" s="17">
        <f t="shared" ref="E18:E81" si="2">D18+D18*(C$14/100)</f>
        <v>1.842552850677655E-3</v>
      </c>
      <c r="F18" s="2">
        <v>0.2462</v>
      </c>
      <c r="G18" s="2" t="str">
        <f t="shared" si="0"/>
        <v>Fail</v>
      </c>
      <c r="Y18" s="2">
        <v>3</v>
      </c>
      <c r="Z18" s="2">
        <v>0.27479999999999999</v>
      </c>
      <c r="AA18" s="2">
        <v>0.28239999999999998</v>
      </c>
      <c r="AB18" s="2">
        <v>0.2606</v>
      </c>
    </row>
    <row r="19" spans="2:28" x14ac:dyDescent="0.4">
      <c r="B19" s="11">
        <v>2</v>
      </c>
      <c r="C19" s="16">
        <f t="shared" si="1"/>
        <v>5.5114475974501597E-3</v>
      </c>
      <c r="D19" s="17">
        <f t="shared" ref="D19:D82" si="3">D$272*((B19+F$17)/B$272)^C$13</f>
        <v>6.123830663833511E-3</v>
      </c>
      <c r="E19" s="17">
        <f t="shared" si="2"/>
        <v>6.7362137302168622E-3</v>
      </c>
      <c r="F19" s="2">
        <v>0.246</v>
      </c>
      <c r="G19" s="2" t="str">
        <f t="shared" si="0"/>
        <v>Fail</v>
      </c>
      <c r="Y19" s="2">
        <v>4</v>
      </c>
      <c r="Z19" s="2">
        <v>0.27589999999999998</v>
      </c>
      <c r="AA19" s="2">
        <v>0.2873</v>
      </c>
      <c r="AB19" s="2">
        <v>0.28010000000000002</v>
      </c>
    </row>
    <row r="20" spans="2:28" x14ac:dyDescent="0.4">
      <c r="B20" s="11">
        <v>3</v>
      </c>
      <c r="C20" s="16">
        <f t="shared" si="1"/>
        <v>1.2392075998385177E-2</v>
      </c>
      <c r="D20" s="17">
        <f t="shared" si="3"/>
        <v>1.3768973331539086E-2</v>
      </c>
      <c r="E20" s="17">
        <f t="shared" si="2"/>
        <v>1.5145870664692996E-2</v>
      </c>
      <c r="F20" s="2">
        <v>0.2606</v>
      </c>
      <c r="G20" s="2" t="str">
        <f t="shared" si="0"/>
        <v>Fail</v>
      </c>
      <c r="Y20" s="2">
        <v>5</v>
      </c>
      <c r="Z20" s="2">
        <v>0.27500000000000002</v>
      </c>
      <c r="AA20" s="2">
        <v>0.27739999999999998</v>
      </c>
      <c r="AB20" s="2">
        <v>0.28560000000000002</v>
      </c>
    </row>
    <row r="21" spans="2:28" x14ac:dyDescent="0.4">
      <c r="B21" s="11">
        <v>4</v>
      </c>
      <c r="C21" s="16">
        <f t="shared" si="1"/>
        <v>2.23738253812573E-2</v>
      </c>
      <c r="D21" s="17">
        <f t="shared" si="3"/>
        <v>2.4859805979174778E-2</v>
      </c>
      <c r="E21" s="17">
        <f t="shared" si="2"/>
        <v>2.7345786577092256E-2</v>
      </c>
      <c r="F21" s="2">
        <v>0.28010000000000002</v>
      </c>
      <c r="G21" s="2" t="str">
        <f t="shared" si="0"/>
        <v>Fail</v>
      </c>
      <c r="Y21" s="2">
        <v>6</v>
      </c>
      <c r="Z21" s="2">
        <v>0.28079999999999999</v>
      </c>
      <c r="AA21" s="2">
        <v>0.28520000000000001</v>
      </c>
      <c r="AB21" s="2">
        <v>0.30159999999999998</v>
      </c>
    </row>
    <row r="22" spans="2:28" x14ac:dyDescent="0.4">
      <c r="B22" s="11">
        <v>5</v>
      </c>
      <c r="C22" s="16">
        <f t="shared" si="1"/>
        <v>3.5629586807212399E-2</v>
      </c>
      <c r="D22" s="17">
        <f t="shared" si="3"/>
        <v>3.9588429785791558E-2</v>
      </c>
      <c r="E22" s="17">
        <f t="shared" si="2"/>
        <v>4.3547272764370717E-2</v>
      </c>
      <c r="F22" s="2">
        <v>0.28560000000000002</v>
      </c>
      <c r="G22" s="2" t="str">
        <f t="shared" si="0"/>
        <v>Fail</v>
      </c>
      <c r="Y22" s="2">
        <v>7</v>
      </c>
      <c r="Z22" s="2">
        <v>0.27789999999999998</v>
      </c>
      <c r="AA22" s="2">
        <v>0.28610000000000002</v>
      </c>
      <c r="AB22" s="2">
        <v>0.31719999999999998</v>
      </c>
    </row>
    <row r="23" spans="2:28" x14ac:dyDescent="0.4">
      <c r="B23" s="11">
        <v>6</v>
      </c>
      <c r="C23" s="16">
        <f t="shared" si="1"/>
        <v>5.2301702723140962E-2</v>
      </c>
      <c r="D23" s="17">
        <f t="shared" si="3"/>
        <v>5.8113003025712179E-2</v>
      </c>
      <c r="E23" s="17">
        <f t="shared" si="2"/>
        <v>6.3924303328283402E-2</v>
      </c>
      <c r="F23" s="2">
        <v>0.30159999999999998</v>
      </c>
      <c r="G23" s="2" t="str">
        <f t="shared" si="0"/>
        <v>Fail</v>
      </c>
      <c r="Y23" s="2">
        <v>8</v>
      </c>
      <c r="Z23" s="2">
        <v>0.28639999999999999</v>
      </c>
      <c r="AA23" s="2">
        <v>0.30080000000000001</v>
      </c>
      <c r="AB23" s="2">
        <v>0.34899999999999998</v>
      </c>
    </row>
    <row r="24" spans="2:28" x14ac:dyDescent="0.4">
      <c r="B24" s="11">
        <v>7</v>
      </c>
      <c r="C24" s="16">
        <f t="shared" si="1"/>
        <v>7.2512004130694876E-2</v>
      </c>
      <c r="D24" s="17">
        <f t="shared" si="3"/>
        <v>8.0568893478549869E-2</v>
      </c>
      <c r="E24" s="17">
        <f t="shared" si="2"/>
        <v>8.8625782826404861E-2</v>
      </c>
      <c r="F24" s="2">
        <v>0.31719999999999998</v>
      </c>
      <c r="G24" s="2" t="str">
        <f t="shared" si="0"/>
        <v>Fail</v>
      </c>
      <c r="Y24" s="2">
        <v>9</v>
      </c>
      <c r="Z24" s="2">
        <v>0.28249999999999997</v>
      </c>
      <c r="AA24" s="2">
        <v>0.2903</v>
      </c>
      <c r="AB24" s="2">
        <v>0.35930000000000001</v>
      </c>
    </row>
    <row r="25" spans="2:28" x14ac:dyDescent="0.4">
      <c r="B25" s="11">
        <v>8</v>
      </c>
      <c r="C25" s="16">
        <f t="shared" si="1"/>
        <v>9.6367481549279627E-2</v>
      </c>
      <c r="D25" s="17">
        <f t="shared" si="3"/>
        <v>0.10707497949919959</v>
      </c>
      <c r="E25" s="17">
        <f t="shared" si="2"/>
        <v>0.11778247744911954</v>
      </c>
      <c r="F25" s="2">
        <v>0.34899999999999998</v>
      </c>
      <c r="G25" s="2" t="str">
        <f t="shared" si="0"/>
        <v>Fail</v>
      </c>
      <c r="Y25" s="2">
        <v>10</v>
      </c>
      <c r="Z25" s="2">
        <v>0.28799999999999998</v>
      </c>
      <c r="AA25" s="2">
        <v>0.30480000000000002</v>
      </c>
      <c r="AB25" s="2">
        <v>0.39450000000000002</v>
      </c>
    </row>
    <row r="26" spans="2:28" x14ac:dyDescent="0.4">
      <c r="B26" s="11">
        <v>9</v>
      </c>
      <c r="C26" s="16">
        <f t="shared" si="1"/>
        <v>0.12396383164336992</v>
      </c>
      <c r="D26" s="17">
        <f t="shared" si="3"/>
        <v>0.13773759071485547</v>
      </c>
      <c r="E26" s="17">
        <f t="shared" si="2"/>
        <v>0.15151134978634101</v>
      </c>
      <c r="F26" s="2">
        <v>0.35930000000000001</v>
      </c>
      <c r="G26" s="2" t="str">
        <f t="shared" si="0"/>
        <v>Fail</v>
      </c>
      <c r="Y26" s="2">
        <v>11</v>
      </c>
      <c r="Z26" s="2">
        <v>0.29170000000000001</v>
      </c>
      <c r="AA26" s="2">
        <v>0.308</v>
      </c>
      <c r="AB26" s="2">
        <v>0.43140000000000001</v>
      </c>
    </row>
    <row r="27" spans="2:28" x14ac:dyDescent="0.4">
      <c r="B27" s="11">
        <v>10</v>
      </c>
      <c r="C27" s="16">
        <f t="shared" si="1"/>
        <v>0.15538783561251754</v>
      </c>
      <c r="D27" s="17">
        <f t="shared" si="3"/>
        <v>0.17265315068057505</v>
      </c>
      <c r="E27" s="17">
        <f t="shared" si="2"/>
        <v>0.18991846574863255</v>
      </c>
      <c r="F27" s="2">
        <v>0.39450000000000002</v>
      </c>
      <c r="G27" s="2" t="str">
        <f t="shared" si="0"/>
        <v>Fail</v>
      </c>
      <c r="Y27" s="2">
        <v>12</v>
      </c>
      <c r="Z27" s="2">
        <v>0.29549999999999998</v>
      </c>
      <c r="AA27" s="2">
        <v>0.311</v>
      </c>
      <c r="AB27" s="2">
        <v>0.48170000000000002</v>
      </c>
    </row>
    <row r="28" spans="2:28" x14ac:dyDescent="0.4">
      <c r="B28" s="11">
        <v>11</v>
      </c>
      <c r="C28" s="16">
        <f t="shared" si="1"/>
        <v>0.19071903800275886</v>
      </c>
      <c r="D28" s="17">
        <f t="shared" si="3"/>
        <v>0.21191004222528761</v>
      </c>
      <c r="E28" s="17">
        <f t="shared" si="2"/>
        <v>0.23310104644781637</v>
      </c>
      <c r="F28" s="2">
        <v>0.43140000000000001</v>
      </c>
      <c r="G28" s="2" t="str">
        <f t="shared" si="0"/>
        <v>Fail</v>
      </c>
      <c r="Y28" s="2">
        <v>13</v>
      </c>
      <c r="Z28" s="2">
        <v>0.30349999999999999</v>
      </c>
      <c r="AA28" s="2">
        <v>0.32819999999999999</v>
      </c>
      <c r="AB28" s="2">
        <v>0.54330000000000001</v>
      </c>
    </row>
    <row r="29" spans="2:28" x14ac:dyDescent="0.4">
      <c r="B29" s="11">
        <v>12</v>
      </c>
      <c r="C29" s="16">
        <f t="shared" si="1"/>
        <v>0.23003097926711308</v>
      </c>
      <c r="D29" s="17">
        <f t="shared" si="3"/>
        <v>0.25558997696345898</v>
      </c>
      <c r="E29" s="17">
        <f t="shared" si="2"/>
        <v>0.28114897465980487</v>
      </c>
      <c r="F29" s="2">
        <v>0.48170000000000002</v>
      </c>
      <c r="G29" s="2" t="str">
        <f t="shared" si="0"/>
        <v>Fail</v>
      </c>
      <c r="Y29" s="2">
        <v>14</v>
      </c>
      <c r="Z29" s="2">
        <v>0.3054</v>
      </c>
      <c r="AA29" s="2">
        <v>0.3175</v>
      </c>
      <c r="AB29" s="2">
        <v>0.56179999999999997</v>
      </c>
    </row>
    <row r="30" spans="2:28" x14ac:dyDescent="0.4">
      <c r="B30" s="11">
        <v>13</v>
      </c>
      <c r="C30" s="16">
        <f t="shared" si="1"/>
        <v>0.27339212939677515</v>
      </c>
      <c r="D30" s="17">
        <f t="shared" si="3"/>
        <v>0.30376903266308347</v>
      </c>
      <c r="E30" s="17">
        <f t="shared" si="2"/>
        <v>0.33414593592939179</v>
      </c>
      <c r="F30" s="2">
        <v>0.54330000000000001</v>
      </c>
      <c r="G30" s="2" t="str">
        <f t="shared" si="0"/>
        <v>Fail</v>
      </c>
      <c r="Y30" s="2">
        <v>15</v>
      </c>
      <c r="Z30" s="2">
        <v>0.30690000000000001</v>
      </c>
      <c r="AA30" s="2">
        <v>0.31890000000000002</v>
      </c>
      <c r="AB30" s="2">
        <v>0.62619999999999998</v>
      </c>
    </row>
    <row r="31" spans="2:28" x14ac:dyDescent="0.4">
      <c r="B31" s="11">
        <v>14</v>
      </c>
      <c r="C31" s="16">
        <f t="shared" si="1"/>
        <v>0.32086661332460292</v>
      </c>
      <c r="D31" s="17">
        <f t="shared" si="3"/>
        <v>0.35651845924955883</v>
      </c>
      <c r="E31" s="17">
        <f t="shared" si="2"/>
        <v>0.39217030517451473</v>
      </c>
      <c r="F31" s="2">
        <v>0.56179999999999997</v>
      </c>
      <c r="G31" s="2" t="str">
        <f t="shared" si="0"/>
        <v>Fail</v>
      </c>
      <c r="Y31" s="2">
        <v>16</v>
      </c>
      <c r="Z31" s="2">
        <v>0.31409999999999999</v>
      </c>
      <c r="AA31" s="2">
        <v>0.3347</v>
      </c>
      <c r="AB31" s="2">
        <v>0.69499999999999995</v>
      </c>
    </row>
    <row r="32" spans="2:28" x14ac:dyDescent="0.4">
      <c r="B32" s="11">
        <v>15</v>
      </c>
      <c r="C32" s="16">
        <f t="shared" si="1"/>
        <v>0.37251478656295872</v>
      </c>
      <c r="D32" s="17">
        <f t="shared" si="3"/>
        <v>0.41390531840328748</v>
      </c>
      <c r="E32" s="17">
        <f t="shared" si="2"/>
        <v>0.45529585024361624</v>
      </c>
      <c r="F32" s="2">
        <v>0.62619999999999998</v>
      </c>
      <c r="G32" s="2" t="str">
        <f t="shared" si="0"/>
        <v>Fail</v>
      </c>
      <c r="Y32" s="2">
        <v>17</v>
      </c>
      <c r="Z32" s="2">
        <v>0.31780000000000003</v>
      </c>
      <c r="AA32" s="2">
        <v>0.33560000000000001</v>
      </c>
      <c r="AB32" s="2">
        <v>0.79069999999999996</v>
      </c>
    </row>
    <row r="33" spans="2:28" x14ac:dyDescent="0.4">
      <c r="B33" s="11">
        <v>16</v>
      </c>
      <c r="C33" s="16">
        <f t="shared" si="1"/>
        <v>0.42839370020681222</v>
      </c>
      <c r="D33" s="17">
        <f t="shared" si="3"/>
        <v>0.47599300022979135</v>
      </c>
      <c r="E33" s="17">
        <f t="shared" si="2"/>
        <v>0.52359230025277048</v>
      </c>
      <c r="F33" s="2">
        <v>0.69499999999999995</v>
      </c>
      <c r="G33" s="2" t="str">
        <f t="shared" si="0"/>
        <v>Fail</v>
      </c>
      <c r="Y33" s="2">
        <v>18</v>
      </c>
      <c r="Z33" s="2">
        <v>0.32040000000000002</v>
      </c>
      <c r="AA33" s="2">
        <v>0.33829999999999999</v>
      </c>
      <c r="AB33" s="2">
        <v>0.87919999999999998</v>
      </c>
    </row>
    <row r="34" spans="2:28" x14ac:dyDescent="0.4">
      <c r="B34" s="11">
        <v>17</v>
      </c>
      <c r="C34" s="16">
        <f t="shared" si="1"/>
        <v>0.48855748233582297</v>
      </c>
      <c r="D34" s="17">
        <f t="shared" si="3"/>
        <v>0.54284164703980331</v>
      </c>
      <c r="E34" s="17">
        <f t="shared" si="2"/>
        <v>0.59712581174378365</v>
      </c>
      <c r="F34" s="2">
        <v>0.79069999999999996</v>
      </c>
      <c r="G34" s="2" t="str">
        <f t="shared" si="0"/>
        <v>Fail</v>
      </c>
      <c r="Y34" s="2">
        <v>19</v>
      </c>
      <c r="Z34" s="2">
        <v>0.3196</v>
      </c>
      <c r="AA34" s="2">
        <v>0.34089999999999998</v>
      </c>
      <c r="AB34" s="2">
        <v>0.99280000000000002</v>
      </c>
    </row>
    <row r="35" spans="2:28" x14ac:dyDescent="0.4">
      <c r="B35" s="11">
        <v>18</v>
      </c>
      <c r="C35" s="16">
        <f t="shared" si="1"/>
        <v>0.55305765500155402</v>
      </c>
      <c r="D35" s="17">
        <f t="shared" si="3"/>
        <v>0.6145085055572822</v>
      </c>
      <c r="E35" s="17">
        <f t="shared" si="2"/>
        <v>0.67595935611301039</v>
      </c>
      <c r="F35" s="2">
        <v>0.87919999999999998</v>
      </c>
      <c r="G35" s="2" t="str">
        <f t="shared" si="0"/>
        <v>Fail</v>
      </c>
      <c r="Y35" s="2">
        <v>20</v>
      </c>
      <c r="Z35" s="2">
        <v>0.32590000000000002</v>
      </c>
      <c r="AA35" s="2">
        <v>0.35399999999999998</v>
      </c>
      <c r="AB35" s="2">
        <v>1.0862000000000001</v>
      </c>
    </row>
    <row r="36" spans="2:28" x14ac:dyDescent="0.4">
      <c r="B36" s="11">
        <v>19</v>
      </c>
      <c r="C36" s="16">
        <f t="shared" si="1"/>
        <v>0.62194340073631371</v>
      </c>
      <c r="D36" s="17">
        <f t="shared" si="3"/>
        <v>0.69104822304034852</v>
      </c>
      <c r="E36" s="17">
        <f t="shared" si="2"/>
        <v>0.76015304534438333</v>
      </c>
      <c r="F36" s="2">
        <v>0.99280000000000002</v>
      </c>
      <c r="G36" s="2" t="str">
        <f t="shared" si="0"/>
        <v>Fail</v>
      </c>
      <c r="Y36" s="2">
        <v>21</v>
      </c>
      <c r="Z36" s="2">
        <v>0.32629999999999998</v>
      </c>
      <c r="AA36" s="2">
        <v>0.3377</v>
      </c>
      <c r="AB36" s="2">
        <v>1.1105</v>
      </c>
    </row>
    <row r="37" spans="2:28" x14ac:dyDescent="0.4">
      <c r="B37" s="11">
        <v>20</v>
      </c>
      <c r="C37" s="16">
        <f t="shared" si="1"/>
        <v>0.69526178891379797</v>
      </c>
      <c r="D37" s="17">
        <f t="shared" si="3"/>
        <v>0.77251309879310881</v>
      </c>
      <c r="E37" s="17">
        <f t="shared" si="2"/>
        <v>0.84976440867241965</v>
      </c>
      <c r="F37" s="2">
        <v>1.0862000000000001</v>
      </c>
      <c r="G37" s="2" t="str">
        <f t="shared" si="0"/>
        <v>Fail</v>
      </c>
      <c r="Y37" s="2">
        <v>22</v>
      </c>
      <c r="Z37" s="2">
        <v>0.32100000000000001</v>
      </c>
      <c r="AA37" s="2">
        <v>0.33989999999999998</v>
      </c>
      <c r="AB37" s="2">
        <v>1.2059</v>
      </c>
    </row>
    <row r="38" spans="2:28" x14ac:dyDescent="0.4">
      <c r="B38" s="11">
        <v>21</v>
      </c>
      <c r="C38" s="16">
        <f t="shared" si="1"/>
        <v>0.77305796975605212</v>
      </c>
      <c r="D38" s="17">
        <f t="shared" si="3"/>
        <v>0.85895329972894685</v>
      </c>
      <c r="E38" s="17">
        <f t="shared" si="2"/>
        <v>0.94484862970184158</v>
      </c>
      <c r="F38" s="2">
        <v>1.1105</v>
      </c>
      <c r="G38" s="2" t="str">
        <f t="shared" si="0"/>
        <v>Fail</v>
      </c>
      <c r="Y38" s="2">
        <v>23</v>
      </c>
      <c r="Z38" s="2">
        <v>0.3216</v>
      </c>
      <c r="AA38" s="2">
        <v>0.33889999999999998</v>
      </c>
      <c r="AB38" s="2">
        <v>1.3304</v>
      </c>
    </row>
    <row r="39" spans="2:28" x14ac:dyDescent="0.4">
      <c r="B39" s="11">
        <v>22</v>
      </c>
      <c r="C39" s="16">
        <f t="shared" si="1"/>
        <v>0.85537534196154852</v>
      </c>
      <c r="D39" s="17">
        <f t="shared" si="3"/>
        <v>0.95041704662394277</v>
      </c>
      <c r="E39" s="17">
        <f t="shared" si="2"/>
        <v>1.0454587512863371</v>
      </c>
      <c r="F39" s="2">
        <v>1.2059</v>
      </c>
      <c r="G39" s="2" t="str">
        <f t="shared" si="0"/>
        <v>Fail</v>
      </c>
      <c r="Y39" s="2">
        <v>24</v>
      </c>
      <c r="Z39" s="2">
        <v>0.3211</v>
      </c>
      <c r="AA39" s="2">
        <v>0.33950000000000002</v>
      </c>
      <c r="AB39" s="2">
        <v>1.4258999999999999</v>
      </c>
    </row>
    <row r="40" spans="2:28" x14ac:dyDescent="0.4">
      <c r="B40" s="11">
        <v>23</v>
      </c>
      <c r="C40" s="16">
        <f t="shared" si="1"/>
        <v>0.94225569859928071</v>
      </c>
      <c r="D40" s="17">
        <f t="shared" si="3"/>
        <v>1.046950776221423</v>
      </c>
      <c r="E40" s="17">
        <f t="shared" si="2"/>
        <v>1.1516458538435652</v>
      </c>
      <c r="F40" s="2">
        <v>1.3304</v>
      </c>
      <c r="G40" s="2" t="str">
        <f t="shared" si="0"/>
        <v>Fail</v>
      </c>
      <c r="Y40" s="2">
        <v>25</v>
      </c>
      <c r="Z40" s="2">
        <v>0.32629999999999998</v>
      </c>
      <c r="AA40" s="2">
        <v>0.34810000000000002</v>
      </c>
      <c r="AB40" s="2">
        <v>1.5144</v>
      </c>
    </row>
    <row r="41" spans="2:28" x14ac:dyDescent="0.4">
      <c r="B41" s="11">
        <v>24</v>
      </c>
      <c r="C41" s="16">
        <f t="shared" si="1"/>
        <v>1.0337393549258898</v>
      </c>
      <c r="D41" s="17">
        <f t="shared" si="3"/>
        <v>1.1485992832509886</v>
      </c>
      <c r="E41" s="17">
        <f t="shared" si="2"/>
        <v>1.2634592115760874</v>
      </c>
      <c r="F41" s="2">
        <v>1.4258999999999999</v>
      </c>
      <c r="G41" s="2" t="str">
        <f t="shared" si="0"/>
        <v>Fail</v>
      </c>
      <c r="Y41" s="2">
        <v>26</v>
      </c>
      <c r="Z41" s="2">
        <v>0.32790000000000002</v>
      </c>
      <c r="AA41" s="2">
        <v>0.3508</v>
      </c>
      <c r="AB41" s="2">
        <v>1.6617</v>
      </c>
    </row>
    <row r="42" spans="2:28" x14ac:dyDescent="0.4">
      <c r="B42" s="11">
        <v>25</v>
      </c>
      <c r="C42" s="16">
        <f t="shared" si="1"/>
        <v>1.1298652610381432</v>
      </c>
      <c r="D42" s="17">
        <f t="shared" si="3"/>
        <v>1.2554058455979369</v>
      </c>
      <c r="E42" s="17">
        <f t="shared" si="2"/>
        <v>1.3809464301577306</v>
      </c>
      <c r="F42" s="2">
        <v>1.5144</v>
      </c>
      <c r="G42" s="2" t="str">
        <f t="shared" si="0"/>
        <v>Fail</v>
      </c>
      <c r="Y42" s="2">
        <v>27</v>
      </c>
      <c r="Z42" s="2">
        <v>0.32840000000000003</v>
      </c>
      <c r="AA42" s="2">
        <v>0.35020000000000001</v>
      </c>
      <c r="AB42" s="2">
        <v>1.7499</v>
      </c>
    </row>
    <row r="43" spans="2:28" x14ac:dyDescent="0.4">
      <c r="B43" s="11">
        <v>26</v>
      </c>
      <c r="C43" s="16">
        <f t="shared" si="1"/>
        <v>1.230671101704313</v>
      </c>
      <c r="D43" s="17">
        <f t="shared" si="3"/>
        <v>1.3674123352270144</v>
      </c>
      <c r="E43" s="17">
        <f t="shared" si="2"/>
        <v>1.5041535687497158</v>
      </c>
      <c r="F43" s="2">
        <v>1.6617</v>
      </c>
      <c r="G43" s="2" t="str">
        <f t="shared" si="0"/>
        <v>Fail</v>
      </c>
      <c r="Y43" s="2">
        <v>28</v>
      </c>
      <c r="Z43" s="2">
        <v>0.3286</v>
      </c>
      <c r="AA43" s="2">
        <v>0.3493</v>
      </c>
      <c r="AB43" s="2">
        <v>1.8524</v>
      </c>
    </row>
    <row r="44" spans="2:28" x14ac:dyDescent="0.4">
      <c r="B44" s="11">
        <v>27</v>
      </c>
      <c r="C44" s="16">
        <f t="shared" si="1"/>
        <v>1.336193385278178</v>
      </c>
      <c r="D44" s="17">
        <f t="shared" si="3"/>
        <v>1.4846593169757534</v>
      </c>
      <c r="E44" s="17">
        <f t="shared" si="2"/>
        <v>1.6331252486733288</v>
      </c>
      <c r="F44" s="2">
        <v>1.7499</v>
      </c>
      <c r="G44" s="2" t="str">
        <f t="shared" si="0"/>
        <v>Fail</v>
      </c>
      <c r="Y44" s="2">
        <v>29</v>
      </c>
      <c r="Z44" s="2">
        <v>0.32740000000000002</v>
      </c>
      <c r="AA44" s="2">
        <v>0.3493</v>
      </c>
      <c r="AB44" s="2">
        <v>1.9831000000000001</v>
      </c>
    </row>
    <row r="45" spans="2:28" x14ac:dyDescent="0.4">
      <c r="B45" s="11">
        <v>28</v>
      </c>
      <c r="C45" s="16">
        <f t="shared" si="1"/>
        <v>1.4464675232556528</v>
      </c>
      <c r="D45" s="17">
        <f t="shared" si="3"/>
        <v>1.6071861369507254</v>
      </c>
      <c r="E45" s="17">
        <f t="shared" si="2"/>
        <v>1.7679047506457981</v>
      </c>
      <c r="F45" s="2">
        <v>1.8524</v>
      </c>
      <c r="G45" s="2" t="str">
        <f t="shared" si="0"/>
        <v>Fail</v>
      </c>
      <c r="Y45" s="2">
        <v>30</v>
      </c>
      <c r="Z45" s="2">
        <v>0.32790000000000002</v>
      </c>
      <c r="AA45" s="2">
        <v>0.3493</v>
      </c>
      <c r="AB45" s="2">
        <v>2.0926999999999998</v>
      </c>
    </row>
    <row r="46" spans="2:28" x14ac:dyDescent="0.4">
      <c r="B46" s="11">
        <v>29</v>
      </c>
      <c r="C46" s="16">
        <f t="shared" si="1"/>
        <v>1.5615279017625425</v>
      </c>
      <c r="D46" s="17">
        <f t="shared" si="3"/>
        <v>1.7350310019583806</v>
      </c>
      <c r="E46" s="17">
        <f t="shared" si="2"/>
        <v>1.9085341021542186</v>
      </c>
      <c r="F46" s="2">
        <v>1.9831000000000001</v>
      </c>
      <c r="G46" s="2" t="str">
        <f t="shared" si="0"/>
        <v>Fail</v>
      </c>
      <c r="Y46" s="2">
        <v>31</v>
      </c>
      <c r="Z46" s="2">
        <v>0.32940000000000003</v>
      </c>
      <c r="AA46" s="2">
        <v>0.34949999999999998</v>
      </c>
      <c r="AB46" s="2">
        <v>2.2480000000000002</v>
      </c>
    </row>
    <row r="47" spans="2:28" x14ac:dyDescent="0.4">
      <c r="B47" s="11">
        <v>30</v>
      </c>
      <c r="C47" s="16">
        <f t="shared" si="1"/>
        <v>1.6814079460456104</v>
      </c>
      <c r="D47" s="17">
        <f t="shared" si="3"/>
        <v>1.8682310511617894</v>
      </c>
      <c r="E47" s="17">
        <f t="shared" si="2"/>
        <v>2.0550541562779685</v>
      </c>
      <c r="F47" s="2">
        <v>2.0926999999999998</v>
      </c>
      <c r="G47" s="2" t="str">
        <f t="shared" si="0"/>
        <v>Fail</v>
      </c>
      <c r="Y47" s="2">
        <v>32</v>
      </c>
      <c r="Z47" s="2">
        <v>0.32700000000000001</v>
      </c>
      <c r="AA47" s="2">
        <v>0.35149999999999998</v>
      </c>
      <c r="AB47" s="2">
        <v>2.3792</v>
      </c>
    </row>
    <row r="48" spans="2:28" x14ac:dyDescent="0.4">
      <c r="B48" s="11">
        <v>31</v>
      </c>
      <c r="C48" s="16">
        <f t="shared" si="1"/>
        <v>1.8061401788651825</v>
      </c>
      <c r="D48" s="17">
        <f t="shared" si="3"/>
        <v>2.0068224209613139</v>
      </c>
      <c r="E48" s="17">
        <f t="shared" si="2"/>
        <v>2.2075046630574455</v>
      </c>
      <c r="F48" s="2">
        <v>2.2480000000000002</v>
      </c>
      <c r="G48" s="2" t="str">
        <f t="shared" si="0"/>
        <v>Fail</v>
      </c>
      <c r="Y48" s="2">
        <v>33</v>
      </c>
      <c r="Z48" s="2">
        <v>0.32490000000000002</v>
      </c>
      <c r="AA48" s="2">
        <v>0.35549999999999998</v>
      </c>
      <c r="AB48" s="2">
        <v>2.5701999999999998</v>
      </c>
    </row>
    <row r="49" spans="2:28" x14ac:dyDescent="0.4">
      <c r="B49" s="11">
        <v>32</v>
      </c>
      <c r="C49" s="16">
        <f t="shared" si="1"/>
        <v>1.9357562735465943</v>
      </c>
      <c r="D49" s="17">
        <f t="shared" si="3"/>
        <v>2.1508403039406603</v>
      </c>
      <c r="E49" s="17">
        <f t="shared" si="2"/>
        <v>2.3659243343347263</v>
      </c>
      <c r="F49" s="2">
        <v>2.3792</v>
      </c>
      <c r="G49" s="2" t="str">
        <f t="shared" si="0"/>
        <v>Fail</v>
      </c>
      <c r="Y49" s="2">
        <v>34</v>
      </c>
      <c r="Z49" s="2">
        <v>0.32850000000000001</v>
      </c>
      <c r="AA49" s="2">
        <v>0.35649999999999998</v>
      </c>
      <c r="AB49" s="2">
        <v>2.6919</v>
      </c>
    </row>
    <row r="50" spans="2:28" x14ac:dyDescent="0.4">
      <c r="B50" s="11">
        <v>33</v>
      </c>
      <c r="C50" s="16">
        <f t="shared" si="1"/>
        <v>2.0702871023326974</v>
      </c>
      <c r="D50" s="17">
        <f t="shared" si="3"/>
        <v>2.3003190025918858</v>
      </c>
      <c r="E50" s="17">
        <f t="shared" si="2"/>
        <v>2.5303509028510742</v>
      </c>
      <c r="F50" s="2">
        <v>2.5701999999999998</v>
      </c>
      <c r="G50" s="2" t="str">
        <f t="shared" si="0"/>
        <v>Fail</v>
      </c>
      <c r="Y50" s="2">
        <v>35</v>
      </c>
      <c r="Z50" s="2">
        <v>0.33379999999999999</v>
      </c>
      <c r="AA50" s="2">
        <v>0.36030000000000001</v>
      </c>
      <c r="AB50" s="2">
        <v>2.9039999999999999</v>
      </c>
    </row>
    <row r="51" spans="2:28" x14ac:dyDescent="0.4">
      <c r="B51" s="11">
        <v>34</v>
      </c>
      <c r="C51" s="16">
        <f t="shared" si="1"/>
        <v>2.2097627805851086</v>
      </c>
      <c r="D51" s="17">
        <f t="shared" si="3"/>
        <v>2.4552919784278986</v>
      </c>
      <c r="E51" s="17">
        <f t="shared" si="2"/>
        <v>2.7008211762706886</v>
      </c>
      <c r="F51" s="2">
        <v>2.6919</v>
      </c>
      <c r="G51" s="2" t="str">
        <f t="shared" si="0"/>
        <v>Pass</v>
      </c>
      <c r="Y51" s="2">
        <v>36</v>
      </c>
      <c r="Z51" s="2">
        <v>0.3362</v>
      </c>
      <c r="AA51" s="2">
        <v>0.36049999999999999</v>
      </c>
      <c r="AB51" s="2">
        <v>3.0647000000000002</v>
      </c>
    </row>
    <row r="52" spans="2:28" x14ac:dyDescent="0.4">
      <c r="B52" s="11">
        <v>35</v>
      </c>
      <c r="C52" s="16">
        <f t="shared" si="1"/>
        <v>2.3542127073036014</v>
      </c>
      <c r="D52" s="17">
        <f t="shared" si="3"/>
        <v>2.6157918970040015</v>
      </c>
      <c r="E52" s="17">
        <f t="shared" si="2"/>
        <v>2.8773710867044016</v>
      </c>
      <c r="F52" s="2">
        <v>2.9039999999999999</v>
      </c>
      <c r="G52" s="2" t="str">
        <f t="shared" si="0"/>
        <v>Fail</v>
      </c>
      <c r="Y52" s="2">
        <v>37</v>
      </c>
      <c r="Z52" s="2">
        <v>0.33389999999999997</v>
      </c>
      <c r="AA52" s="2">
        <v>0.3589</v>
      </c>
      <c r="AB52" s="2">
        <v>3.2553000000000001</v>
      </c>
    </row>
    <row r="53" spans="2:28" x14ac:dyDescent="0.4">
      <c r="B53" s="11">
        <v>36</v>
      </c>
      <c r="C53" s="16">
        <f t="shared" si="1"/>
        <v>2.5036656023679065</v>
      </c>
      <c r="D53" s="17">
        <f t="shared" si="3"/>
        <v>2.7818506692976741</v>
      </c>
      <c r="E53" s="17">
        <f t="shared" si="2"/>
        <v>3.0600357362274417</v>
      </c>
      <c r="F53" s="2">
        <v>3.0647000000000002</v>
      </c>
      <c r="G53" s="2" t="str">
        <f t="shared" si="0"/>
        <v>Fail</v>
      </c>
      <c r="Y53" s="2">
        <v>38</v>
      </c>
      <c r="Z53" s="2">
        <v>0.33489999999999998</v>
      </c>
      <c r="AA53" s="2">
        <v>0.35880000000000001</v>
      </c>
      <c r="AB53" s="2">
        <v>3.4127999999999998</v>
      </c>
    </row>
    <row r="54" spans="2:28" x14ac:dyDescent="0.4">
      <c r="B54" s="11">
        <v>37</v>
      </c>
      <c r="C54" s="16">
        <f t="shared" si="1"/>
        <v>2.6581495408517575</v>
      </c>
      <c r="D54" s="17">
        <f t="shared" si="3"/>
        <v>2.953499489835286</v>
      </c>
      <c r="E54" s="17">
        <f t="shared" si="2"/>
        <v>3.2488494388188145</v>
      </c>
      <c r="F54" s="2">
        <v>3.2553000000000001</v>
      </c>
      <c r="G54" s="2" t="str">
        <f t="shared" si="0"/>
        <v>Fail</v>
      </c>
      <c r="Y54" s="2">
        <v>39</v>
      </c>
      <c r="Z54" s="2">
        <v>0.33379999999999999</v>
      </c>
      <c r="AA54" s="2">
        <v>0.3594</v>
      </c>
      <c r="AB54" s="2">
        <v>3.6402999999999999</v>
      </c>
    </row>
    <row r="55" spans="2:28" x14ac:dyDescent="0.4">
      <c r="B55" s="11">
        <v>38</v>
      </c>
      <c r="C55" s="16">
        <f t="shared" si="1"/>
        <v>2.8176919847130062</v>
      </c>
      <c r="D55" s="17">
        <f t="shared" si="3"/>
        <v>3.1307688719033404</v>
      </c>
      <c r="E55" s="17">
        <f t="shared" si="2"/>
        <v>3.4438457590936746</v>
      </c>
      <c r="F55" s="2">
        <v>3.4127999999999998</v>
      </c>
      <c r="G55" s="2" t="str">
        <f t="shared" si="0"/>
        <v>Pass</v>
      </c>
      <c r="Y55" s="2">
        <v>40</v>
      </c>
      <c r="Z55" s="2">
        <v>0.33500000000000002</v>
      </c>
      <c r="AA55" s="2">
        <v>0.3569</v>
      </c>
      <c r="AB55" s="2">
        <v>3.7932999999999999</v>
      </c>
    </row>
    <row r="56" spans="2:28" x14ac:dyDescent="0.4">
      <c r="B56" s="11">
        <v>39</v>
      </c>
      <c r="C56" s="16">
        <f t="shared" si="1"/>
        <v>2.9823198121249805</v>
      </c>
      <c r="D56" s="17">
        <f t="shared" si="3"/>
        <v>3.3136886801388674</v>
      </c>
      <c r="E56" s="17">
        <f t="shared" si="2"/>
        <v>3.6450575481527543</v>
      </c>
      <c r="F56" s="2">
        <v>3.6402999999999999</v>
      </c>
      <c r="G56" s="2" t="str">
        <f t="shared" si="0"/>
        <v>Pass</v>
      </c>
      <c r="Y56" s="2">
        <v>41</v>
      </c>
      <c r="Z56" s="2">
        <v>0.33429999999999999</v>
      </c>
      <c r="AA56" s="2">
        <v>0.3584</v>
      </c>
      <c r="AB56" s="2">
        <v>4.0359999999999996</v>
      </c>
    </row>
    <row r="57" spans="2:28" x14ac:dyDescent="0.4">
      <c r="B57" s="11">
        <v>40</v>
      </c>
      <c r="C57" s="16">
        <f t="shared" si="1"/>
        <v>3.152059344681208</v>
      </c>
      <c r="D57" s="17">
        <f t="shared" si="3"/>
        <v>3.5022881607568976</v>
      </c>
      <c r="E57" s="17">
        <f t="shared" si="2"/>
        <v>3.8525169768325873</v>
      </c>
      <c r="F57" s="2">
        <v>3.7932999999999999</v>
      </c>
      <c r="G57" s="2" t="str">
        <f t="shared" si="0"/>
        <v>Pass</v>
      </c>
      <c r="Y57" s="2">
        <v>42</v>
      </c>
      <c r="Z57" s="2">
        <v>0.33460000000000001</v>
      </c>
      <c r="AA57" s="2">
        <v>0.35859999999999997</v>
      </c>
      <c r="AB57" s="2">
        <v>4.2321</v>
      </c>
    </row>
    <row r="58" spans="2:28" x14ac:dyDescent="0.4">
      <c r="B58" s="11">
        <v>41</v>
      </c>
      <c r="C58" s="16">
        <f t="shared" si="1"/>
        <v>3.3269363726774923</v>
      </c>
      <c r="D58" s="17">
        <f t="shared" si="3"/>
        <v>3.6965959696416579</v>
      </c>
      <c r="E58" s="17">
        <f t="shared" si="2"/>
        <v>4.0662555666058235</v>
      </c>
      <c r="F58" s="2">
        <v>4.0359999999999996</v>
      </c>
      <c r="G58" s="2" t="str">
        <f t="shared" si="0"/>
        <v>Pass</v>
      </c>
      <c r="Y58" s="2">
        <v>43</v>
      </c>
      <c r="Z58" s="2">
        <v>0.32940000000000003</v>
      </c>
      <c r="AA58" s="2">
        <v>0.35730000000000001</v>
      </c>
      <c r="AB58" s="2">
        <v>4.6468999999999996</v>
      </c>
    </row>
    <row r="59" spans="2:28" x14ac:dyDescent="0.4">
      <c r="B59" s="11">
        <v>42</v>
      </c>
      <c r="C59" s="16">
        <f t="shared" si="1"/>
        <v>3.5069761786512834</v>
      </c>
      <c r="D59" s="17">
        <f t="shared" si="3"/>
        <v>3.8966401985014261</v>
      </c>
      <c r="E59" s="17">
        <f t="shared" si="2"/>
        <v>4.2863042183515692</v>
      </c>
      <c r="F59" s="2">
        <v>4.2321</v>
      </c>
      <c r="G59" s="2" t="str">
        <f t="shared" si="0"/>
        <v>Pass</v>
      </c>
      <c r="Y59" s="2">
        <v>44</v>
      </c>
      <c r="Z59" s="2">
        <v>0.33019999999999999</v>
      </c>
      <c r="AA59" s="2">
        <v>0.35730000000000001</v>
      </c>
      <c r="AB59" s="2">
        <v>4.8613</v>
      </c>
    </row>
    <row r="60" spans="2:28" x14ac:dyDescent="0.4">
      <c r="B60" s="11">
        <v>43</v>
      </c>
      <c r="C60" s="16">
        <f t="shared" si="1"/>
        <v>3.6922035593374476</v>
      </c>
      <c r="D60" s="17">
        <f t="shared" si="3"/>
        <v>4.1024483992638308</v>
      </c>
      <c r="E60" s="17">
        <f t="shared" si="2"/>
        <v>4.5126932391902139</v>
      </c>
      <c r="F60" s="2">
        <v>4.6468999999999996</v>
      </c>
      <c r="G60" s="2" t="str">
        <f t="shared" si="0"/>
        <v>Fail</v>
      </c>
      <c r="Y60" s="2">
        <v>45</v>
      </c>
      <c r="Z60" s="2">
        <v>0.32950000000000002</v>
      </c>
      <c r="AA60" s="2">
        <v>0.35699999999999998</v>
      </c>
      <c r="AB60" s="2">
        <v>5.0777999999999999</v>
      </c>
    </row>
    <row r="61" spans="2:28" x14ac:dyDescent="0.4">
      <c r="B61" s="11">
        <v>44</v>
      </c>
      <c r="C61" s="16">
        <f t="shared" si="1"/>
        <v>3.8826428461816467</v>
      </c>
      <c r="D61" s="17">
        <f t="shared" si="3"/>
        <v>4.3140476068684963</v>
      </c>
      <c r="E61" s="17">
        <f t="shared" si="2"/>
        <v>4.7454523675553464</v>
      </c>
      <c r="F61" s="2">
        <v>4.8613</v>
      </c>
      <c r="G61" s="2" t="str">
        <f t="shared" si="0"/>
        <v>Fail</v>
      </c>
      <c r="Y61" s="2">
        <v>46</v>
      </c>
      <c r="Z61" s="2">
        <v>0.32990000000000003</v>
      </c>
      <c r="AA61" s="2">
        <v>0.35730000000000001</v>
      </c>
      <c r="AB61" s="2">
        <v>5.2872000000000003</v>
      </c>
    </row>
    <row r="62" spans="2:28" x14ac:dyDescent="0.4">
      <c r="B62" s="11">
        <v>45</v>
      </c>
      <c r="C62" s="16">
        <f t="shared" si="1"/>
        <v>4.0783179245370116</v>
      </c>
      <c r="D62" s="17">
        <f t="shared" si="3"/>
        <v>4.5314643605966793</v>
      </c>
      <c r="E62" s="17">
        <f t="shared" si="2"/>
        <v>4.9846107966563471</v>
      </c>
      <c r="F62" s="2">
        <v>5.0777999999999999</v>
      </c>
      <c r="G62" s="2" t="str">
        <f t="shared" si="0"/>
        <v>Fail</v>
      </c>
      <c r="Y62" s="2">
        <v>47</v>
      </c>
      <c r="Z62" s="2">
        <v>0.33119999999999999</v>
      </c>
      <c r="AA62" s="2">
        <v>0.35830000000000001</v>
      </c>
      <c r="AB62" s="2">
        <v>5.6272000000000002</v>
      </c>
    </row>
    <row r="63" spans="2:28" x14ac:dyDescent="0.4">
      <c r="B63" s="11">
        <v>46</v>
      </c>
      <c r="C63" s="16">
        <f t="shared" si="1"/>
        <v>4.2792522516562563</v>
      </c>
      <c r="D63" s="17">
        <f t="shared" si="3"/>
        <v>4.7547247240625072</v>
      </c>
      <c r="E63" s="17">
        <f t="shared" si="2"/>
        <v>5.2301971964687581</v>
      </c>
      <c r="F63" s="2">
        <v>5.2872000000000003</v>
      </c>
      <c r="G63" s="2" t="str">
        <f t="shared" si="0"/>
        <v>Fail</v>
      </c>
      <c r="Y63" s="2">
        <v>48</v>
      </c>
      <c r="Z63" s="2">
        <v>0.33029999999999998</v>
      </c>
      <c r="AA63" s="2">
        <v>0.35770000000000002</v>
      </c>
      <c r="AB63" s="2">
        <v>5.8521999999999998</v>
      </c>
    </row>
    <row r="64" spans="2:28" x14ac:dyDescent="0.4">
      <c r="B64" s="11">
        <v>47</v>
      </c>
      <c r="C64" s="16">
        <f t="shared" si="1"/>
        <v>4.4854688735795651</v>
      </c>
      <c r="D64" s="17">
        <f t="shared" si="3"/>
        <v>4.9838543039772949</v>
      </c>
      <c r="E64" s="17">
        <f t="shared" si="2"/>
        <v>5.4822397343750247</v>
      </c>
      <c r="F64" s="2">
        <v>5.6272000000000002</v>
      </c>
      <c r="G64" s="2" t="str">
        <f t="shared" si="0"/>
        <v>Fail</v>
      </c>
      <c r="Y64" s="2">
        <v>49</v>
      </c>
      <c r="Z64" s="2">
        <v>0.33050000000000002</v>
      </c>
      <c r="AA64" s="2">
        <v>0.35899999999999999</v>
      </c>
      <c r="AB64" s="2">
        <v>6.2107999999999999</v>
      </c>
    </row>
    <row r="65" spans="2:28" x14ac:dyDescent="0.4">
      <c r="B65" s="11">
        <v>48</v>
      </c>
      <c r="C65" s="16">
        <f t="shared" si="1"/>
        <v>4.6969904410082535</v>
      </c>
      <c r="D65" s="17">
        <f t="shared" si="3"/>
        <v>5.2188782677869483</v>
      </c>
      <c r="E65" s="17">
        <f t="shared" si="2"/>
        <v>5.7407660945656431</v>
      </c>
      <c r="F65" s="2">
        <v>5.8521999999999998</v>
      </c>
      <c r="G65" s="2" t="str">
        <f t="shared" si="0"/>
        <v>Fail</v>
      </c>
      <c r="Y65" s="2">
        <v>50</v>
      </c>
      <c r="Z65" s="2">
        <v>0.33</v>
      </c>
      <c r="AA65" s="2">
        <v>0.35759999999999997</v>
      </c>
      <c r="AB65" s="2">
        <v>6.3810000000000002</v>
      </c>
    </row>
    <row r="66" spans="2:28" x14ac:dyDescent="0.4">
      <c r="B66" s="11">
        <v>49</v>
      </c>
      <c r="C66" s="16">
        <f t="shared" si="1"/>
        <v>4.9138392242451783</v>
      </c>
      <c r="D66" s="17">
        <f t="shared" si="3"/>
        <v>5.4598213602724206</v>
      </c>
      <c r="E66" s="17">
        <f t="shared" si="2"/>
        <v>6.0058034962996629</v>
      </c>
      <c r="F66" s="2">
        <v>6.2107999999999999</v>
      </c>
      <c r="G66" s="2" t="str">
        <f t="shared" si="0"/>
        <v>Fail</v>
      </c>
      <c r="L66" s="2" t="s">
        <v>40</v>
      </c>
      <c r="Y66" s="2">
        <v>51</v>
      </c>
      <c r="Z66" s="2">
        <v>0.33360000000000001</v>
      </c>
      <c r="AA66" s="2">
        <v>0.36320000000000002</v>
      </c>
      <c r="AB66" s="2">
        <v>6.7008000000000001</v>
      </c>
    </row>
    <row r="67" spans="2:28" x14ac:dyDescent="0.4">
      <c r="B67" s="11">
        <v>50</v>
      </c>
      <c r="C67" s="16">
        <f t="shared" si="1"/>
        <v>5.1360371272748058</v>
      </c>
      <c r="D67" s="17">
        <f t="shared" si="3"/>
        <v>5.7067079191942289</v>
      </c>
      <c r="E67" s="17">
        <f t="shared" si="2"/>
        <v>6.2773787111136521</v>
      </c>
      <c r="F67" s="2">
        <v>6.3810000000000002</v>
      </c>
      <c r="G67" s="2" t="str">
        <f t="shared" si="0"/>
        <v>Fail</v>
      </c>
      <c r="Y67" s="2">
        <v>52</v>
      </c>
      <c r="Z67" s="2">
        <v>0.33279999999999998</v>
      </c>
      <c r="AA67" s="2">
        <v>0.3629</v>
      </c>
      <c r="AB67" s="2">
        <v>7.0397999999999996</v>
      </c>
    </row>
    <row r="68" spans="2:28" x14ac:dyDescent="0.4">
      <c r="B68" s="11">
        <v>51</v>
      </c>
      <c r="C68" s="16">
        <f t="shared" si="1"/>
        <v>5.3636057010488312</v>
      </c>
      <c r="D68" s="17">
        <f t="shared" si="3"/>
        <v>5.9595618900542568</v>
      </c>
      <c r="E68" s="17">
        <f t="shared" si="2"/>
        <v>6.5555180790596825</v>
      </c>
      <c r="F68" s="2">
        <v>6.7008000000000001</v>
      </c>
      <c r="G68" s="2" t="str">
        <f t="shared" si="0"/>
        <v>Fail</v>
      </c>
      <c r="Y68" s="2">
        <v>53</v>
      </c>
      <c r="Z68" s="2">
        <v>0.33239999999999997</v>
      </c>
      <c r="AA68" s="2">
        <v>0.36230000000000001</v>
      </c>
      <c r="AB68" s="2">
        <v>7.2971000000000004</v>
      </c>
    </row>
    <row r="69" spans="2:28" x14ac:dyDescent="0.4">
      <c r="B69" s="11">
        <v>52</v>
      </c>
      <c r="C69" s="16">
        <f t="shared" si="1"/>
        <v>5.5965661560369853</v>
      </c>
      <c r="D69" s="17">
        <f t="shared" si="3"/>
        <v>6.2184068400410952</v>
      </c>
      <c r="E69" s="17">
        <f t="shared" si="2"/>
        <v>6.8402475240452052</v>
      </c>
      <c r="F69" s="2">
        <v>7.0397999999999996</v>
      </c>
      <c r="G69" s="2" t="str">
        <f t="shared" si="0"/>
        <v>Fail</v>
      </c>
      <c r="Y69" s="2">
        <v>54</v>
      </c>
      <c r="Z69" s="2">
        <v>0.33169999999999999</v>
      </c>
      <c r="AA69" s="2">
        <v>0.3619</v>
      </c>
      <c r="AB69" s="2">
        <v>7.6604999999999999</v>
      </c>
    </row>
    <row r="70" spans="2:28" x14ac:dyDescent="0.4">
      <c r="B70" s="11">
        <v>53</v>
      </c>
      <c r="C70" s="16">
        <f t="shared" si="1"/>
        <v>5.8349393740971678</v>
      </c>
      <c r="D70" s="17">
        <f t="shared" si="3"/>
        <v>6.4832659712190752</v>
      </c>
      <c r="E70" s="17">
        <f t="shared" si="2"/>
        <v>7.1315925683409827</v>
      </c>
      <c r="F70" s="2">
        <v>7.2971000000000004</v>
      </c>
      <c r="G70" s="2" t="str">
        <f t="shared" si="0"/>
        <v>Fail</v>
      </c>
      <c r="Y70" s="2">
        <v>55</v>
      </c>
      <c r="Z70" s="2">
        <v>0.33110000000000001</v>
      </c>
      <c r="AA70" s="2">
        <v>0.36149999999999999</v>
      </c>
      <c r="AB70" s="2">
        <v>7.9105999999999996</v>
      </c>
    </row>
    <row r="71" spans="2:28" x14ac:dyDescent="0.4">
      <c r="B71" s="11">
        <v>54</v>
      </c>
      <c r="C71" s="16">
        <f t="shared" si="1"/>
        <v>6.0787459197139659</v>
      </c>
      <c r="D71" s="17">
        <f t="shared" si="3"/>
        <v>6.7541621330155177</v>
      </c>
      <c r="E71" s="17">
        <f t="shared" si="2"/>
        <v>7.4295783463170695</v>
      </c>
      <c r="F71" s="2">
        <v>7.6604999999999999</v>
      </c>
      <c r="G71" s="2" t="str">
        <f t="shared" si="0"/>
        <v>Fail</v>
      </c>
      <c r="Y71" s="2">
        <v>56</v>
      </c>
      <c r="Z71" s="2">
        <v>0.33</v>
      </c>
      <c r="AA71" s="2">
        <v>0.35909999999999997</v>
      </c>
      <c r="AB71" s="2">
        <v>8.2738999999999994</v>
      </c>
    </row>
    <row r="72" spans="2:28" x14ac:dyDescent="0.4">
      <c r="B72" s="11">
        <v>55</v>
      </c>
      <c r="C72" s="16">
        <f t="shared" si="1"/>
        <v>6.3280060506504263</v>
      </c>
      <c r="D72" s="17">
        <f t="shared" si="3"/>
        <v>7.0311178340560296</v>
      </c>
      <c r="E72" s="17">
        <f t="shared" si="2"/>
        <v>7.734229617461633</v>
      </c>
      <c r="F72" s="2">
        <v>7.9105999999999996</v>
      </c>
      <c r="G72" s="2" t="str">
        <f t="shared" si="0"/>
        <v>Fail</v>
      </c>
      <c r="Y72" s="2">
        <v>57</v>
      </c>
      <c r="Z72" s="2">
        <v>0.33090000000000003</v>
      </c>
      <c r="AA72" s="2">
        <v>0.35489999999999999</v>
      </c>
      <c r="AB72" s="2">
        <v>8.3485999999999994</v>
      </c>
    </row>
    <row r="73" spans="2:28" x14ac:dyDescent="0.4">
      <c r="B73" s="11">
        <v>56</v>
      </c>
      <c r="C73" s="16">
        <f t="shared" si="1"/>
        <v>6.5827397280538182</v>
      </c>
      <c r="D73" s="17">
        <f t="shared" si="3"/>
        <v>7.3141552533931309</v>
      </c>
      <c r="E73" s="17">
        <f t="shared" si="2"/>
        <v>8.0455707787324435</v>
      </c>
      <c r="F73" s="2">
        <v>8.2738999999999994</v>
      </c>
      <c r="G73" s="2" t="str">
        <f t="shared" si="0"/>
        <v>Fail</v>
      </c>
      <c r="Y73" s="2">
        <v>58</v>
      </c>
      <c r="Z73" s="2">
        <v>0.3301</v>
      </c>
      <c r="AA73" s="2">
        <v>0.3548</v>
      </c>
      <c r="AB73" s="2">
        <v>8.6333000000000002</v>
      </c>
    </row>
    <row r="74" spans="2:28" x14ac:dyDescent="0.4">
      <c r="B74" s="11">
        <v>57</v>
      </c>
      <c r="C74" s="16">
        <f t="shared" si="1"/>
        <v>6.8429666260527577</v>
      </c>
      <c r="D74" s="17">
        <f t="shared" si="3"/>
        <v>7.6032962511697306</v>
      </c>
      <c r="E74" s="17">
        <f t="shared" si="2"/>
        <v>8.3636258762867044</v>
      </c>
      <c r="F74" s="2">
        <v>8.3485999999999994</v>
      </c>
      <c r="G74" s="2" t="str">
        <f t="shared" si="0"/>
        <v>Pass</v>
      </c>
      <c r="Y74" s="2">
        <v>59</v>
      </c>
      <c r="Z74" s="2">
        <v>0.33260000000000001</v>
      </c>
      <c r="AA74" s="2">
        <v>0.35899999999999999</v>
      </c>
      <c r="AB74" s="2">
        <v>8.9654000000000007</v>
      </c>
    </row>
    <row r="75" spans="2:28" x14ac:dyDescent="0.4">
      <c r="B75" s="11">
        <v>58</v>
      </c>
      <c r="C75" s="16">
        <f t="shared" si="1"/>
        <v>7.1087061408797325</v>
      </c>
      <c r="D75" s="17">
        <f t="shared" si="3"/>
        <v>7.8985623787552584</v>
      </c>
      <c r="E75" s="17">
        <f t="shared" si="2"/>
        <v>8.6884186166307842</v>
      </c>
      <c r="F75" s="2">
        <v>8.6333000000000002</v>
      </c>
      <c r="G75" s="2" t="str">
        <f t="shared" si="0"/>
        <v>Pass</v>
      </c>
      <c r="Y75" s="2">
        <v>60</v>
      </c>
      <c r="Z75" s="2">
        <v>0.33229999999999998</v>
      </c>
      <c r="AA75" s="2">
        <v>0.35849999999999999</v>
      </c>
      <c r="AB75" s="2">
        <v>9.3800000000000008</v>
      </c>
    </row>
    <row r="76" spans="2:28" x14ac:dyDescent="0.4">
      <c r="B76" s="11">
        <v>59</v>
      </c>
      <c r="C76" s="16">
        <f t="shared" si="1"/>
        <v>7.3799773995504694</v>
      </c>
      <c r="D76" s="17">
        <f t="shared" si="3"/>
        <v>8.199974888389411</v>
      </c>
      <c r="E76" s="17">
        <f t="shared" si="2"/>
        <v>9.0199723772283527</v>
      </c>
      <c r="F76" s="2">
        <v>8.9654000000000007</v>
      </c>
      <c r="G76" s="2" t="str">
        <f t="shared" si="0"/>
        <v>Pass</v>
      </c>
      <c r="Y76" s="2">
        <v>61</v>
      </c>
      <c r="Z76" s="2">
        <v>0.33139999999999997</v>
      </c>
      <c r="AA76" s="2">
        <v>0.35859999999999997</v>
      </c>
      <c r="AB76" s="2">
        <v>9.6757000000000009</v>
      </c>
    </row>
    <row r="77" spans="2:28" x14ac:dyDescent="0.4">
      <c r="B77" s="11">
        <v>60</v>
      </c>
      <c r="C77" s="16">
        <f t="shared" si="1"/>
        <v>7.6567992681286938</v>
      </c>
      <c r="D77" s="17">
        <f t="shared" si="3"/>
        <v>8.5075547423652154</v>
      </c>
      <c r="E77" s="17">
        <f t="shared" si="2"/>
        <v>9.3583102166017369</v>
      </c>
      <c r="F77" s="2">
        <v>9.3800000000000008</v>
      </c>
      <c r="G77" s="2" t="str">
        <f t="shared" si="0"/>
        <v>Fail</v>
      </c>
      <c r="Y77" s="2">
        <v>62</v>
      </c>
      <c r="Z77" s="2">
        <v>0.33150000000000002</v>
      </c>
      <c r="AA77" s="2">
        <v>0.35830000000000001</v>
      </c>
      <c r="AB77" s="2">
        <v>9.9270999999999994</v>
      </c>
    </row>
    <row r="78" spans="2:28" x14ac:dyDescent="0.4">
      <c r="B78" s="11">
        <v>61</v>
      </c>
      <c r="C78" s="16">
        <f t="shared" si="1"/>
        <v>7.9391903596028941</v>
      </c>
      <c r="D78" s="17">
        <f t="shared" si="3"/>
        <v>8.8213226217809932</v>
      </c>
      <c r="E78" s="17">
        <f t="shared" si="2"/>
        <v>9.7034548839590933</v>
      </c>
      <c r="F78" s="2">
        <v>9.6757000000000009</v>
      </c>
      <c r="G78" s="2" t="str">
        <f t="shared" si="0"/>
        <v>Pass</v>
      </c>
      <c r="Y78" s="2">
        <v>63</v>
      </c>
      <c r="Z78" s="2">
        <v>0.33150000000000002</v>
      </c>
      <c r="AA78" s="2">
        <v>0.35909999999999997</v>
      </c>
      <c r="AB78" s="2">
        <v>10.4312</v>
      </c>
    </row>
    <row r="79" spans="2:28" x14ac:dyDescent="0.4">
      <c r="B79" s="11">
        <v>62</v>
      </c>
      <c r="C79" s="16">
        <f t="shared" si="1"/>
        <v>8.2271690413992165</v>
      </c>
      <c r="D79" s="17">
        <f t="shared" si="3"/>
        <v>9.1412989348880185</v>
      </c>
      <c r="E79" s="17">
        <f t="shared" si="2"/>
        <v>10.055428828376821</v>
      </c>
      <c r="F79" s="2">
        <v>9.9270999999999994</v>
      </c>
      <c r="G79" s="2" t="str">
        <f t="shared" si="0"/>
        <v>Pass</v>
      </c>
      <c r="Y79" s="2">
        <v>64</v>
      </c>
      <c r="Z79" s="2">
        <v>0.33119999999999999</v>
      </c>
      <c r="AA79" s="2">
        <v>0.35830000000000001</v>
      </c>
      <c r="AB79" s="2">
        <v>10.791700000000001</v>
      </c>
    </row>
    <row r="80" spans="2:28" x14ac:dyDescent="0.4">
      <c r="B80" s="11">
        <v>63</v>
      </c>
      <c r="C80" s="16">
        <f t="shared" si="1"/>
        <v>8.5207534425531186</v>
      </c>
      <c r="D80" s="17">
        <f t="shared" si="3"/>
        <v>9.4675038250590209</v>
      </c>
      <c r="E80" s="17">
        <f t="shared" si="2"/>
        <v>10.414254207564923</v>
      </c>
      <c r="F80" s="2">
        <v>10.4312</v>
      </c>
      <c r="G80" s="2" t="str">
        <f t="shared" si="0"/>
        <v>Fail</v>
      </c>
      <c r="Y80" s="2">
        <v>65</v>
      </c>
      <c r="Z80" s="2">
        <v>0.33300000000000002</v>
      </c>
      <c r="AA80" s="2">
        <v>0.36020000000000002</v>
      </c>
      <c r="AB80" s="2">
        <v>11.2127</v>
      </c>
    </row>
    <row r="81" spans="2:28" x14ac:dyDescent="0.4">
      <c r="B81" s="11">
        <v>64</v>
      </c>
      <c r="C81" s="16">
        <f t="shared" si="1"/>
        <v>8.8199614605603411</v>
      </c>
      <c r="D81" s="17">
        <f t="shared" si="3"/>
        <v>9.7999571784003798</v>
      </c>
      <c r="E81" s="17">
        <f t="shared" si="2"/>
        <v>10.779952896240419</v>
      </c>
      <c r="F81" s="2">
        <v>10.791700000000001</v>
      </c>
      <c r="G81" s="2" t="str">
        <f t="shared" ref="G81:G144" si="4">IF(F81&lt;=C81,"Fail",IF(AND(C81&lt;F81,F81&lt;E81),"Pass",IF(E81&lt;=F81,"Fail")))</f>
        <v>Fail</v>
      </c>
      <c r="Y81" s="2">
        <v>66</v>
      </c>
      <c r="Z81" s="2">
        <v>0.33260000000000001</v>
      </c>
      <c r="AA81" s="2">
        <v>0.36009999999999998</v>
      </c>
      <c r="AB81" s="2">
        <v>11.645300000000001</v>
      </c>
    </row>
    <row r="82" spans="2:28" x14ac:dyDescent="0.4">
      <c r="B82" s="11">
        <v>65</v>
      </c>
      <c r="C82" s="16">
        <f t="shared" ref="C82:C145" si="5">D82-D82*(C$14/100)</f>
        <v>9.1248107679263892</v>
      </c>
      <c r="D82" s="17">
        <f t="shared" si="3"/>
        <v>10.138678631029322</v>
      </c>
      <c r="E82" s="17">
        <f t="shared" ref="E82:E145" si="6">D82+D82*(C$14/100)</f>
        <v>11.152546494132254</v>
      </c>
      <c r="F82" s="2">
        <v>11.2127</v>
      </c>
      <c r="G82" s="2" t="str">
        <f t="shared" si="4"/>
        <v>Fail</v>
      </c>
      <c r="Y82" s="2">
        <v>67</v>
      </c>
      <c r="Z82" s="2">
        <v>0.33260000000000001</v>
      </c>
      <c r="AA82" s="2">
        <v>0.35949999999999999</v>
      </c>
      <c r="AB82" s="2">
        <v>11.950200000000001</v>
      </c>
    </row>
    <row r="83" spans="2:28" x14ac:dyDescent="0.4">
      <c r="B83" s="11">
        <v>66</v>
      </c>
      <c r="C83" s="16">
        <f t="shared" si="5"/>
        <v>9.43531881843235</v>
      </c>
      <c r="D83" s="17">
        <f t="shared" ref="D83:D146" si="7">D$272*((B83+F$17)/B$272)^C$13</f>
        <v>10.483687576035944</v>
      </c>
      <c r="E83" s="17">
        <f t="shared" si="6"/>
        <v>11.532056333639538</v>
      </c>
      <c r="F83" s="2">
        <v>11.645300000000001</v>
      </c>
      <c r="G83" s="2" t="str">
        <f t="shared" si="4"/>
        <v>Fail</v>
      </c>
      <c r="Y83" s="2">
        <v>68</v>
      </c>
      <c r="Z83" s="2">
        <v>0.3332</v>
      </c>
      <c r="AA83" s="2">
        <v>0.35599999999999998</v>
      </c>
      <c r="AB83" s="2">
        <v>12.007</v>
      </c>
    </row>
    <row r="84" spans="2:28" x14ac:dyDescent="0.4">
      <c r="B84" s="11">
        <v>67</v>
      </c>
      <c r="C84" s="16">
        <f t="shared" si="5"/>
        <v>9.7515028531332799</v>
      </c>
      <c r="D84" s="17">
        <f t="shared" si="7"/>
        <v>10.835003170148088</v>
      </c>
      <c r="E84" s="17">
        <f t="shared" si="6"/>
        <v>11.918503487162896</v>
      </c>
      <c r="F84" s="2">
        <v>11.950200000000001</v>
      </c>
      <c r="G84" s="2" t="str">
        <f t="shared" si="4"/>
        <v>Fail</v>
      </c>
      <c r="Y84" s="2">
        <v>69</v>
      </c>
      <c r="Z84" s="2">
        <v>0.33289999999999997</v>
      </c>
      <c r="AA84" s="2">
        <v>0.35570000000000002</v>
      </c>
      <c r="AB84" s="2">
        <v>12.5471</v>
      </c>
    </row>
    <row r="85" spans="2:28" x14ac:dyDescent="0.4">
      <c r="B85" s="11">
        <v>68</v>
      </c>
      <c r="C85" s="16">
        <f t="shared" si="5"/>
        <v>10.073379906104613</v>
      </c>
      <c r="D85" s="17">
        <f t="shared" si="7"/>
        <v>11.192644340116237</v>
      </c>
      <c r="E85" s="17">
        <f t="shared" si="6"/>
        <v>12.311908774127861</v>
      </c>
      <c r="F85" s="2">
        <v>12.007</v>
      </c>
      <c r="G85" s="2" t="str">
        <f t="shared" si="4"/>
        <v>Pass</v>
      </c>
      <c r="Y85" s="2">
        <v>70</v>
      </c>
      <c r="Z85" s="2">
        <v>0.33400000000000002</v>
      </c>
      <c r="AA85" s="2">
        <v>0.3589</v>
      </c>
      <c r="AB85" s="2">
        <v>12.811500000000001</v>
      </c>
    </row>
    <row r="86" spans="2:28" x14ac:dyDescent="0.4">
      <c r="B86" s="11">
        <v>69</v>
      </c>
      <c r="C86" s="16">
        <f t="shared" si="5"/>
        <v>10.400966809950614</v>
      </c>
      <c r="D86" s="17">
        <f t="shared" si="7"/>
        <v>11.556629788834014</v>
      </c>
      <c r="E86" s="17">
        <f t="shared" si="6"/>
        <v>12.712292767717415</v>
      </c>
      <c r="F86" s="2">
        <v>12.5471</v>
      </c>
      <c r="G86" s="2" t="str">
        <f t="shared" si="4"/>
        <v>Pass</v>
      </c>
      <c r="Y86" s="2">
        <v>71</v>
      </c>
      <c r="Z86" s="2">
        <v>0.3342</v>
      </c>
      <c r="AA86" s="2">
        <v>0.3584</v>
      </c>
      <c r="AB86" s="2">
        <v>13.255800000000001</v>
      </c>
    </row>
    <row r="87" spans="2:28" x14ac:dyDescent="0.4">
      <c r="B87" s="11">
        <v>70</v>
      </c>
      <c r="C87" s="16">
        <f t="shared" si="5"/>
        <v>10.734280201088094</v>
      </c>
      <c r="D87" s="17">
        <f t="shared" si="7"/>
        <v>11.926978001208994</v>
      </c>
      <c r="E87" s="17">
        <f t="shared" si="6"/>
        <v>13.119675801329894</v>
      </c>
      <c r="F87" s="2">
        <v>12.811500000000001</v>
      </c>
      <c r="G87" s="2" t="str">
        <f t="shared" si="4"/>
        <v>Pass</v>
      </c>
      <c r="Y87" s="2">
        <v>72</v>
      </c>
      <c r="Z87" s="2">
        <v>0.33360000000000001</v>
      </c>
      <c r="AA87" s="2">
        <v>0.35809999999999997</v>
      </c>
      <c r="AB87" s="2">
        <v>13.766</v>
      </c>
    </row>
    <row r="88" spans="2:28" x14ac:dyDescent="0.4">
      <c r="B88" s="11">
        <v>71</v>
      </c>
      <c r="C88" s="16">
        <f t="shared" si="5"/>
        <v>11.073336524817693</v>
      </c>
      <c r="D88" s="17">
        <f t="shared" si="7"/>
        <v>12.303707249797437</v>
      </c>
      <c r="E88" s="17">
        <f t="shared" si="6"/>
        <v>13.534077974777182</v>
      </c>
      <c r="F88" s="2">
        <v>13.255800000000001</v>
      </c>
      <c r="G88" s="2" t="str">
        <f t="shared" si="4"/>
        <v>Pass</v>
      </c>
      <c r="Y88" s="2">
        <v>73</v>
      </c>
      <c r="Z88" s="2">
        <v>0.33379999999999999</v>
      </c>
      <c r="AA88" s="2">
        <v>0.35780000000000001</v>
      </c>
      <c r="AB88" s="2">
        <v>14.095599999999999</v>
      </c>
    </row>
    <row r="89" spans="2:28" x14ac:dyDescent="0.4">
      <c r="B89" s="11">
        <v>72</v>
      </c>
      <c r="C89" s="16">
        <f t="shared" si="5"/>
        <v>11.418152040194098</v>
      </c>
      <c r="D89" s="17">
        <f t="shared" si="7"/>
        <v>12.686835600215664</v>
      </c>
      <c r="E89" s="17">
        <f t="shared" si="6"/>
        <v>13.95551916023723</v>
      </c>
      <c r="F89" s="2">
        <v>13.766</v>
      </c>
      <c r="G89" s="2" t="str">
        <f t="shared" si="4"/>
        <v>Pass</v>
      </c>
      <c r="Y89" s="2">
        <v>74</v>
      </c>
      <c r="Z89" s="2">
        <v>0.33350000000000002</v>
      </c>
      <c r="AA89" s="2">
        <v>0.3579</v>
      </c>
      <c r="AB89" s="2">
        <v>14.7028</v>
      </c>
    </row>
    <row r="90" spans="2:28" x14ac:dyDescent="0.4">
      <c r="B90" s="11">
        <v>73</v>
      </c>
      <c r="C90" s="16">
        <f t="shared" si="5"/>
        <v>11.768742824705871</v>
      </c>
      <c r="D90" s="17">
        <f t="shared" si="7"/>
        <v>13.076380916339858</v>
      </c>
      <c r="E90" s="17">
        <f t="shared" si="6"/>
        <v>14.384019007973844</v>
      </c>
      <c r="F90" s="2">
        <v>14.095599999999999</v>
      </c>
      <c r="G90" s="2" t="str">
        <f t="shared" si="4"/>
        <v>Pass</v>
      </c>
      <c r="Y90" s="2">
        <v>75</v>
      </c>
      <c r="Z90" s="2">
        <v>0.33450000000000002</v>
      </c>
      <c r="AA90" s="2">
        <v>0.3594</v>
      </c>
      <c r="AB90" s="2">
        <v>15.0814</v>
      </c>
    </row>
    <row r="91" spans="2:28" x14ac:dyDescent="0.4">
      <c r="B91" s="11">
        <v>74</v>
      </c>
      <c r="C91" s="16">
        <f t="shared" si="5"/>
        <v>12.12512477877493</v>
      </c>
      <c r="D91" s="17">
        <f t="shared" si="7"/>
        <v>13.472360865305479</v>
      </c>
      <c r="E91" s="17">
        <f t="shared" si="6"/>
        <v>14.819596951836028</v>
      </c>
      <c r="F91" s="2">
        <v>14.7028</v>
      </c>
      <c r="G91" s="2" t="str">
        <f t="shared" si="4"/>
        <v>Pass</v>
      </c>
      <c r="Y91" s="2">
        <v>76</v>
      </c>
      <c r="Z91" s="2">
        <v>0.33239999999999997</v>
      </c>
      <c r="AA91" s="2">
        <v>0.3604</v>
      </c>
      <c r="AB91" s="2">
        <v>15.540800000000001</v>
      </c>
    </row>
    <row r="92" spans="2:28" x14ac:dyDescent="0.4">
      <c r="B92" s="11">
        <v>75</v>
      </c>
      <c r="C92" s="16">
        <f t="shared" si="5"/>
        <v>12.487313630084831</v>
      </c>
      <c r="D92" s="17">
        <f t="shared" si="7"/>
        <v>13.874792922316479</v>
      </c>
      <c r="E92" s="17">
        <f t="shared" si="6"/>
        <v>15.262272214548126</v>
      </c>
      <c r="F92" s="2">
        <v>15.0814</v>
      </c>
      <c r="G92" s="2" t="str">
        <f t="shared" si="4"/>
        <v>Pass</v>
      </c>
      <c r="Y92" s="2">
        <v>77</v>
      </c>
      <c r="Z92" s="2">
        <v>0.33339999999999997</v>
      </c>
      <c r="AA92" s="2">
        <v>0.35720000000000002</v>
      </c>
      <c r="AB92" s="2">
        <v>15.5982</v>
      </c>
    </row>
    <row r="93" spans="2:28" x14ac:dyDescent="0.4">
      <c r="B93" s="11">
        <v>76</v>
      </c>
      <c r="C93" s="16">
        <f t="shared" si="5"/>
        <v>12.855324937746779</v>
      </c>
      <c r="D93" s="17">
        <f t="shared" si="7"/>
        <v>14.2836943752742</v>
      </c>
      <c r="E93" s="17">
        <f t="shared" si="6"/>
        <v>15.71206381280162</v>
      </c>
      <c r="F93" s="2">
        <v>15.540800000000001</v>
      </c>
      <c r="G93" s="2" t="str">
        <f t="shared" si="4"/>
        <v>Pass</v>
      </c>
      <c r="Y93" s="2">
        <v>78</v>
      </c>
      <c r="Z93" s="2">
        <v>0.33229999999999998</v>
      </c>
      <c r="AA93" s="2">
        <v>0.35580000000000001</v>
      </c>
      <c r="AB93" s="2">
        <v>16.126000000000001</v>
      </c>
    </row>
    <row r="94" spans="2:28" x14ac:dyDescent="0.4">
      <c r="B94" s="11">
        <v>77</v>
      </c>
      <c r="C94" s="16">
        <f t="shared" si="5"/>
        <v>13.229174096311329</v>
      </c>
      <c r="D94" s="17">
        <f t="shared" si="7"/>
        <v>14.699082329234811</v>
      </c>
      <c r="E94" s="17">
        <f t="shared" si="6"/>
        <v>16.168990562158292</v>
      </c>
      <c r="F94" s="2">
        <v>15.5982</v>
      </c>
      <c r="G94" s="2" t="str">
        <f t="shared" si="4"/>
        <v>Pass</v>
      </c>
      <c r="Y94" s="2">
        <v>79</v>
      </c>
      <c r="Z94" s="2">
        <v>0.33279999999999998</v>
      </c>
      <c r="AA94" s="2">
        <v>0.35720000000000002</v>
      </c>
      <c r="AB94" s="2">
        <v>16.428999999999998</v>
      </c>
    </row>
    <row r="95" spans="2:28" x14ac:dyDescent="0.4">
      <c r="B95" s="11">
        <v>78</v>
      </c>
      <c r="C95" s="16">
        <f t="shared" si="5"/>
        <v>13.608876339633493</v>
      </c>
      <c r="D95" s="17">
        <f t="shared" si="7"/>
        <v>15.120973710703883</v>
      </c>
      <c r="E95" s="17">
        <f t="shared" si="6"/>
        <v>16.633071081774272</v>
      </c>
      <c r="F95" s="2">
        <v>16.126000000000001</v>
      </c>
      <c r="G95" s="2" t="str">
        <f t="shared" si="4"/>
        <v>Pass</v>
      </c>
      <c r="Y95" s="2">
        <v>80</v>
      </c>
      <c r="Z95" s="2">
        <v>0.33289999999999997</v>
      </c>
      <c r="AA95" s="2">
        <v>0.35670000000000002</v>
      </c>
      <c r="AB95" s="2">
        <v>17.171399999999998</v>
      </c>
    </row>
    <row r="96" spans="2:28" x14ac:dyDescent="0.4">
      <c r="B96" s="11">
        <v>79</v>
      </c>
      <c r="C96" s="16">
        <f t="shared" si="5"/>
        <v>13.994446744598545</v>
      </c>
      <c r="D96" s="17">
        <f t="shared" si="7"/>
        <v>15.549385271776162</v>
      </c>
      <c r="E96" s="17">
        <f t="shared" si="6"/>
        <v>17.104323798953779</v>
      </c>
      <c r="F96" s="2">
        <v>16.428999999999998</v>
      </c>
      <c r="G96" s="2" t="str">
        <f t="shared" si="4"/>
        <v>Pass</v>
      </c>
      <c r="Y96" s="2">
        <v>81</v>
      </c>
      <c r="Z96" s="2">
        <v>0.33250000000000002</v>
      </c>
      <c r="AA96" s="2">
        <v>0.35649999999999998</v>
      </c>
      <c r="AB96" s="2">
        <v>17.552099999999999</v>
      </c>
    </row>
    <row r="97" spans="2:28" x14ac:dyDescent="0.4">
      <c r="B97" s="11">
        <v>80</v>
      </c>
      <c r="C97" s="16">
        <f t="shared" si="5"/>
        <v>14.385900234715011</v>
      </c>
      <c r="D97" s="17">
        <f t="shared" si="7"/>
        <v>15.98433359412779</v>
      </c>
      <c r="E97" s="17">
        <f t="shared" si="6"/>
        <v>17.58276695354057</v>
      </c>
      <c r="F97" s="2">
        <v>17.171399999999998</v>
      </c>
      <c r="G97" s="2" t="str">
        <f t="shared" si="4"/>
        <v>Pass</v>
      </c>
      <c r="Y97" s="2">
        <v>82</v>
      </c>
      <c r="Z97" s="2">
        <v>0.33200000000000002</v>
      </c>
      <c r="AA97" s="2">
        <v>0.35610000000000003</v>
      </c>
      <c r="AB97" s="2">
        <v>18.206800000000001</v>
      </c>
    </row>
    <row r="98" spans="2:28" x14ac:dyDescent="0.4">
      <c r="B98" s="11">
        <v>81</v>
      </c>
      <c r="C98" s="16">
        <f t="shared" si="5"/>
        <v>14.783251583581471</v>
      </c>
      <c r="D98" s="17">
        <f t="shared" si="7"/>
        <v>16.425835092868301</v>
      </c>
      <c r="E98" s="17">
        <f t="shared" si="6"/>
        <v>18.068418602155131</v>
      </c>
      <c r="F98" s="2">
        <v>17.552099999999999</v>
      </c>
      <c r="G98" s="2" t="str">
        <f t="shared" si="4"/>
        <v>Pass</v>
      </c>
      <c r="Y98" s="2">
        <v>83</v>
      </c>
      <c r="Z98" s="2">
        <v>0.33210000000000001</v>
      </c>
      <c r="AA98" s="2">
        <v>0.35599999999999998</v>
      </c>
      <c r="AB98" s="2">
        <v>18.526800000000001</v>
      </c>
    </row>
    <row r="99" spans="2:28" x14ac:dyDescent="0.4">
      <c r="B99" s="11">
        <v>82</v>
      </c>
      <c r="C99" s="16">
        <f t="shared" si="5"/>
        <v>15.186515418232865</v>
      </c>
      <c r="D99" s="17">
        <f t="shared" si="7"/>
        <v>16.87390602025874</v>
      </c>
      <c r="E99" s="17">
        <f t="shared" si="6"/>
        <v>18.561296622284615</v>
      </c>
      <c r="F99" s="2">
        <v>18.206800000000001</v>
      </c>
      <c r="G99" s="2" t="str">
        <f t="shared" si="4"/>
        <v>Pass</v>
      </c>
      <c r="Y99" s="2">
        <v>84</v>
      </c>
      <c r="Z99" s="2">
        <v>0.33400000000000002</v>
      </c>
      <c r="AA99" s="2">
        <v>0.35949999999999999</v>
      </c>
      <c r="AB99" s="2">
        <v>19.141100000000002</v>
      </c>
    </row>
    <row r="100" spans="2:28" x14ac:dyDescent="0.4">
      <c r="B100" s="11">
        <v>83</v>
      </c>
      <c r="C100" s="16">
        <f t="shared" si="5"/>
        <v>15.595706222372083</v>
      </c>
      <c r="D100" s="17">
        <f t="shared" si="7"/>
        <v>17.328562469302316</v>
      </c>
      <c r="E100" s="17">
        <f t="shared" si="6"/>
        <v>19.061418716232549</v>
      </c>
      <c r="F100" s="2">
        <v>18.526800000000001</v>
      </c>
      <c r="G100" s="2" t="str">
        <f t="shared" si="4"/>
        <v>Pass</v>
      </c>
      <c r="Y100" s="2">
        <v>85</v>
      </c>
      <c r="Z100" s="2">
        <v>0.33360000000000001</v>
      </c>
      <c r="AA100" s="2">
        <v>0.3589</v>
      </c>
      <c r="AB100" s="2">
        <v>19.692900000000002</v>
      </c>
    </row>
    <row r="101" spans="2:28" x14ac:dyDescent="0.4">
      <c r="B101" s="11">
        <v>84</v>
      </c>
      <c r="C101" s="16">
        <f t="shared" si="5"/>
        <v>16.010838339492015</v>
      </c>
      <c r="D101" s="17">
        <f t="shared" si="7"/>
        <v>17.789820377213349</v>
      </c>
      <c r="E101" s="17">
        <f t="shared" si="6"/>
        <v>19.568802414934684</v>
      </c>
      <c r="F101" s="2">
        <v>19.141100000000002</v>
      </c>
      <c r="G101" s="2" t="str">
        <f t="shared" si="4"/>
        <v>Pass</v>
      </c>
      <c r="Y101" s="2">
        <v>86</v>
      </c>
      <c r="Z101" s="2">
        <v>0.33400000000000002</v>
      </c>
      <c r="AA101" s="2">
        <v>0.35610000000000003</v>
      </c>
      <c r="AB101" s="2">
        <v>19.896999999999998</v>
      </c>
    </row>
    <row r="102" spans="2:28" x14ac:dyDescent="0.4">
      <c r="B102" s="11">
        <v>85</v>
      </c>
      <c r="C102" s="16">
        <f t="shared" si="5"/>
        <v>16.431925975893108</v>
      </c>
      <c r="D102" s="17">
        <f t="shared" si="7"/>
        <v>18.257695528770121</v>
      </c>
      <c r="E102" s="17">
        <f t="shared" si="6"/>
        <v>20.083465081647134</v>
      </c>
      <c r="F102" s="2">
        <v>19.692900000000002</v>
      </c>
      <c r="G102" s="2" t="str">
        <f t="shared" si="4"/>
        <v>Pass</v>
      </c>
      <c r="Y102" s="2">
        <v>87</v>
      </c>
      <c r="Z102" s="2">
        <v>0.33329999999999999</v>
      </c>
      <c r="AA102" s="2">
        <v>0.3553</v>
      </c>
      <c r="AB102" s="2">
        <v>20.215699999999998</v>
      </c>
    </row>
    <row r="103" spans="2:28" x14ac:dyDescent="0.4">
      <c r="B103" s="11">
        <v>86</v>
      </c>
      <c r="C103" s="16">
        <f t="shared" si="5"/>
        <v>16.858983203601099</v>
      </c>
      <c r="D103" s="17">
        <f t="shared" si="7"/>
        <v>18.732203559556776</v>
      </c>
      <c r="E103" s="17">
        <f t="shared" si="6"/>
        <v>20.605423915512453</v>
      </c>
      <c r="F103" s="2">
        <v>19.896999999999998</v>
      </c>
      <c r="G103" s="2" t="str">
        <f t="shared" si="4"/>
        <v>Pass</v>
      </c>
      <c r="Y103" s="2">
        <v>88</v>
      </c>
      <c r="Z103" s="2">
        <v>0.3347</v>
      </c>
      <c r="AA103" s="2">
        <v>0.35909999999999997</v>
      </c>
      <c r="AB103" s="2">
        <v>20.790299999999998</v>
      </c>
    </row>
    <row r="104" spans="2:28" x14ac:dyDescent="0.4">
      <c r="B104" s="11">
        <v>87</v>
      </c>
      <c r="C104" s="16">
        <f t="shared" si="5"/>
        <v>17.292023963189273</v>
      </c>
      <c r="D104" s="17">
        <f t="shared" si="7"/>
        <v>19.21335995909919</v>
      </c>
      <c r="E104" s="17">
        <f t="shared" si="6"/>
        <v>21.134695955009107</v>
      </c>
      <c r="F104" s="2">
        <v>20.215699999999998</v>
      </c>
      <c r="G104" s="2" t="str">
        <f t="shared" si="4"/>
        <v>Pass</v>
      </c>
      <c r="Y104" s="2">
        <v>89</v>
      </c>
      <c r="Z104" s="2">
        <v>0.33460000000000001</v>
      </c>
      <c r="AA104" s="2">
        <v>0.35880000000000001</v>
      </c>
      <c r="AB104" s="2">
        <v>21.441400000000002</v>
      </c>
    </row>
    <row r="105" spans="2:28" x14ac:dyDescent="0.4">
      <c r="B105" s="11">
        <v>88</v>
      </c>
      <c r="C105" s="16">
        <f t="shared" si="5"/>
        <v>17.731062066509619</v>
      </c>
      <c r="D105" s="17">
        <f t="shared" si="7"/>
        <v>19.701180073899575</v>
      </c>
      <c r="E105" s="17">
        <f t="shared" si="6"/>
        <v>21.671298081289532</v>
      </c>
      <c r="F105" s="2">
        <v>20.790299999999998</v>
      </c>
      <c r="G105" s="2" t="str">
        <f t="shared" si="4"/>
        <v>Pass</v>
      </c>
      <c r="Y105" s="2">
        <v>90</v>
      </c>
      <c r="Z105" s="2">
        <v>0.33329999999999999</v>
      </c>
      <c r="AA105" s="2">
        <v>0.35649999999999998</v>
      </c>
      <c r="AB105" s="2">
        <v>21.9191</v>
      </c>
    </row>
    <row r="106" spans="2:28" x14ac:dyDescent="0.4">
      <c r="B106" s="11">
        <v>89</v>
      </c>
      <c r="C106" s="16">
        <f t="shared" si="5"/>
        <v>18.176111199336606</v>
      </c>
      <c r="D106" s="17">
        <f t="shared" si="7"/>
        <v>20.195679110374009</v>
      </c>
      <c r="E106" s="17">
        <f t="shared" si="6"/>
        <v>22.215247021411411</v>
      </c>
      <c r="F106" s="2">
        <v>21.441400000000002</v>
      </c>
      <c r="G106" s="2" t="str">
        <f t="shared" si="4"/>
        <v>Pass</v>
      </c>
      <c r="Y106" s="2">
        <v>91</v>
      </c>
      <c r="Z106" s="2">
        <v>0.33300000000000002</v>
      </c>
      <c r="AA106" s="2">
        <v>0.35620000000000002</v>
      </c>
      <c r="AB106" s="2">
        <v>22.464300000000001</v>
      </c>
    </row>
    <row r="107" spans="2:28" x14ac:dyDescent="0.4">
      <c r="B107" s="11">
        <v>90</v>
      </c>
      <c r="C107" s="16">
        <f t="shared" si="5"/>
        <v>18.627184923927555</v>
      </c>
      <c r="D107" s="17">
        <f t="shared" si="7"/>
        <v>20.696872137697284</v>
      </c>
      <c r="E107" s="17">
        <f t="shared" si="6"/>
        <v>22.766559351467013</v>
      </c>
      <c r="F107" s="2">
        <v>21.9191</v>
      </c>
      <c r="G107" s="2" t="str">
        <f t="shared" si="4"/>
        <v>Pass</v>
      </c>
      <c r="Y107" s="2">
        <v>92</v>
      </c>
      <c r="Z107" s="2">
        <v>0.33300000000000002</v>
      </c>
      <c r="AA107" s="2">
        <v>0.35580000000000001</v>
      </c>
      <c r="AB107" s="2">
        <v>23.1219</v>
      </c>
    </row>
    <row r="108" spans="2:28" x14ac:dyDescent="0.4">
      <c r="B108" s="11">
        <v>91</v>
      </c>
      <c r="C108" s="16">
        <f t="shared" si="5"/>
        <v>19.084296681502916</v>
      </c>
      <c r="D108" s="17">
        <f t="shared" si="7"/>
        <v>21.204774090558796</v>
      </c>
      <c r="E108" s="17">
        <f t="shared" si="6"/>
        <v>23.325251499614676</v>
      </c>
      <c r="F108" s="2">
        <v>22.464300000000001</v>
      </c>
      <c r="G108" s="2" t="str">
        <f t="shared" si="4"/>
        <v>Pass</v>
      </c>
      <c r="Y108" s="2">
        <v>93</v>
      </c>
      <c r="Z108" s="2">
        <v>0.33439999999999998</v>
      </c>
      <c r="AA108" s="2">
        <v>0.35680000000000001</v>
      </c>
      <c r="AB108" s="2">
        <v>23.5459</v>
      </c>
    </row>
    <row r="109" spans="2:28" x14ac:dyDescent="0.4">
      <c r="B109" s="11">
        <v>92</v>
      </c>
      <c r="C109" s="16">
        <f t="shared" si="5"/>
        <v>19.547459794649992</v>
      </c>
      <c r="D109" s="17">
        <f t="shared" si="7"/>
        <v>21.719399771833324</v>
      </c>
      <c r="E109" s="17">
        <f t="shared" si="6"/>
        <v>23.891339749016655</v>
      </c>
      <c r="F109" s="2">
        <v>23.1219</v>
      </c>
      <c r="G109" s="2" t="str">
        <f t="shared" si="4"/>
        <v>Pass</v>
      </c>
      <c r="Y109" s="2">
        <v>94</v>
      </c>
      <c r="Z109" s="2">
        <v>0.3342</v>
      </c>
      <c r="AA109" s="2">
        <v>0.3569</v>
      </c>
      <c r="AB109" s="2">
        <v>24.361499999999999</v>
      </c>
    </row>
    <row r="110" spans="2:28" x14ac:dyDescent="0.4">
      <c r="B110" s="11">
        <v>93</v>
      </c>
      <c r="C110" s="16">
        <f t="shared" si="5"/>
        <v>20.016687469653256</v>
      </c>
      <c r="D110" s="17">
        <f t="shared" si="7"/>
        <v>22.240763855170282</v>
      </c>
      <c r="E110" s="17">
        <f t="shared" si="6"/>
        <v>24.464840240687309</v>
      </c>
      <c r="F110" s="2">
        <v>23.5459</v>
      </c>
      <c r="G110" s="2" t="str">
        <f t="shared" si="4"/>
        <v>Pass</v>
      </c>
      <c r="Y110" s="2">
        <v>95</v>
      </c>
      <c r="Z110" s="2">
        <v>0.33479999999999999</v>
      </c>
      <c r="AA110" s="2">
        <v>0.35449999999999998</v>
      </c>
      <c r="AB110" s="2">
        <v>24.381799999999998</v>
      </c>
    </row>
    <row r="111" spans="2:28" x14ac:dyDescent="0.4">
      <c r="B111" s="11">
        <v>94</v>
      </c>
      <c r="C111" s="16">
        <f t="shared" si="5"/>
        <v>20.491992798754097</v>
      </c>
      <c r="D111" s="17">
        <f t="shared" si="7"/>
        <v>22.768880887504551</v>
      </c>
      <c r="E111" s="17">
        <f t="shared" si="6"/>
        <v>25.045768976255005</v>
      </c>
      <c r="F111" s="2">
        <v>24.361499999999999</v>
      </c>
      <c r="G111" s="2" t="str">
        <f t="shared" si="4"/>
        <v>Pass</v>
      </c>
      <c r="Y111" s="2">
        <v>96</v>
      </c>
      <c r="Z111" s="2">
        <v>0.33439999999999998</v>
      </c>
      <c r="AA111" s="2">
        <v>0.3538</v>
      </c>
      <c r="AB111" s="2">
        <v>25.1065</v>
      </c>
    </row>
    <row r="112" spans="2:28" x14ac:dyDescent="0.4">
      <c r="B112" s="11">
        <v>95</v>
      </c>
      <c r="C112" s="16">
        <f t="shared" si="5"/>
        <v>20.973388762343109</v>
      </c>
      <c r="D112" s="17">
        <f t="shared" si="7"/>
        <v>23.303765291492343</v>
      </c>
      <c r="E112" s="17">
        <f t="shared" si="6"/>
        <v>25.634141820641577</v>
      </c>
      <c r="F112" s="2">
        <v>24.381799999999998</v>
      </c>
      <c r="G112" s="2" t="str">
        <f t="shared" si="4"/>
        <v>Pass</v>
      </c>
      <c r="Y112" s="2">
        <v>97</v>
      </c>
      <c r="Z112" s="2">
        <v>0.33610000000000001</v>
      </c>
      <c r="AA112" s="2">
        <v>0.35709999999999997</v>
      </c>
      <c r="AB112" s="2">
        <v>25.588699999999999</v>
      </c>
    </row>
    <row r="113" spans="2:28" x14ac:dyDescent="0.4">
      <c r="B113" s="11">
        <v>96</v>
      </c>
      <c r="C113" s="16">
        <f t="shared" si="5"/>
        <v>21.460888231087466</v>
      </c>
      <c r="D113" s="17">
        <f t="shared" si="7"/>
        <v>23.845431367874962</v>
      </c>
      <c r="E113" s="17">
        <f t="shared" si="6"/>
        <v>26.229974504662458</v>
      </c>
      <c r="F113" s="2">
        <v>25.1065</v>
      </c>
      <c r="G113" s="2" t="str">
        <f t="shared" si="4"/>
        <v>Pass</v>
      </c>
      <c r="Y113" s="2">
        <v>98</v>
      </c>
      <c r="Z113" s="2">
        <v>0.33500000000000002</v>
      </c>
      <c r="AA113" s="2">
        <v>0.35649999999999998</v>
      </c>
      <c r="AB113" s="2">
        <v>26.2105</v>
      </c>
    </row>
    <row r="114" spans="2:28" x14ac:dyDescent="0.4">
      <c r="B114" s="11">
        <v>97</v>
      </c>
      <c r="C114" s="16">
        <f t="shared" si="5"/>
        <v>21.954503967996043</v>
      </c>
      <c r="D114" s="17">
        <f t="shared" si="7"/>
        <v>24.393893297773381</v>
      </c>
      <c r="E114" s="17">
        <f t="shared" si="6"/>
        <v>26.833282627550719</v>
      </c>
      <c r="F114" s="2">
        <v>25.588699999999999</v>
      </c>
      <c r="G114" s="2" t="str">
        <f t="shared" si="4"/>
        <v>Pass</v>
      </c>
      <c r="Y114" s="2">
        <v>99</v>
      </c>
      <c r="Z114" s="2">
        <v>0.33489999999999998</v>
      </c>
      <c r="AA114" s="2">
        <v>0.35659999999999997</v>
      </c>
      <c r="AB114" s="2">
        <v>26.8233</v>
      </c>
    </row>
    <row r="115" spans="2:28" x14ac:dyDescent="0.4">
      <c r="B115" s="11">
        <v>98</v>
      </c>
      <c r="C115" s="16">
        <f t="shared" si="5"/>
        <v>22.454248630424654</v>
      </c>
      <c r="D115" s="17">
        <f t="shared" si="7"/>
        <v>24.949165144916282</v>
      </c>
      <c r="E115" s="17">
        <f t="shared" si="6"/>
        <v>27.44408165940791</v>
      </c>
      <c r="F115" s="2">
        <v>26.2105</v>
      </c>
      <c r="G115" s="2" t="str">
        <f t="shared" si="4"/>
        <v>Pass</v>
      </c>
      <c r="Y115" s="2">
        <v>100</v>
      </c>
      <c r="Z115" s="2">
        <v>0.33460000000000001</v>
      </c>
      <c r="AA115" s="2">
        <v>0.35630000000000001</v>
      </c>
      <c r="AB115" s="2">
        <v>27.457599999999999</v>
      </c>
    </row>
    <row r="116" spans="2:28" x14ac:dyDescent="0.4">
      <c r="B116" s="11">
        <v>99</v>
      </c>
      <c r="C116" s="16">
        <f t="shared" si="5"/>
        <v>22.960134772023835</v>
      </c>
      <c r="D116" s="17">
        <f t="shared" si="7"/>
        <v>25.51126085780426</v>
      </c>
      <c r="E116" s="17">
        <f t="shared" si="6"/>
        <v>28.062386943584684</v>
      </c>
      <c r="F116" s="2">
        <v>26.8233</v>
      </c>
      <c r="G116" s="2" t="str">
        <f t="shared" si="4"/>
        <v>Pass</v>
      </c>
      <c r="Y116" s="2">
        <v>101</v>
      </c>
      <c r="Z116" s="2">
        <v>0.33450000000000002</v>
      </c>
      <c r="AA116" s="2">
        <v>0.35610000000000003</v>
      </c>
      <c r="AB116" s="2">
        <v>28.230899999999998</v>
      </c>
    </row>
    <row r="117" spans="2:28" x14ac:dyDescent="0.4">
      <c r="B117" s="11">
        <v>100</v>
      </c>
      <c r="C117" s="16">
        <f t="shared" si="5"/>
        <v>23.472174844631255</v>
      </c>
      <c r="D117" s="17">
        <f t="shared" si="7"/>
        <v>26.080194271812505</v>
      </c>
      <c r="E117" s="17">
        <f t="shared" si="6"/>
        <v>28.688213698993756</v>
      </c>
      <c r="F117" s="2">
        <v>27.457599999999999</v>
      </c>
      <c r="G117" s="2" t="str">
        <f t="shared" si="4"/>
        <v>Pass</v>
      </c>
      <c r="Y117" s="2">
        <v>102</v>
      </c>
      <c r="Z117" s="2">
        <v>0.33589999999999998</v>
      </c>
      <c r="AA117" s="2">
        <v>0.35880000000000001</v>
      </c>
      <c r="AB117" s="2">
        <v>28.7639</v>
      </c>
    </row>
    <row r="118" spans="2:28" x14ac:dyDescent="0.4">
      <c r="B118" s="11">
        <v>101</v>
      </c>
      <c r="C118" s="16">
        <f t="shared" si="5"/>
        <v>23.990381200111088</v>
      </c>
      <c r="D118" s="17">
        <f t="shared" si="7"/>
        <v>26.65597911123454</v>
      </c>
      <c r="E118" s="17">
        <f t="shared" si="6"/>
        <v>29.321577022357992</v>
      </c>
      <c r="F118" s="2">
        <v>28.230899999999998</v>
      </c>
      <c r="G118" s="2" t="str">
        <f t="shared" si="4"/>
        <v>Pass</v>
      </c>
      <c r="Y118" s="2">
        <v>103</v>
      </c>
      <c r="Z118" s="2">
        <v>0.33560000000000001</v>
      </c>
      <c r="AA118" s="2">
        <v>0.3584</v>
      </c>
      <c r="AB118" s="2">
        <v>29.183299999999999</v>
      </c>
    </row>
    <row r="119" spans="2:28" x14ac:dyDescent="0.4">
      <c r="B119" s="11">
        <v>102</v>
      </c>
      <c r="C119" s="16">
        <f t="shared" si="5"/>
        <v>24.514766092142057</v>
      </c>
      <c r="D119" s="17">
        <f t="shared" si="7"/>
        <v>27.238628991268953</v>
      </c>
      <c r="E119" s="17">
        <f t="shared" si="6"/>
        <v>29.962491890395849</v>
      </c>
      <c r="F119" s="2">
        <v>28.7639</v>
      </c>
      <c r="G119" s="2" t="str">
        <f t="shared" si="4"/>
        <v>Pass</v>
      </c>
      <c r="Y119" s="2">
        <v>104</v>
      </c>
      <c r="Z119" s="2">
        <v>0.33439999999999998</v>
      </c>
      <c r="AA119" s="2">
        <v>0.35470000000000002</v>
      </c>
      <c r="AB119" s="2">
        <v>29.406300000000002</v>
      </c>
    </row>
    <row r="120" spans="2:28" x14ac:dyDescent="0.4">
      <c r="B120" s="11">
        <v>103</v>
      </c>
      <c r="C120" s="16">
        <f t="shared" si="5"/>
        <v>25.045341677956291</v>
      </c>
      <c r="D120" s="17">
        <f t="shared" si="7"/>
        <v>27.828157419951435</v>
      </c>
      <c r="E120" s="17">
        <f t="shared" si="6"/>
        <v>30.610973161946578</v>
      </c>
      <c r="F120" s="2">
        <v>29.183299999999999</v>
      </c>
      <c r="G120" s="2" t="str">
        <f t="shared" si="4"/>
        <v>Pass</v>
      </c>
      <c r="Y120" s="2">
        <v>105</v>
      </c>
      <c r="Z120" s="2">
        <v>0.3347</v>
      </c>
      <c r="AA120" s="2">
        <v>0.35399999999999998</v>
      </c>
      <c r="AB120" s="2">
        <v>30.206</v>
      </c>
    </row>
    <row r="121" spans="2:28" x14ac:dyDescent="0.4">
      <c r="B121" s="11">
        <v>104</v>
      </c>
      <c r="C121" s="16">
        <f t="shared" si="5"/>
        <v>25.582120020030743</v>
      </c>
      <c r="D121" s="17">
        <f t="shared" si="7"/>
        <v>28.424577800034161</v>
      </c>
      <c r="E121" s="17">
        <f t="shared" si="6"/>
        <v>31.267035580037579</v>
      </c>
      <c r="F121" s="2">
        <v>29.406300000000002</v>
      </c>
      <c r="G121" s="2" t="str">
        <f t="shared" si="4"/>
        <v>Pass</v>
      </c>
      <c r="Y121" s="2">
        <v>106</v>
      </c>
      <c r="Z121" s="2">
        <v>0.33639999999999998</v>
      </c>
      <c r="AA121" s="2">
        <v>0.3569</v>
      </c>
      <c r="AB121" s="2">
        <v>30.8856</v>
      </c>
    </row>
    <row r="122" spans="2:28" x14ac:dyDescent="0.4">
      <c r="B122" s="11">
        <v>105</v>
      </c>
      <c r="C122" s="16">
        <f t="shared" si="5"/>
        <v>26.125113087732892</v>
      </c>
      <c r="D122" s="17">
        <f t="shared" si="7"/>
        <v>29.027903430814323</v>
      </c>
      <c r="E122" s="17">
        <f t="shared" si="6"/>
        <v>31.930693773895754</v>
      </c>
      <c r="F122" s="2">
        <v>30.206</v>
      </c>
      <c r="G122" s="2" t="str">
        <f t="shared" si="4"/>
        <v>Pass</v>
      </c>
      <c r="Y122" s="2">
        <v>107</v>
      </c>
      <c r="Z122" s="2">
        <v>0.3362</v>
      </c>
      <c r="AA122" s="2">
        <v>0.35670000000000002</v>
      </c>
      <c r="AB122" s="2">
        <v>31.511600000000001</v>
      </c>
    </row>
    <row r="123" spans="2:28" x14ac:dyDescent="0.4">
      <c r="B123" s="11">
        <v>106</v>
      </c>
      <c r="C123" s="16">
        <f t="shared" si="5"/>
        <v>26.674332758922443</v>
      </c>
      <c r="D123" s="17">
        <f t="shared" si="7"/>
        <v>29.638147509913825</v>
      </c>
      <c r="E123" s="17">
        <f t="shared" si="6"/>
        <v>32.601962260905211</v>
      </c>
      <c r="F123" s="2">
        <v>30.8856</v>
      </c>
      <c r="G123" s="2" t="str">
        <f t="shared" si="4"/>
        <v>Pass</v>
      </c>
      <c r="Y123" s="2">
        <v>108</v>
      </c>
      <c r="Z123" s="2">
        <v>0.33579999999999999</v>
      </c>
      <c r="AA123" s="2">
        <v>0.35630000000000001</v>
      </c>
      <c r="AB123" s="2">
        <v>32.320799999999998</v>
      </c>
    </row>
    <row r="124" spans="2:28" x14ac:dyDescent="0.4">
      <c r="B124" s="11">
        <v>107</v>
      </c>
      <c r="C124" s="16">
        <f t="shared" si="5"/>
        <v>27.229790821510512</v>
      </c>
      <c r="D124" s="17">
        <f t="shared" si="7"/>
        <v>30.255323135011679</v>
      </c>
      <c r="E124" s="17">
        <f t="shared" si="6"/>
        <v>33.280855448512845</v>
      </c>
      <c r="F124" s="2">
        <v>31.511600000000001</v>
      </c>
      <c r="G124" s="2" t="str">
        <f t="shared" si="4"/>
        <v>Pass</v>
      </c>
      <c r="Y124" s="2">
        <v>109</v>
      </c>
      <c r="Z124" s="2">
        <v>0.33560000000000001</v>
      </c>
      <c r="AA124" s="2">
        <v>0.35570000000000002</v>
      </c>
      <c r="AB124" s="2">
        <v>32.771900000000002</v>
      </c>
    </row>
    <row r="125" spans="2:28" x14ac:dyDescent="0.4">
      <c r="B125" s="11">
        <v>108</v>
      </c>
      <c r="C125" s="16">
        <f t="shared" si="5"/>
        <v>27.791498974977909</v>
      </c>
      <c r="D125" s="17">
        <f t="shared" si="7"/>
        <v>30.879443305531009</v>
      </c>
      <c r="E125" s="17">
        <f t="shared" si="6"/>
        <v>33.967387636084112</v>
      </c>
      <c r="F125" s="2">
        <v>32.320799999999998</v>
      </c>
      <c r="G125" s="2" t="str">
        <f t="shared" si="4"/>
        <v>Pass</v>
      </c>
      <c r="Y125" s="2">
        <v>110</v>
      </c>
      <c r="Z125" s="2">
        <v>0.33539999999999998</v>
      </c>
      <c r="AA125" s="2">
        <v>0.3553</v>
      </c>
      <c r="AB125" s="2">
        <v>33.657299999999999</v>
      </c>
    </row>
    <row r="126" spans="2:28" x14ac:dyDescent="0.4">
      <c r="B126" s="11">
        <v>109</v>
      </c>
      <c r="C126" s="16">
        <f t="shared" si="5"/>
        <v>28.35946883185396</v>
      </c>
      <c r="D126" s="17">
        <f t="shared" si="7"/>
        <v>31.510520924282179</v>
      </c>
      <c r="E126" s="17">
        <f t="shared" si="6"/>
        <v>34.661573016710399</v>
      </c>
      <c r="F126" s="2">
        <v>32.771900000000002</v>
      </c>
      <c r="G126" s="2" t="str">
        <f t="shared" si="4"/>
        <v>Pass</v>
      </c>
      <c r="Y126" s="2">
        <v>111</v>
      </c>
      <c r="Z126" s="2">
        <v>0.33689999999999998</v>
      </c>
      <c r="AA126" s="2">
        <v>0.3579</v>
      </c>
      <c r="AB126" s="2">
        <v>34.360999999999997</v>
      </c>
    </row>
    <row r="127" spans="2:28" x14ac:dyDescent="0.4">
      <c r="B127" s="11">
        <v>110</v>
      </c>
      <c r="C127" s="16">
        <f t="shared" si="5"/>
        <v>28.93371191915714</v>
      </c>
      <c r="D127" s="17">
        <f t="shared" si="7"/>
        <v>32.14856879906349</v>
      </c>
      <c r="E127" s="17">
        <f t="shared" si="6"/>
        <v>35.36342567896984</v>
      </c>
      <c r="F127" s="2">
        <v>33.657299999999999</v>
      </c>
      <c r="G127" s="2" t="str">
        <f t="shared" si="4"/>
        <v>Pass</v>
      </c>
      <c r="Y127" s="2">
        <v>112</v>
      </c>
      <c r="Z127" s="2">
        <v>0.33450000000000002</v>
      </c>
      <c r="AA127" s="2">
        <v>0.3569</v>
      </c>
      <c r="AB127" s="2">
        <v>34.982700000000001</v>
      </c>
    </row>
    <row r="128" spans="2:28" x14ac:dyDescent="0.4">
      <c r="B128" s="11">
        <v>111</v>
      </c>
      <c r="C128" s="16">
        <f t="shared" si="5"/>
        <v>29.51423967979893</v>
      </c>
      <c r="D128" s="17">
        <f t="shared" si="7"/>
        <v>32.793599644221032</v>
      </c>
      <c r="E128" s="17">
        <f t="shared" si="6"/>
        <v>36.072959608643139</v>
      </c>
      <c r="F128" s="2">
        <v>34.360999999999997</v>
      </c>
      <c r="G128" s="2" t="str">
        <f t="shared" si="4"/>
        <v>Pass</v>
      </c>
      <c r="Y128" s="2">
        <v>113</v>
      </c>
      <c r="Z128" s="2">
        <v>0.33450000000000002</v>
      </c>
      <c r="AA128" s="2">
        <v>0.35659999999999997</v>
      </c>
      <c r="AB128" s="2">
        <v>35.647799999999997</v>
      </c>
    </row>
    <row r="129" spans="2:28" x14ac:dyDescent="0.4">
      <c r="B129" s="11">
        <v>112</v>
      </c>
      <c r="C129" s="16">
        <f t="shared" si="5"/>
        <v>30.101063473952209</v>
      </c>
      <c r="D129" s="17">
        <f t="shared" si="7"/>
        <v>33.44562608216912</v>
      </c>
      <c r="E129" s="17">
        <f t="shared" si="6"/>
        <v>36.790188690386032</v>
      </c>
      <c r="F129" s="2">
        <v>34.982700000000001</v>
      </c>
      <c r="G129" s="2" t="str">
        <f t="shared" si="4"/>
        <v>Pass</v>
      </c>
      <c r="Y129" s="2">
        <v>114</v>
      </c>
      <c r="Z129" s="2">
        <v>0.33500000000000002</v>
      </c>
      <c r="AA129" s="2">
        <v>0.35449999999999998</v>
      </c>
      <c r="AB129" s="2">
        <v>35.7806</v>
      </c>
    </row>
    <row r="130" spans="2:28" x14ac:dyDescent="0.4">
      <c r="B130" s="11">
        <v>113</v>
      </c>
      <c r="C130" s="16">
        <f t="shared" si="5"/>
        <v>30.694194580385251</v>
      </c>
      <c r="D130" s="17">
        <f t="shared" si="7"/>
        <v>34.104660644872503</v>
      </c>
      <c r="E130" s="17">
        <f t="shared" si="6"/>
        <v>37.515126709359755</v>
      </c>
      <c r="F130" s="2">
        <v>35.647799999999997</v>
      </c>
      <c r="G130" s="2" t="str">
        <f t="shared" si="4"/>
        <v>Pass</v>
      </c>
      <c r="Y130" s="2">
        <v>115</v>
      </c>
      <c r="Z130" s="2">
        <v>0.33450000000000002</v>
      </c>
      <c r="AA130" s="2">
        <v>0.35389999999999999</v>
      </c>
      <c r="AB130" s="2">
        <v>36.464700000000001</v>
      </c>
    </row>
    <row r="131" spans="2:28" x14ac:dyDescent="0.4">
      <c r="B131" s="11">
        <v>114</v>
      </c>
      <c r="C131" s="16">
        <f t="shared" si="5"/>
        <v>31.293644197762617</v>
      </c>
      <c r="D131" s="17">
        <f t="shared" si="7"/>
        <v>34.770715775291798</v>
      </c>
      <c r="E131" s="17">
        <f t="shared" si="6"/>
        <v>38.247787352820978</v>
      </c>
      <c r="F131" s="2">
        <v>35.7806</v>
      </c>
      <c r="G131" s="2" t="str">
        <f t="shared" si="4"/>
        <v>Pass</v>
      </c>
      <c r="Y131" s="2">
        <v>116</v>
      </c>
      <c r="Z131" s="2">
        <v>0.33579999999999999</v>
      </c>
      <c r="AA131" s="2">
        <v>0.35639999999999999</v>
      </c>
      <c r="AB131" s="2">
        <v>37.192500000000003</v>
      </c>
    </row>
    <row r="132" spans="2:28" x14ac:dyDescent="0.4">
      <c r="B132" s="11">
        <v>115</v>
      </c>
      <c r="C132" s="16">
        <f t="shared" si="5"/>
        <v>31.899423445913904</v>
      </c>
      <c r="D132" s="17">
        <f t="shared" si="7"/>
        <v>35.443803828793229</v>
      </c>
      <c r="E132" s="17">
        <f t="shared" si="6"/>
        <v>38.988184211672554</v>
      </c>
      <c r="F132" s="2">
        <v>36.464700000000001</v>
      </c>
      <c r="G132" s="2" t="str">
        <f t="shared" si="4"/>
        <v>Pass</v>
      </c>
      <c r="Y132" s="2">
        <v>117</v>
      </c>
      <c r="Z132" s="2">
        <v>0.33560000000000001</v>
      </c>
      <c r="AA132" s="2">
        <v>0.35630000000000001</v>
      </c>
      <c r="AB132" s="2">
        <v>37.975999999999999</v>
      </c>
    </row>
    <row r="133" spans="2:28" x14ac:dyDescent="0.4">
      <c r="B133" s="11">
        <v>116</v>
      </c>
      <c r="C133" s="16">
        <f t="shared" si="5"/>
        <v>32.511543367071631</v>
      </c>
      <c r="D133" s="17">
        <f t="shared" si="7"/>
        <v>36.123937074524036</v>
      </c>
      <c r="E133" s="17">
        <f t="shared" si="6"/>
        <v>39.736330781976442</v>
      </c>
      <c r="F133" s="2">
        <v>37.192500000000003</v>
      </c>
      <c r="G133" s="2" t="str">
        <f t="shared" si="4"/>
        <v>Pass</v>
      </c>
      <c r="Y133" s="2">
        <v>118</v>
      </c>
      <c r="Z133" s="2">
        <v>0.3352</v>
      </c>
      <c r="AA133" s="2">
        <v>0.35589999999999999</v>
      </c>
      <c r="AB133" s="2">
        <v>38.972200000000001</v>
      </c>
    </row>
    <row r="134" spans="2:28" x14ac:dyDescent="0.4">
      <c r="B134" s="11">
        <v>117</v>
      </c>
      <c r="C134" s="16">
        <f t="shared" si="5"/>
        <v>33.130014927079074</v>
      </c>
      <c r="D134" s="17">
        <f t="shared" si="7"/>
        <v>36.811127696754525</v>
      </c>
      <c r="E134" s="17">
        <f t="shared" si="6"/>
        <v>40.492240466429976</v>
      </c>
      <c r="F134" s="2">
        <v>37.975999999999999</v>
      </c>
      <c r="G134" s="2" t="str">
        <f t="shared" si="4"/>
        <v>Pass</v>
      </c>
      <c r="Y134" s="2">
        <v>119</v>
      </c>
      <c r="Z134" s="2">
        <v>0.33439999999999998</v>
      </c>
      <c r="AA134" s="2">
        <v>0.3548</v>
      </c>
      <c r="AB134" s="2">
        <v>39.671599999999998</v>
      </c>
    </row>
    <row r="135" spans="2:28" x14ac:dyDescent="0.4">
      <c r="B135" s="11">
        <v>118</v>
      </c>
      <c r="C135" s="16">
        <f t="shared" si="5"/>
        <v>33.754849016569096</v>
      </c>
      <c r="D135" s="17">
        <f t="shared" si="7"/>
        <v>37.505387796187883</v>
      </c>
      <c r="E135" s="17">
        <f t="shared" si="6"/>
        <v>41.255926575806669</v>
      </c>
      <c r="F135" s="2">
        <v>38.972200000000001</v>
      </c>
      <c r="G135" s="2" t="str">
        <f t="shared" si="4"/>
        <v>Pass</v>
      </c>
      <c r="Y135" s="2">
        <v>120</v>
      </c>
      <c r="Z135" s="2">
        <v>0.33510000000000001</v>
      </c>
      <c r="AA135" s="2">
        <v>0.35610000000000003</v>
      </c>
      <c r="AB135" s="2">
        <v>40.401899999999998</v>
      </c>
    </row>
    <row r="136" spans="2:28" x14ac:dyDescent="0.4">
      <c r="B136" s="11">
        <v>119</v>
      </c>
      <c r="C136" s="16">
        <f t="shared" si="5"/>
        <v>34.386056452114907</v>
      </c>
      <c r="D136" s="17">
        <f t="shared" si="7"/>
        <v>38.206729391238788</v>
      </c>
      <c r="E136" s="17">
        <f t="shared" si="6"/>
        <v>42.027402330362669</v>
      </c>
      <c r="F136" s="2">
        <v>39.671599999999998</v>
      </c>
      <c r="G136" s="2" t="str">
        <f t="shared" si="4"/>
        <v>Pass</v>
      </c>
      <c r="Y136" s="2">
        <v>121</v>
      </c>
      <c r="Z136" s="2">
        <v>0.33479999999999999</v>
      </c>
      <c r="AA136" s="2">
        <v>0.35549999999999998</v>
      </c>
      <c r="AB136" s="2">
        <v>41.299100000000003</v>
      </c>
    </row>
    <row r="137" spans="2:28" x14ac:dyDescent="0.4">
      <c r="B137" s="11">
        <v>120</v>
      </c>
      <c r="C137" s="16">
        <f t="shared" si="5"/>
        <v>35.023647977353818</v>
      </c>
      <c r="D137" s="17">
        <f t="shared" si="7"/>
        <v>38.915164419282021</v>
      </c>
      <c r="E137" s="17">
        <f t="shared" si="6"/>
        <v>42.806680861210225</v>
      </c>
      <c r="F137" s="2">
        <v>40.401899999999998</v>
      </c>
      <c r="G137" s="2" t="str">
        <f t="shared" si="4"/>
        <v>Pass</v>
      </c>
      <c r="Y137" s="2">
        <v>122</v>
      </c>
      <c r="Z137" s="2">
        <v>0.33479999999999999</v>
      </c>
      <c r="AA137" s="2">
        <v>0.35520000000000002</v>
      </c>
      <c r="AB137" s="2">
        <v>41.880800000000001</v>
      </c>
    </row>
    <row r="138" spans="2:28" x14ac:dyDescent="0.4">
      <c r="B138" s="11">
        <v>121</v>
      </c>
      <c r="C138" s="16">
        <f t="shared" si="5"/>
        <v>35.667634264084427</v>
      </c>
      <c r="D138" s="17">
        <f t="shared" si="7"/>
        <v>39.630704737871589</v>
      </c>
      <c r="E138" s="17">
        <f t="shared" si="6"/>
        <v>43.593775211658752</v>
      </c>
      <c r="F138" s="2">
        <v>41.299100000000003</v>
      </c>
      <c r="G138" s="2" t="str">
        <f t="shared" si="4"/>
        <v>Pass</v>
      </c>
      <c r="Y138" s="2">
        <v>123</v>
      </c>
      <c r="Z138" s="2">
        <v>0.33500000000000002</v>
      </c>
      <c r="AA138" s="2">
        <v>0.3533</v>
      </c>
      <c r="AB138" s="2">
        <v>42.057699999999997</v>
      </c>
    </row>
    <row r="139" spans="2:28" x14ac:dyDescent="0.4">
      <c r="B139" s="11">
        <v>122</v>
      </c>
      <c r="C139" s="16">
        <f t="shared" si="5"/>
        <v>36.318025913338616</v>
      </c>
      <c r="D139" s="17">
        <f t="shared" si="7"/>
        <v>40.353362125931795</v>
      </c>
      <c r="E139" s="17">
        <f t="shared" si="6"/>
        <v>44.388698338524975</v>
      </c>
      <c r="F139" s="2">
        <v>41.880800000000001</v>
      </c>
      <c r="G139" s="2" t="str">
        <f t="shared" si="4"/>
        <v>Pass</v>
      </c>
      <c r="Y139" s="2">
        <v>124</v>
      </c>
      <c r="Z139" s="2">
        <v>0.33479999999999999</v>
      </c>
      <c r="AA139" s="2">
        <v>0.35310000000000002</v>
      </c>
      <c r="AB139" s="2">
        <v>42.779400000000003</v>
      </c>
    </row>
    <row r="140" spans="2:28" x14ac:dyDescent="0.4">
      <c r="B140" s="11">
        <v>123</v>
      </c>
      <c r="C140" s="16">
        <f t="shared" si="5"/>
        <v>36.974833456428613</v>
      </c>
      <c r="D140" s="17">
        <f t="shared" si="7"/>
        <v>41.083148284920682</v>
      </c>
      <c r="E140" s="17">
        <f t="shared" si="6"/>
        <v>45.191463113412752</v>
      </c>
      <c r="F140" s="2">
        <v>42.057699999999997</v>
      </c>
      <c r="G140" s="2" t="str">
        <f t="shared" si="4"/>
        <v>Pass</v>
      </c>
      <c r="Y140" s="2">
        <v>125</v>
      </c>
      <c r="Z140" s="2">
        <v>0.33589999999999998</v>
      </c>
      <c r="AA140" s="2">
        <v>0.35539999999999999</v>
      </c>
      <c r="AB140" s="2">
        <v>43.730200000000004</v>
      </c>
    </row>
    <row r="141" spans="2:28" x14ac:dyDescent="0.4">
      <c r="B141" s="11">
        <v>124</v>
      </c>
      <c r="C141" s="16">
        <f t="shared" si="5"/>
        <v>37.638067355970414</v>
      </c>
      <c r="D141" s="17">
        <f t="shared" si="7"/>
        <v>41.820074839967127</v>
      </c>
      <c r="E141" s="17">
        <f t="shared" si="6"/>
        <v>46.00208232396384</v>
      </c>
      <c r="F141" s="2">
        <v>42.779400000000003</v>
      </c>
      <c r="G141" s="2" t="str">
        <f t="shared" si="4"/>
        <v>Pass</v>
      </c>
      <c r="Y141" s="2">
        <v>126</v>
      </c>
      <c r="Z141" s="2">
        <v>0.33579999999999999</v>
      </c>
      <c r="AA141" s="2">
        <v>0.35489999999999999</v>
      </c>
      <c r="AB141" s="2">
        <v>44.462600000000002</v>
      </c>
    </row>
    <row r="142" spans="2:28" x14ac:dyDescent="0.4">
      <c r="B142" s="11">
        <v>125</v>
      </c>
      <c r="C142" s="16">
        <f t="shared" si="5"/>
        <v>38.307738006883802</v>
      </c>
      <c r="D142" s="17">
        <f t="shared" si="7"/>
        <v>42.564153340982003</v>
      </c>
      <c r="E142" s="17">
        <f t="shared" si="6"/>
        <v>46.820568675080203</v>
      </c>
      <c r="F142" s="2">
        <v>43.730200000000004</v>
      </c>
      <c r="G142" s="2" t="str">
        <f t="shared" si="4"/>
        <v>Pass</v>
      </c>
      <c r="Y142" s="2">
        <v>127</v>
      </c>
      <c r="Z142" s="2">
        <v>0.33529999999999999</v>
      </c>
      <c r="AA142" s="2">
        <v>0.35470000000000002</v>
      </c>
      <c r="AB142" s="2">
        <v>45.475499999999997</v>
      </c>
    </row>
    <row r="143" spans="2:28" x14ac:dyDescent="0.4">
      <c r="B143" s="11">
        <v>126</v>
      </c>
      <c r="C143" s="16">
        <f t="shared" si="5"/>
        <v>38.98385573737</v>
      </c>
      <c r="D143" s="17">
        <f t="shared" si="7"/>
        <v>43.315395263744442</v>
      </c>
      <c r="E143" s="17">
        <f t="shared" si="6"/>
        <v>47.646934790118884</v>
      </c>
      <c r="F143" s="2">
        <v>44.462600000000002</v>
      </c>
      <c r="G143" s="2" t="str">
        <f t="shared" si="4"/>
        <v>Pass</v>
      </c>
      <c r="Y143" s="2">
        <v>128</v>
      </c>
      <c r="Z143" s="2">
        <v>0.33510000000000001</v>
      </c>
      <c r="AA143" s="2">
        <v>0.35439999999999999</v>
      </c>
      <c r="AB143" s="2">
        <v>46.246499999999997</v>
      </c>
    </row>
    <row r="144" spans="2:28" x14ac:dyDescent="0.4">
      <c r="B144" s="11">
        <v>127</v>
      </c>
      <c r="C144" s="16">
        <f t="shared" si="5"/>
        <v>39.666430809867499</v>
      </c>
      <c r="D144" s="17">
        <f t="shared" si="7"/>
        <v>44.073812010963891</v>
      </c>
      <c r="E144" s="17">
        <f t="shared" si="6"/>
        <v>48.481193212060283</v>
      </c>
      <c r="F144" s="2">
        <v>45.475499999999997</v>
      </c>
      <c r="G144" s="2" t="str">
        <f t="shared" si="4"/>
        <v>Pass</v>
      </c>
      <c r="Y144" s="2">
        <v>129</v>
      </c>
      <c r="Z144" s="2">
        <v>0.33489999999999998</v>
      </c>
      <c r="AA144" s="2">
        <v>0.35399999999999998</v>
      </c>
      <c r="AB144" s="2">
        <v>46.983199999999997</v>
      </c>
    </row>
    <row r="145" spans="2:28" x14ac:dyDescent="0.4">
      <c r="B145" s="11">
        <v>128</v>
      </c>
      <c r="C145" s="16">
        <f t="shared" si="5"/>
        <v>40.355473421986915</v>
      </c>
      <c r="D145" s="17">
        <f t="shared" si="7"/>
        <v>44.839414913318791</v>
      </c>
      <c r="E145" s="17">
        <f t="shared" si="6"/>
        <v>49.323356404650667</v>
      </c>
      <c r="F145" s="2">
        <v>46.246499999999997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0.33600000000000002</v>
      </c>
      <c r="AA145" s="2">
        <v>0.35599999999999998</v>
      </c>
      <c r="AB145" s="2">
        <v>47.950699999999998</v>
      </c>
    </row>
    <row r="146" spans="2:28" x14ac:dyDescent="0.4">
      <c r="B146" s="11">
        <v>129</v>
      </c>
      <c r="C146" s="16">
        <f t="shared" ref="C146:C209" si="9">D146-D146*(C$14/100)</f>
        <v>41.050993707425015</v>
      </c>
      <c r="D146" s="17">
        <f t="shared" si="7"/>
        <v>45.612215230472238</v>
      </c>
      <c r="E146" s="17">
        <f t="shared" ref="E146:E209" si="10">D146+D146*(C$14/100)</f>
        <v>50.173436753519461</v>
      </c>
      <c r="F146" s="2">
        <v>46.983199999999997</v>
      </c>
      <c r="G146" s="2" t="str">
        <f t="shared" si="8"/>
        <v>Pass</v>
      </c>
      <c r="Y146" s="2">
        <v>131</v>
      </c>
      <c r="Z146" s="2">
        <v>0.33579999999999999</v>
      </c>
      <c r="AA146" s="2">
        <v>0.35570000000000002</v>
      </c>
      <c r="AB146" s="2">
        <v>48.702199999999998</v>
      </c>
    </row>
    <row r="147" spans="2:28" x14ac:dyDescent="0.4">
      <c r="B147" s="11">
        <v>130</v>
      </c>
      <c r="C147" s="16">
        <f t="shared" si="9"/>
        <v>41.753001736859147</v>
      </c>
      <c r="D147" s="17">
        <f t="shared" ref="D147:D210" si="11">D$272*((B147+F$17)/B$272)^C$13</f>
        <v>46.392224152065722</v>
      </c>
      <c r="E147" s="17">
        <f t="shared" si="10"/>
        <v>51.031446567272297</v>
      </c>
      <c r="F147" s="2">
        <v>47.950699999999998</v>
      </c>
      <c r="G147" s="2" t="str">
        <f t="shared" si="8"/>
        <v>Pass</v>
      </c>
      <c r="Y147" s="2">
        <v>132</v>
      </c>
      <c r="Z147" s="2">
        <v>0.33539999999999998</v>
      </c>
      <c r="AA147" s="2">
        <v>0.3553</v>
      </c>
      <c r="AB147" s="2">
        <v>49.433199999999999</v>
      </c>
    </row>
    <row r="148" spans="2:28" x14ac:dyDescent="0.4">
      <c r="B148" s="11">
        <v>131</v>
      </c>
      <c r="C148" s="16">
        <f t="shared" si="9"/>
        <v>42.461507518822224</v>
      </c>
      <c r="D148" s="17">
        <f t="shared" si="11"/>
        <v>47.179452798691358</v>
      </c>
      <c r="E148" s="17">
        <f t="shared" si="10"/>
        <v>51.897398078560492</v>
      </c>
      <c r="F148" s="2">
        <v>48.702199999999998</v>
      </c>
      <c r="G148" s="2" t="str">
        <f t="shared" si="8"/>
        <v>Pass</v>
      </c>
      <c r="Y148" s="2">
        <v>133</v>
      </c>
      <c r="Z148" s="2">
        <v>0.33460000000000001</v>
      </c>
      <c r="AA148" s="2">
        <v>0.35249999999999998</v>
      </c>
      <c r="AB148" s="2">
        <v>49.695900000000002</v>
      </c>
    </row>
    <row r="149" spans="2:28" x14ac:dyDescent="0.4">
      <c r="B149" s="11">
        <v>132</v>
      </c>
      <c r="C149" s="16">
        <f t="shared" si="9"/>
        <v>43.176521000558985</v>
      </c>
      <c r="D149" s="17">
        <f t="shared" si="11"/>
        <v>47.973912222843317</v>
      </c>
      <c r="E149" s="17">
        <f t="shared" si="10"/>
        <v>52.77130344512765</v>
      </c>
      <c r="F149" s="2">
        <v>49.433199999999999</v>
      </c>
      <c r="G149" s="2" t="str">
        <f t="shared" si="8"/>
        <v>Pass</v>
      </c>
      <c r="Y149" s="2">
        <v>134</v>
      </c>
      <c r="Z149" s="2">
        <v>0.33429999999999999</v>
      </c>
      <c r="AA149" s="2">
        <v>0.35220000000000001</v>
      </c>
      <c r="AB149" s="2">
        <v>50.734299999999998</v>
      </c>
    </row>
    <row r="150" spans="2:28" x14ac:dyDescent="0.4">
      <c r="B150" s="11">
        <v>133</v>
      </c>
      <c r="C150" s="16">
        <f t="shared" si="9"/>
        <v>43.898052068863883</v>
      </c>
      <c r="D150" s="17">
        <f t="shared" si="11"/>
        <v>48.775613409848759</v>
      </c>
      <c r="E150" s="17">
        <f t="shared" si="10"/>
        <v>53.653174750833635</v>
      </c>
      <c r="F150" s="2">
        <v>49.695900000000002</v>
      </c>
      <c r="G150" s="2" t="str">
        <f t="shared" si="8"/>
        <v>Pass</v>
      </c>
      <c r="Y150" s="2">
        <v>135</v>
      </c>
      <c r="Z150" s="2">
        <v>0.33610000000000001</v>
      </c>
      <c r="AA150" s="2">
        <v>0.35399999999999998</v>
      </c>
      <c r="AB150" s="2">
        <v>51.472799999999999</v>
      </c>
    </row>
    <row r="151" spans="2:28" x14ac:dyDescent="0.4">
      <c r="B151" s="11">
        <v>134</v>
      </c>
      <c r="C151" s="16">
        <f t="shared" si="9"/>
        <v>44.626110550901664</v>
      </c>
      <c r="D151" s="17">
        <f t="shared" si="11"/>
        <v>49.58456727877963</v>
      </c>
      <c r="E151" s="17">
        <f t="shared" si="10"/>
        <v>54.543024006657596</v>
      </c>
      <c r="F151" s="2">
        <v>50.734299999999998</v>
      </c>
      <c r="G151" s="2" t="str">
        <f t="shared" si="8"/>
        <v>Pass</v>
      </c>
      <c r="Y151" s="2">
        <v>136</v>
      </c>
      <c r="Z151" s="2">
        <v>0.33589999999999998</v>
      </c>
      <c r="AA151" s="2">
        <v>0.35399999999999998</v>
      </c>
      <c r="AB151" s="2">
        <v>52.238799999999998</v>
      </c>
    </row>
    <row r="152" spans="2:28" x14ac:dyDescent="0.4">
      <c r="B152" s="11">
        <v>135</v>
      </c>
      <c r="C152" s="16">
        <f t="shared" si="9"/>
        <v>45.360706215010367</v>
      </c>
      <c r="D152" s="17">
        <f t="shared" si="11"/>
        <v>50.400784683344853</v>
      </c>
      <c r="E152" s="17">
        <f t="shared" si="10"/>
        <v>55.440863151679338</v>
      </c>
      <c r="F152" s="2">
        <v>51.472799999999999</v>
      </c>
      <c r="G152" s="2" t="str">
        <f t="shared" si="8"/>
        <v>Pass</v>
      </c>
      <c r="Y152" s="2">
        <v>137</v>
      </c>
      <c r="Z152" s="2">
        <v>0.3357</v>
      </c>
      <c r="AA152" s="2">
        <v>0.35349999999999998</v>
      </c>
      <c r="AB152" s="2">
        <v>53.243400000000001</v>
      </c>
    </row>
    <row r="153" spans="2:28" x14ac:dyDescent="0.4">
      <c r="B153" s="11">
        <v>136</v>
      </c>
      <c r="C153" s="16">
        <f t="shared" si="9"/>
        <v>46.101848771487823</v>
      </c>
      <c r="D153" s="17">
        <f t="shared" si="11"/>
        <v>51.224276412764247</v>
      </c>
      <c r="E153" s="17">
        <f t="shared" si="10"/>
        <v>56.346704054040671</v>
      </c>
      <c r="F153" s="2">
        <v>52.238799999999998</v>
      </c>
      <c r="G153" s="2" t="str">
        <f t="shared" si="8"/>
        <v>Pass</v>
      </c>
      <c r="Y153" s="2">
        <v>138</v>
      </c>
      <c r="Z153" s="2">
        <v>0.33560000000000001</v>
      </c>
      <c r="AA153" s="2">
        <v>0.35310000000000002</v>
      </c>
      <c r="AB153" s="2">
        <v>53.891599999999997</v>
      </c>
    </row>
    <row r="154" spans="2:28" x14ac:dyDescent="0.4">
      <c r="B154" s="11">
        <v>137</v>
      </c>
      <c r="C154" s="16">
        <f t="shared" si="9"/>
        <v>46.849547873361793</v>
      </c>
      <c r="D154" s="17">
        <f t="shared" si="11"/>
        <v>52.055053192624214</v>
      </c>
      <c r="E154" s="17">
        <f t="shared" si="10"/>
        <v>57.260558511886636</v>
      </c>
      <c r="F154" s="2">
        <v>53.243400000000001</v>
      </c>
      <c r="G154" s="2" t="str">
        <f t="shared" si="8"/>
        <v>Pass</v>
      </c>
      <c r="Y154" s="2">
        <v>139</v>
      </c>
      <c r="Z154" s="2">
        <v>0.33529999999999999</v>
      </c>
      <c r="AA154" s="2">
        <v>0.35310000000000002</v>
      </c>
      <c r="AB154" s="2">
        <v>55.064500000000002</v>
      </c>
    </row>
    <row r="155" spans="2:28" x14ac:dyDescent="0.4">
      <c r="B155" s="11">
        <v>138</v>
      </c>
      <c r="C155" s="16">
        <f t="shared" si="9"/>
        <v>47.603813117144547</v>
      </c>
      <c r="D155" s="17">
        <f t="shared" si="11"/>
        <v>52.893125685716164</v>
      </c>
      <c r="E155" s="17">
        <f t="shared" si="10"/>
        <v>58.182438254287781</v>
      </c>
      <c r="F155" s="2">
        <v>53.891599999999997</v>
      </c>
      <c r="G155" s="2" t="str">
        <f t="shared" si="8"/>
        <v>Pass</v>
      </c>
      <c r="Y155" s="2">
        <v>140</v>
      </c>
      <c r="Z155" s="2">
        <v>0.33650000000000002</v>
      </c>
      <c r="AA155" s="2">
        <v>0.35510000000000003</v>
      </c>
      <c r="AB155" s="2">
        <v>55.7926</v>
      </c>
    </row>
    <row r="156" spans="2:28" x14ac:dyDescent="0.4">
      <c r="B156" s="11">
        <v>139</v>
      </c>
      <c r="C156" s="16">
        <f t="shared" si="9"/>
        <v>48.364654043571804</v>
      </c>
      <c r="D156" s="17">
        <f t="shared" si="11"/>
        <v>53.738504492857558</v>
      </c>
      <c r="E156" s="17">
        <f t="shared" si="10"/>
        <v>59.112354942143313</v>
      </c>
      <c r="F156" s="2">
        <v>55.064500000000002</v>
      </c>
      <c r="G156" s="2" t="str">
        <f t="shared" si="8"/>
        <v>Pass</v>
      </c>
      <c r="Y156" s="2">
        <v>141</v>
      </c>
      <c r="Z156" s="2">
        <v>0.33629999999999999</v>
      </c>
      <c r="AA156" s="2">
        <v>0.3548</v>
      </c>
      <c r="AB156" s="2">
        <v>56.4998</v>
      </c>
    </row>
    <row r="157" spans="2:28" x14ac:dyDescent="0.4">
      <c r="B157" s="11">
        <v>140</v>
      </c>
      <c r="C157" s="16">
        <f t="shared" si="9"/>
        <v>49.132080138327012</v>
      </c>
      <c r="D157" s="17">
        <f t="shared" si="11"/>
        <v>54.591200153696683</v>
      </c>
      <c r="E157" s="17">
        <f t="shared" si="10"/>
        <v>60.050320169066353</v>
      </c>
      <c r="F157" s="2">
        <v>55.7926</v>
      </c>
      <c r="G157" s="2" t="str">
        <f t="shared" si="8"/>
        <v>Pass</v>
      </c>
      <c r="Y157" s="2">
        <v>142</v>
      </c>
      <c r="Z157" s="2">
        <v>0.33610000000000001</v>
      </c>
      <c r="AA157" s="2">
        <v>0.35439999999999999</v>
      </c>
      <c r="AB157" s="2">
        <v>57.659799999999997</v>
      </c>
    </row>
    <row r="158" spans="2:28" x14ac:dyDescent="0.4">
      <c r="B158" s="11">
        <v>141</v>
      </c>
      <c r="C158" s="16">
        <f t="shared" si="9"/>
        <v>49.906100832750852</v>
      </c>
      <c r="D158" s="17">
        <f t="shared" si="11"/>
        <v>55.451223147500947</v>
      </c>
      <c r="E158" s="17">
        <f t="shared" si="10"/>
        <v>60.996345462251043</v>
      </c>
      <c r="F158" s="2">
        <v>56.4998</v>
      </c>
      <c r="G158" s="2" t="str">
        <f t="shared" si="8"/>
        <v>Pass</v>
      </c>
      <c r="Y158" s="2">
        <v>143</v>
      </c>
      <c r="Z158" s="2">
        <v>0.33489999999999998</v>
      </c>
      <c r="AA158" s="2">
        <v>0.35220000000000001</v>
      </c>
      <c r="AB158" s="2">
        <v>57.7164</v>
      </c>
    </row>
    <row r="159" spans="2:28" x14ac:dyDescent="0.4">
      <c r="B159" s="11">
        <v>142</v>
      </c>
      <c r="C159" s="16">
        <f t="shared" si="9"/>
        <v>50.686725504536888</v>
      </c>
      <c r="D159" s="17">
        <f t="shared" si="11"/>
        <v>56.318583893929876</v>
      </c>
      <c r="E159" s="17">
        <f t="shared" si="10"/>
        <v>61.950442283322865</v>
      </c>
      <c r="F159" s="2">
        <v>57.659799999999997</v>
      </c>
      <c r="G159" s="2" t="str">
        <f t="shared" si="8"/>
        <v>Pass</v>
      </c>
      <c r="Y159" s="2">
        <v>144</v>
      </c>
      <c r="Z159" s="2">
        <v>0.33460000000000001</v>
      </c>
      <c r="AA159" s="2">
        <v>0.35189999999999999</v>
      </c>
      <c r="AB159" s="2">
        <v>58.841799999999999</v>
      </c>
    </row>
    <row r="160" spans="2:28" x14ac:dyDescent="0.4">
      <c r="B160" s="11">
        <v>143</v>
      </c>
      <c r="C160" s="16">
        <f t="shared" si="9"/>
        <v>51.473963478413239</v>
      </c>
      <c r="D160" s="17">
        <f t="shared" si="11"/>
        <v>57.193292753792484</v>
      </c>
      <c r="E160" s="17">
        <f t="shared" si="10"/>
        <v>62.912622029171729</v>
      </c>
      <c r="F160" s="2">
        <v>57.7164</v>
      </c>
      <c r="G160" s="2" t="str">
        <f t="shared" si="8"/>
        <v>Pass</v>
      </c>
      <c r="Y160" s="2">
        <v>145</v>
      </c>
      <c r="Z160" s="2">
        <v>0.3357</v>
      </c>
      <c r="AA160" s="2">
        <v>0.35389999999999999</v>
      </c>
      <c r="AB160" s="2">
        <v>59.664400000000001</v>
      </c>
    </row>
    <row r="161" spans="2:28" x14ac:dyDescent="0.4">
      <c r="B161" s="11">
        <v>144</v>
      </c>
      <c r="C161" s="16">
        <f t="shared" si="9"/>
        <v>52.26782402681097</v>
      </c>
      <c r="D161" s="17">
        <f t="shared" si="11"/>
        <v>58.075360029789969</v>
      </c>
      <c r="E161" s="17">
        <f t="shared" si="10"/>
        <v>63.882896032768969</v>
      </c>
      <c r="F161" s="2">
        <v>58.841799999999999</v>
      </c>
      <c r="G161" s="2" t="str">
        <f t="shared" si="8"/>
        <v>Pass</v>
      </c>
      <c r="Y161" s="2">
        <v>146</v>
      </c>
      <c r="Z161" s="2">
        <v>0.33560000000000001</v>
      </c>
      <c r="AA161" s="2">
        <v>0.35370000000000001</v>
      </c>
      <c r="AB161" s="2">
        <v>60.641500000000001</v>
      </c>
    </row>
    <row r="162" spans="2:28" x14ac:dyDescent="0.4">
      <c r="B162" s="11">
        <v>145</v>
      </c>
      <c r="C162" s="16">
        <f t="shared" si="9"/>
        <v>53.068316370519483</v>
      </c>
      <c r="D162" s="17">
        <f t="shared" si="11"/>
        <v>58.964795967243866</v>
      </c>
      <c r="E162" s="17">
        <f t="shared" si="10"/>
        <v>64.861275563968249</v>
      </c>
      <c r="F162" s="2">
        <v>59.664400000000001</v>
      </c>
      <c r="G162" s="2" t="str">
        <f t="shared" si="8"/>
        <v>Pass</v>
      </c>
      <c r="Y162" s="2">
        <v>147</v>
      </c>
      <c r="Z162" s="2">
        <v>0.33510000000000001</v>
      </c>
      <c r="AA162" s="2">
        <v>0.35320000000000001</v>
      </c>
      <c r="AB162" s="2">
        <v>61.837299999999999</v>
      </c>
    </row>
    <row r="163" spans="2:28" x14ac:dyDescent="0.4">
      <c r="B163" s="11">
        <v>146</v>
      </c>
      <c r="C163" s="16">
        <f t="shared" si="9"/>
        <v>53.875449679329101</v>
      </c>
      <c r="D163" s="17">
        <f t="shared" si="11"/>
        <v>59.861610754810116</v>
      </c>
      <c r="E163" s="17">
        <f t="shared" si="10"/>
        <v>65.847771830291123</v>
      </c>
      <c r="F163" s="2">
        <v>60.641500000000001</v>
      </c>
      <c r="G163" s="2" t="str">
        <f t="shared" si="8"/>
        <v>Pass</v>
      </c>
      <c r="Y163" s="2">
        <v>148</v>
      </c>
      <c r="Z163" s="2">
        <v>0.33460000000000001</v>
      </c>
      <c r="AA163" s="2">
        <v>0.35239999999999999</v>
      </c>
      <c r="AB163" s="2">
        <v>62.615400000000001</v>
      </c>
    </row>
    <row r="164" spans="2:28" x14ac:dyDescent="0.4">
      <c r="B164" s="11">
        <v>147</v>
      </c>
      <c r="C164" s="16">
        <f t="shared" si="9"/>
        <v>54.689233072661452</v>
      </c>
      <c r="D164" s="17">
        <f t="shared" si="11"/>
        <v>60.765814525179394</v>
      </c>
      <c r="E164" s="17">
        <f t="shared" si="10"/>
        <v>66.842395977697336</v>
      </c>
      <c r="F164" s="2">
        <v>61.837299999999999</v>
      </c>
      <c r="G164" s="2" t="str">
        <f t="shared" si="8"/>
        <v>Pass</v>
      </c>
      <c r="Y164" s="2">
        <v>149</v>
      </c>
      <c r="Z164" s="2">
        <v>0.33510000000000001</v>
      </c>
      <c r="AA164" s="2">
        <v>0.35339999999999999</v>
      </c>
      <c r="AB164" s="2">
        <v>63.587000000000003</v>
      </c>
    </row>
    <row r="165" spans="2:28" x14ac:dyDescent="0.4">
      <c r="B165" s="11">
        <v>148</v>
      </c>
      <c r="C165" s="16">
        <f t="shared" si="9"/>
        <v>55.509675620187714</v>
      </c>
      <c r="D165" s="17">
        <f t="shared" si="11"/>
        <v>61.677417355764128</v>
      </c>
      <c r="E165" s="17">
        <f t="shared" si="10"/>
        <v>67.845159091340548</v>
      </c>
      <c r="F165" s="2">
        <v>62.615400000000001</v>
      </c>
      <c r="G165" s="2" t="str">
        <f t="shared" si="8"/>
        <v>Pass</v>
      </c>
      <c r="Y165" s="2">
        <v>150</v>
      </c>
      <c r="Z165" s="2">
        <v>0.33489999999999998</v>
      </c>
      <c r="AA165" s="2">
        <v>0.35299999999999998</v>
      </c>
      <c r="AB165" s="2">
        <v>64.793300000000002</v>
      </c>
    </row>
    <row r="166" spans="2:28" x14ac:dyDescent="0.4">
      <c r="B166" s="11">
        <v>149</v>
      </c>
      <c r="C166" s="16">
        <f t="shared" si="9"/>
        <v>56.33678634243509</v>
      </c>
      <c r="D166" s="17">
        <f t="shared" si="11"/>
        <v>62.596429269372322</v>
      </c>
      <c r="E166" s="17">
        <f t="shared" si="10"/>
        <v>68.856072196309555</v>
      </c>
      <c r="F166" s="2">
        <v>63.587000000000003</v>
      </c>
      <c r="G166" s="2" t="str">
        <f t="shared" si="8"/>
        <v>Pass</v>
      </c>
      <c r="Y166" s="2">
        <v>151</v>
      </c>
      <c r="Z166" s="2">
        <v>0.33479999999999999</v>
      </c>
      <c r="AA166" s="2">
        <v>0.35289999999999999</v>
      </c>
      <c r="AB166" s="2">
        <v>65.685000000000002</v>
      </c>
    </row>
    <row r="167" spans="2:28" x14ac:dyDescent="0.4">
      <c r="B167" s="11">
        <v>150</v>
      </c>
      <c r="C167" s="16">
        <f t="shared" si="9"/>
        <v>57.170574211382053</v>
      </c>
      <c r="D167" s="17">
        <f t="shared" si="11"/>
        <v>63.522860234868951</v>
      </c>
      <c r="E167" s="17">
        <f t="shared" si="10"/>
        <v>69.875146258355841</v>
      </c>
      <c r="F167" s="2">
        <v>64.793300000000002</v>
      </c>
      <c r="G167" s="2" t="str">
        <f t="shared" si="8"/>
        <v>Pass</v>
      </c>
      <c r="Y167" s="2">
        <v>152</v>
      </c>
      <c r="Z167" s="2">
        <v>0.33460000000000001</v>
      </c>
      <c r="AA167" s="2">
        <v>0.35160000000000002</v>
      </c>
      <c r="AB167" s="2">
        <v>66.029200000000003</v>
      </c>
    </row>
    <row r="168" spans="2:28" x14ac:dyDescent="0.4">
      <c r="B168" s="11">
        <v>151</v>
      </c>
      <c r="C168" s="16">
        <f t="shared" si="9"/>
        <v>58.011048151042282</v>
      </c>
      <c r="D168" s="17">
        <f t="shared" si="11"/>
        <v>64.456720167824756</v>
      </c>
      <c r="E168" s="17">
        <f t="shared" si="10"/>
        <v>70.902392184607237</v>
      </c>
      <c r="F168" s="2">
        <v>65.685000000000002</v>
      </c>
      <c r="G168" s="2" t="str">
        <f t="shared" si="8"/>
        <v>Pass</v>
      </c>
      <c r="Y168" s="2">
        <v>153</v>
      </c>
      <c r="Z168" s="2">
        <v>0.33450000000000002</v>
      </c>
      <c r="AA168" s="2">
        <v>0.35149999999999998</v>
      </c>
      <c r="AB168" s="2">
        <v>66.912999999999997</v>
      </c>
    </row>
    <row r="169" spans="2:28" x14ac:dyDescent="0.4">
      <c r="B169" s="11">
        <v>152</v>
      </c>
      <c r="C169" s="16">
        <f t="shared" si="9"/>
        <v>58.858217038037694</v>
      </c>
      <c r="D169" s="17">
        <f t="shared" si="11"/>
        <v>65.39801893115299</v>
      </c>
      <c r="E169" s="17">
        <f t="shared" si="10"/>
        <v>71.937820824268286</v>
      </c>
      <c r="F169" s="2">
        <v>66.029200000000003</v>
      </c>
      <c r="G169" s="2" t="str">
        <f t="shared" si="8"/>
        <v>Pass</v>
      </c>
      <c r="Y169" s="2">
        <v>154</v>
      </c>
      <c r="Z169" s="2">
        <v>0.33579999999999999</v>
      </c>
      <c r="AA169" s="2">
        <v>0.35289999999999999</v>
      </c>
      <c r="AB169" s="2">
        <v>68.143500000000003</v>
      </c>
    </row>
    <row r="170" spans="2:28" x14ac:dyDescent="0.4">
      <c r="B170" s="11">
        <v>153</v>
      </c>
      <c r="C170" s="16">
        <f t="shared" si="9"/>
        <v>59.712089702161116</v>
      </c>
      <c r="D170" s="17">
        <f t="shared" si="11"/>
        <v>66.346766335734571</v>
      </c>
      <c r="E170" s="17">
        <f t="shared" si="10"/>
        <v>72.981442969308034</v>
      </c>
      <c r="F170" s="2">
        <v>66.912999999999997</v>
      </c>
      <c r="G170" s="2" t="str">
        <f t="shared" si="8"/>
        <v>Pass</v>
      </c>
      <c r="Y170" s="2">
        <v>155</v>
      </c>
      <c r="Z170" s="2">
        <v>0.33579999999999999</v>
      </c>
      <c r="AA170" s="2">
        <v>0.35289999999999999</v>
      </c>
      <c r="AB170" s="2">
        <v>69.034599999999998</v>
      </c>
    </row>
    <row r="171" spans="2:28" x14ac:dyDescent="0.4">
      <c r="B171" s="11">
        <v>154</v>
      </c>
      <c r="C171" s="16">
        <f t="shared" si="9"/>
        <v>60.572674926928521</v>
      </c>
      <c r="D171" s="17">
        <f t="shared" si="11"/>
        <v>67.302972141031688</v>
      </c>
      <c r="E171" s="17">
        <f t="shared" si="10"/>
        <v>74.033269355134863</v>
      </c>
      <c r="F171" s="2">
        <v>68.143500000000003</v>
      </c>
      <c r="G171" s="2" t="str">
        <f t="shared" si="8"/>
        <v>Pass</v>
      </c>
      <c r="Y171" s="2">
        <v>156</v>
      </c>
      <c r="Z171" s="2">
        <v>0.3357</v>
      </c>
      <c r="AA171" s="2">
        <v>0.3528</v>
      </c>
      <c r="AB171" s="2">
        <v>70.333799999999997</v>
      </c>
    </row>
    <row r="172" spans="2:28" x14ac:dyDescent="0.4">
      <c r="B172" s="11">
        <v>155</v>
      </c>
      <c r="C172" s="16">
        <f t="shared" si="9"/>
        <v>61.439981450121053</v>
      </c>
      <c r="D172" s="17">
        <f t="shared" si="11"/>
        <v>68.26664605569006</v>
      </c>
      <c r="E172" s="17">
        <f t="shared" si="10"/>
        <v>75.093310661259068</v>
      </c>
      <c r="F172" s="2">
        <v>69.034599999999998</v>
      </c>
      <c r="G172" s="2" t="str">
        <f t="shared" si="8"/>
        <v>Pass</v>
      </c>
      <c r="Y172" s="2">
        <v>157</v>
      </c>
      <c r="Z172" s="2">
        <v>0.33600000000000002</v>
      </c>
      <c r="AA172" s="2">
        <v>0.35289999999999999</v>
      </c>
      <c r="AB172" s="2">
        <v>71.329499999999996</v>
      </c>
    </row>
    <row r="173" spans="2:28" x14ac:dyDescent="0.4">
      <c r="B173" s="11">
        <v>156</v>
      </c>
      <c r="C173" s="16">
        <f t="shared" si="9"/>
        <v>62.314017964317536</v>
      </c>
      <c r="D173" s="17">
        <f t="shared" si="11"/>
        <v>69.237797738130595</v>
      </c>
      <c r="E173" s="17">
        <f t="shared" si="10"/>
        <v>76.161577511943648</v>
      </c>
      <c r="F173" s="2">
        <v>70.333799999999997</v>
      </c>
      <c r="G173" s="2" t="str">
        <f t="shared" si="8"/>
        <v>Pass</v>
      </c>
      <c r="Y173" s="2">
        <v>158</v>
      </c>
      <c r="Z173" s="2">
        <v>0.33650000000000002</v>
      </c>
      <c r="AA173" s="2">
        <v>0.35339999999999999</v>
      </c>
      <c r="AB173" s="2">
        <v>72.285200000000003</v>
      </c>
    </row>
    <row r="174" spans="2:28" x14ac:dyDescent="0.4">
      <c r="B174" s="11">
        <v>157</v>
      </c>
      <c r="C174" s="16">
        <f t="shared" si="9"/>
        <v>63.194793117417063</v>
      </c>
      <c r="D174" s="17">
        <f t="shared" si="11"/>
        <v>70.216436797130072</v>
      </c>
      <c r="E174" s="17">
        <f t="shared" si="10"/>
        <v>77.238080476843081</v>
      </c>
      <c r="F174" s="2">
        <v>71.329499999999996</v>
      </c>
      <c r="G174" s="2" t="str">
        <f t="shared" si="8"/>
        <v>Pass</v>
      </c>
      <c r="Y174" s="2">
        <v>159</v>
      </c>
      <c r="Z174" s="2">
        <v>0.33729999999999999</v>
      </c>
      <c r="AA174" s="2">
        <v>0.35510000000000003</v>
      </c>
      <c r="AB174" s="2">
        <v>73.603499999999997</v>
      </c>
    </row>
    <row r="175" spans="2:28" x14ac:dyDescent="0.4">
      <c r="B175" s="11">
        <v>158</v>
      </c>
      <c r="C175" s="16">
        <f t="shared" si="9"/>
        <v>64.082315513152594</v>
      </c>
      <c r="D175" s="17">
        <f t="shared" si="11"/>
        <v>71.202572792391763</v>
      </c>
      <c r="E175" s="17">
        <f t="shared" si="10"/>
        <v>78.322830071630932</v>
      </c>
      <c r="F175" s="2">
        <v>72.285200000000003</v>
      </c>
      <c r="G175" s="2" t="str">
        <f t="shared" si="8"/>
        <v>Pass</v>
      </c>
      <c r="Y175" s="2">
        <v>160</v>
      </c>
      <c r="Z175" s="2">
        <v>0.3372</v>
      </c>
      <c r="AA175" s="2">
        <v>0.35489999999999999</v>
      </c>
      <c r="AB175" s="2">
        <v>74.529300000000006</v>
      </c>
    </row>
    <row r="176" spans="2:28" x14ac:dyDescent="0.4">
      <c r="B176" s="11">
        <v>159</v>
      </c>
      <c r="C176" s="16">
        <f t="shared" si="9"/>
        <v>64.976593711595171</v>
      </c>
      <c r="D176" s="17">
        <f t="shared" si="11"/>
        <v>72.196215235105754</v>
      </c>
      <c r="E176" s="17">
        <f t="shared" si="10"/>
        <v>79.415836758616337</v>
      </c>
      <c r="F176" s="2">
        <v>73.603499999999997</v>
      </c>
      <c r="G176" s="2" t="str">
        <f t="shared" si="8"/>
        <v>Pass</v>
      </c>
      <c r="Y176" s="2">
        <v>161</v>
      </c>
      <c r="Z176" s="2">
        <v>0.33639999999999998</v>
      </c>
      <c r="AA176" s="2">
        <v>0.35249999999999998</v>
      </c>
      <c r="AB176" s="2">
        <v>74.890799999999999</v>
      </c>
    </row>
    <row r="177" spans="2:28" x14ac:dyDescent="0.4">
      <c r="B177" s="11">
        <v>160</v>
      </c>
      <c r="C177" s="16">
        <f t="shared" si="9"/>
        <v>65.877636229649369</v>
      </c>
      <c r="D177" s="17">
        <f t="shared" si="11"/>
        <v>73.197373588499303</v>
      </c>
      <c r="E177" s="17">
        <f t="shared" si="10"/>
        <v>80.517110947349238</v>
      </c>
      <c r="F177" s="2">
        <v>74.529300000000006</v>
      </c>
      <c r="G177" s="2" t="str">
        <f t="shared" si="8"/>
        <v>Pass</v>
      </c>
      <c r="Y177" s="2">
        <v>162</v>
      </c>
      <c r="Z177" s="2">
        <v>0.3357</v>
      </c>
      <c r="AA177" s="2">
        <v>0.35260000000000002</v>
      </c>
      <c r="AB177" s="2">
        <v>75.840800000000002</v>
      </c>
    </row>
    <row r="178" spans="2:28" x14ac:dyDescent="0.4">
      <c r="B178" s="11">
        <v>161</v>
      </c>
      <c r="C178" s="16">
        <f t="shared" si="9"/>
        <v>66.785451541539942</v>
      </c>
      <c r="D178" s="17">
        <f t="shared" si="11"/>
        <v>74.20605726837772</v>
      </c>
      <c r="E178" s="17">
        <f t="shared" si="10"/>
        <v>81.626662995215497</v>
      </c>
      <c r="F178" s="2">
        <v>74.890799999999999</v>
      </c>
      <c r="G178" s="2" t="str">
        <f t="shared" si="8"/>
        <v>Pass</v>
      </c>
      <c r="Y178" s="2">
        <v>163</v>
      </c>
      <c r="Z178" s="2">
        <v>0.3352</v>
      </c>
      <c r="AA178" s="2">
        <v>0.3523</v>
      </c>
      <c r="AB178" s="2">
        <v>76.747200000000007</v>
      </c>
    </row>
    <row r="179" spans="2:28" x14ac:dyDescent="0.4">
      <c r="B179" s="11">
        <v>162</v>
      </c>
      <c r="C179" s="16">
        <f t="shared" si="9"/>
        <v>67.700048079290099</v>
      </c>
      <c r="D179" s="17">
        <f t="shared" si="11"/>
        <v>75.222275643655664</v>
      </c>
      <c r="E179" s="17">
        <f t="shared" si="10"/>
        <v>82.744503208021229</v>
      </c>
      <c r="F179" s="2">
        <v>75.840800000000002</v>
      </c>
      <c r="G179" s="2" t="str">
        <f t="shared" si="8"/>
        <v>Pass</v>
      </c>
      <c r="Y179" s="2">
        <v>164</v>
      </c>
      <c r="Z179" s="2">
        <v>0.33600000000000002</v>
      </c>
      <c r="AA179" s="2">
        <v>0.35410000000000003</v>
      </c>
      <c r="AB179" s="2">
        <v>77.66</v>
      </c>
    </row>
    <row r="180" spans="2:28" x14ac:dyDescent="0.4">
      <c r="B180" s="11">
        <v>163</v>
      </c>
      <c r="C180" s="16">
        <f t="shared" si="9"/>
        <v>68.621434233191451</v>
      </c>
      <c r="D180" s="17">
        <f t="shared" si="11"/>
        <v>76.246038036879384</v>
      </c>
      <c r="E180" s="17">
        <f t="shared" si="10"/>
        <v>83.870641840567316</v>
      </c>
      <c r="F180" s="2">
        <v>76.747200000000007</v>
      </c>
      <c r="G180" s="2" t="str">
        <f t="shared" si="8"/>
        <v>Pass</v>
      </c>
      <c r="Y180" s="2">
        <v>165</v>
      </c>
      <c r="Z180" s="2">
        <v>0.33579999999999999</v>
      </c>
      <c r="AA180" s="2">
        <v>0.3538</v>
      </c>
      <c r="AB180" s="2">
        <v>78.983099999999993</v>
      </c>
    </row>
    <row r="181" spans="2:28" x14ac:dyDescent="0.4">
      <c r="B181" s="11">
        <v>164</v>
      </c>
      <c r="C181" s="16">
        <f t="shared" si="9"/>
        <v>69.549618352265867</v>
      </c>
      <c r="D181" s="17">
        <f t="shared" si="11"/>
        <v>77.277353724739854</v>
      </c>
      <c r="E181" s="17">
        <f t="shared" si="10"/>
        <v>85.00508909721384</v>
      </c>
      <c r="F181" s="2">
        <v>77.66</v>
      </c>
      <c r="G181" s="2" t="str">
        <f t="shared" si="8"/>
        <v>Pass</v>
      </c>
      <c r="Y181" s="2">
        <v>166</v>
      </c>
      <c r="Z181" s="2">
        <v>0.33560000000000001</v>
      </c>
      <c r="AA181" s="2">
        <v>0.35349999999999998</v>
      </c>
      <c r="AB181" s="2">
        <v>79.979799999999997</v>
      </c>
    </row>
    <row r="182" spans="2:28" x14ac:dyDescent="0.4">
      <c r="B182" s="11">
        <v>165</v>
      </c>
      <c r="C182" s="16">
        <f t="shared" si="9"/>
        <v>70.484608744719381</v>
      </c>
      <c r="D182" s="17">
        <f t="shared" si="11"/>
        <v>78.31623193857709</v>
      </c>
      <c r="E182" s="17">
        <f t="shared" si="10"/>
        <v>86.147855132434799</v>
      </c>
      <c r="F182" s="2">
        <v>78.983099999999993</v>
      </c>
      <c r="G182" s="2" t="str">
        <f t="shared" si="8"/>
        <v>Pass</v>
      </c>
      <c r="Y182" s="2">
        <v>167</v>
      </c>
      <c r="Z182" s="2">
        <v>0.33489999999999998</v>
      </c>
      <c r="AA182" s="2">
        <v>0.35270000000000001</v>
      </c>
      <c r="AB182" s="2">
        <v>81.280199999999994</v>
      </c>
    </row>
    <row r="183" spans="2:28" x14ac:dyDescent="0.4">
      <c r="B183" s="11">
        <v>166</v>
      </c>
      <c r="C183" s="16">
        <f t="shared" si="9"/>
        <v>71.426413678388528</v>
      </c>
      <c r="D183" s="17">
        <f t="shared" si="11"/>
        <v>79.362681864876137</v>
      </c>
      <c r="E183" s="17">
        <f t="shared" si="10"/>
        <v>87.298950051363747</v>
      </c>
      <c r="F183" s="2">
        <v>79.979799999999997</v>
      </c>
      <c r="G183" s="2" t="str">
        <f t="shared" si="8"/>
        <v>Pass</v>
      </c>
      <c r="Y183" s="2">
        <v>168</v>
      </c>
      <c r="Z183" s="2">
        <v>0.33550000000000002</v>
      </c>
      <c r="AA183" s="2">
        <v>0.35339999999999999</v>
      </c>
      <c r="AB183" s="2">
        <v>82.351799999999997</v>
      </c>
    </row>
    <row r="184" spans="2:28" x14ac:dyDescent="0.4">
      <c r="B184" s="11">
        <v>167</v>
      </c>
      <c r="C184" s="16">
        <f t="shared" si="9"/>
        <v>72.375041381178903</v>
      </c>
      <c r="D184" s="17">
        <f t="shared" si="11"/>
        <v>80.416712645754345</v>
      </c>
      <c r="E184" s="17">
        <f t="shared" si="10"/>
        <v>88.458383910329786</v>
      </c>
      <c r="F184" s="2">
        <v>81.280199999999994</v>
      </c>
      <c r="G184" s="2" t="str">
        <f t="shared" si="8"/>
        <v>Pass</v>
      </c>
      <c r="Y184" s="2">
        <v>169</v>
      </c>
      <c r="Z184" s="2">
        <v>0.3357</v>
      </c>
      <c r="AA184" s="2">
        <v>0.35310000000000002</v>
      </c>
      <c r="AB184" s="2">
        <v>83.457700000000003</v>
      </c>
    </row>
    <row r="185" spans="2:28" x14ac:dyDescent="0.4">
      <c r="B185" s="11">
        <v>168</v>
      </c>
      <c r="C185" s="16">
        <f t="shared" si="9"/>
        <v>73.330500041496634</v>
      </c>
      <c r="D185" s="17">
        <f t="shared" si="11"/>
        <v>81.478333379440713</v>
      </c>
      <c r="E185" s="17">
        <f t="shared" si="10"/>
        <v>89.626166717384791</v>
      </c>
      <c r="F185" s="2">
        <v>82.351799999999997</v>
      </c>
      <c r="G185" s="2" t="str">
        <f t="shared" si="8"/>
        <v>Pass</v>
      </c>
      <c r="Y185" s="2">
        <v>170</v>
      </c>
      <c r="Z185" s="2">
        <v>0.3357</v>
      </c>
      <c r="AA185" s="2">
        <v>0.35170000000000001</v>
      </c>
      <c r="AB185" s="2">
        <v>83.779300000000006</v>
      </c>
    </row>
    <row r="186" spans="2:28" x14ac:dyDescent="0.4">
      <c r="B186" s="11">
        <v>169</v>
      </c>
      <c r="C186" s="16">
        <f t="shared" si="9"/>
        <v>74.292797808672333</v>
      </c>
      <c r="D186" s="17">
        <f t="shared" si="11"/>
        <v>82.54755312074704</v>
      </c>
      <c r="E186" s="17">
        <f t="shared" si="10"/>
        <v>90.802308432821746</v>
      </c>
      <c r="F186" s="2">
        <v>83.457700000000003</v>
      </c>
      <c r="G186" s="2" t="str">
        <f t="shared" si="8"/>
        <v>Pass</v>
      </c>
      <c r="Y186" s="2">
        <v>171</v>
      </c>
      <c r="Z186" s="2">
        <v>0.33560000000000001</v>
      </c>
      <c r="AA186" s="2">
        <v>0.35149999999999998</v>
      </c>
      <c r="AB186" s="2">
        <v>85.1614</v>
      </c>
    </row>
    <row r="187" spans="2:28" x14ac:dyDescent="0.4">
      <c r="B187" s="11">
        <v>170</v>
      </c>
      <c r="C187" s="16">
        <f t="shared" si="9"/>
        <v>75.261942793378282</v>
      </c>
      <c r="D187" s="17">
        <f t="shared" si="11"/>
        <v>83.624380881531422</v>
      </c>
      <c r="E187" s="17">
        <f t="shared" si="10"/>
        <v>91.986818969684563</v>
      </c>
      <c r="F187" s="2">
        <v>83.779300000000006</v>
      </c>
      <c r="G187" s="2" t="str">
        <f t="shared" si="8"/>
        <v>Pass</v>
      </c>
      <c r="Y187" s="2">
        <v>172</v>
      </c>
      <c r="Z187" s="2">
        <v>0.33610000000000001</v>
      </c>
      <c r="AA187" s="2">
        <v>0.35320000000000001</v>
      </c>
      <c r="AB187" s="2">
        <v>86.131200000000007</v>
      </c>
    </row>
    <row r="188" spans="2:28" x14ac:dyDescent="0.4">
      <c r="B188" s="11">
        <v>171</v>
      </c>
      <c r="C188" s="16">
        <f t="shared" si="9"/>
        <v>76.237943068038575</v>
      </c>
      <c r="D188" s="17">
        <f t="shared" si="11"/>
        <v>84.708825631153971</v>
      </c>
      <c r="E188" s="17">
        <f t="shared" si="10"/>
        <v>93.179708194269367</v>
      </c>
      <c r="F188" s="2">
        <v>85.1614</v>
      </c>
      <c r="G188" s="2" t="str">
        <f t="shared" si="8"/>
        <v>Pass</v>
      </c>
      <c r="Y188" s="2">
        <v>173</v>
      </c>
      <c r="Z188" s="2">
        <v>0.33639999999999998</v>
      </c>
      <c r="AA188" s="2">
        <v>0.35299999999999998</v>
      </c>
      <c r="AB188" s="2">
        <v>87.358199999999997</v>
      </c>
    </row>
    <row r="189" spans="2:28" x14ac:dyDescent="0.4">
      <c r="B189" s="11">
        <v>172</v>
      </c>
      <c r="C189" s="16">
        <f t="shared" si="9"/>
        <v>77.220806667232623</v>
      </c>
      <c r="D189" s="17">
        <f t="shared" si="11"/>
        <v>85.800896296925131</v>
      </c>
      <c r="E189" s="17">
        <f t="shared" si="10"/>
        <v>94.38098592661764</v>
      </c>
      <c r="F189" s="2">
        <v>86.131200000000007</v>
      </c>
      <c r="G189" s="2" t="str">
        <f t="shared" si="8"/>
        <v>Pass</v>
      </c>
      <c r="Y189" s="2">
        <v>174</v>
      </c>
      <c r="Z189" s="2">
        <v>0.33610000000000001</v>
      </c>
      <c r="AA189" s="2">
        <v>0.35270000000000001</v>
      </c>
      <c r="AB189" s="2">
        <v>88.765500000000003</v>
      </c>
    </row>
    <row r="190" spans="2:28" x14ac:dyDescent="0.4">
      <c r="B190" s="11">
        <v>173</v>
      </c>
      <c r="C190" s="16">
        <f t="shared" si="9"/>
        <v>78.210541588091928</v>
      </c>
      <c r="D190" s="17">
        <f t="shared" si="11"/>
        <v>86.900601764546579</v>
      </c>
      <c r="E190" s="17">
        <f t="shared" si="10"/>
        <v>95.59066194100123</v>
      </c>
      <c r="F190" s="2">
        <v>87.358199999999997</v>
      </c>
      <c r="G190" s="2" t="str">
        <f t="shared" si="8"/>
        <v>Pass</v>
      </c>
      <c r="Y190" s="2">
        <v>175</v>
      </c>
      <c r="Z190" s="2">
        <v>0.33589999999999998</v>
      </c>
      <c r="AA190" s="2">
        <v>0.3523</v>
      </c>
      <c r="AB190" s="2">
        <v>89.767799999999994</v>
      </c>
    </row>
    <row r="191" spans="2:28" x14ac:dyDescent="0.4">
      <c r="B191" s="11">
        <v>174</v>
      </c>
      <c r="C191" s="16">
        <f t="shared" si="9"/>
        <v>79.207155790690621</v>
      </c>
      <c r="D191" s="17">
        <f t="shared" si="11"/>
        <v>88.007950878545131</v>
      </c>
      <c r="E191" s="17">
        <f t="shared" si="10"/>
        <v>96.808745966399641</v>
      </c>
      <c r="F191" s="2">
        <v>88.765500000000003</v>
      </c>
      <c r="G191" s="2" t="str">
        <f t="shared" si="8"/>
        <v>Pass</v>
      </c>
      <c r="Y191" s="2">
        <v>176</v>
      </c>
      <c r="Z191" s="2">
        <v>0.3357</v>
      </c>
      <c r="AA191" s="2">
        <v>0.35220000000000001</v>
      </c>
      <c r="AB191" s="2">
        <v>91.345799999999997</v>
      </c>
    </row>
    <row r="192" spans="2:28" x14ac:dyDescent="0.4">
      <c r="B192" s="11">
        <v>175</v>
      </c>
      <c r="C192" s="16">
        <f t="shared" si="9"/>
        <v>80.210657198429587</v>
      </c>
      <c r="D192" s="17">
        <f t="shared" si="11"/>
        <v>89.122952442699543</v>
      </c>
      <c r="E192" s="17">
        <f t="shared" si="10"/>
        <v>98.035247686969498</v>
      </c>
      <c r="F192" s="2">
        <v>89.767799999999994</v>
      </c>
      <c r="G192" s="2" t="str">
        <f t="shared" si="8"/>
        <v>Pass</v>
      </c>
      <c r="Y192" s="2">
        <v>177</v>
      </c>
      <c r="Z192" s="2">
        <v>0.33610000000000001</v>
      </c>
      <c r="AA192" s="2">
        <v>0.35199999999999998</v>
      </c>
      <c r="AB192" s="2">
        <v>91.346599999999995</v>
      </c>
    </row>
    <row r="193" spans="2:28" x14ac:dyDescent="0.4">
      <c r="B193" s="11">
        <v>176</v>
      </c>
      <c r="C193" s="16">
        <f t="shared" si="9"/>
        <v>81.221053698414451</v>
      </c>
      <c r="D193" s="17">
        <f t="shared" si="11"/>
        <v>90.245615220460508</v>
      </c>
      <c r="E193" s="17">
        <f t="shared" si="10"/>
        <v>99.270176742506564</v>
      </c>
      <c r="F193" s="2">
        <v>91.345799999999997</v>
      </c>
      <c r="G193" s="2" t="str">
        <f t="shared" si="8"/>
        <v>Pass</v>
      </c>
      <c r="Y193" s="2">
        <v>178</v>
      </c>
      <c r="Z193" s="2">
        <v>0.33589999999999998</v>
      </c>
      <c r="AA193" s="2">
        <v>0.35170000000000001</v>
      </c>
      <c r="AB193" s="2">
        <v>92.806399999999996</v>
      </c>
    </row>
    <row r="194" spans="2:28" x14ac:dyDescent="0.4">
      <c r="B194" s="11">
        <v>177</v>
      </c>
      <c r="C194" s="16">
        <f t="shared" si="9"/>
        <v>82.238353141827488</v>
      </c>
      <c r="D194" s="17">
        <f t="shared" si="11"/>
        <v>91.375947935363882</v>
      </c>
      <c r="E194" s="17">
        <f t="shared" si="10"/>
        <v>100.51354272890028</v>
      </c>
      <c r="F194" s="2">
        <v>91.346599999999995</v>
      </c>
      <c r="G194" s="2" t="str">
        <f t="shared" si="8"/>
        <v>Pass</v>
      </c>
      <c r="Y194" s="2">
        <v>179</v>
      </c>
      <c r="Z194" s="2">
        <v>0.3357</v>
      </c>
      <c r="AA194" s="2">
        <v>0.35149999999999998</v>
      </c>
      <c r="AB194" s="2">
        <v>93.898600000000002</v>
      </c>
    </row>
    <row r="195" spans="2:28" x14ac:dyDescent="0.4">
      <c r="B195" s="11">
        <v>178</v>
      </c>
      <c r="C195" s="16">
        <f t="shared" si="9"/>
        <v>83.262563344293781</v>
      </c>
      <c r="D195" s="17">
        <f t="shared" si="11"/>
        <v>92.513959271437528</v>
      </c>
      <c r="E195" s="17">
        <f t="shared" si="10"/>
        <v>101.76535519858128</v>
      </c>
      <c r="F195" s="2">
        <v>92.806399999999996</v>
      </c>
      <c r="G195" s="2" t="str">
        <f t="shared" si="8"/>
        <v>Pass</v>
      </c>
      <c r="Y195" s="2">
        <v>180</v>
      </c>
      <c r="Z195" s="2">
        <v>0.33539999999999998</v>
      </c>
      <c r="AA195" s="2">
        <v>0.35120000000000001</v>
      </c>
      <c r="AB195" s="2">
        <v>95.283699999999996</v>
      </c>
    </row>
    <row r="196" spans="2:28" x14ac:dyDescent="0.4">
      <c r="B196" s="11">
        <v>179</v>
      </c>
      <c r="C196" s="16">
        <f t="shared" si="9"/>
        <v>84.29369208624135</v>
      </c>
      <c r="D196" s="17">
        <f t="shared" si="11"/>
        <v>93.659657873601503</v>
      </c>
      <c r="E196" s="17">
        <f t="shared" si="10"/>
        <v>103.02562366096166</v>
      </c>
      <c r="F196" s="2">
        <v>93.898600000000002</v>
      </c>
      <c r="G196" s="2" t="str">
        <f t="shared" si="8"/>
        <v>Pass</v>
      </c>
      <c r="Y196" s="2">
        <v>181</v>
      </c>
      <c r="Z196" s="2">
        <v>0.33679999999999999</v>
      </c>
      <c r="AA196" s="2">
        <v>0.35270000000000001</v>
      </c>
      <c r="AB196" s="2">
        <v>96.405799999999999</v>
      </c>
    </row>
    <row r="197" spans="2:28" x14ac:dyDescent="0.4">
      <c r="B197" s="11">
        <v>180</v>
      </c>
      <c r="C197" s="16">
        <f t="shared" si="9"/>
        <v>85.331747113256029</v>
      </c>
      <c r="D197" s="17">
        <f t="shared" si="11"/>
        <v>94.813052348062257</v>
      </c>
      <c r="E197" s="17">
        <f t="shared" si="10"/>
        <v>104.29435758286849</v>
      </c>
      <c r="F197" s="2">
        <v>95.283699999999996</v>
      </c>
      <c r="G197" s="2" t="str">
        <f t="shared" si="8"/>
        <v>Pass</v>
      </c>
      <c r="Y197" s="2">
        <v>182</v>
      </c>
      <c r="Z197" s="2">
        <v>0.33650000000000002</v>
      </c>
      <c r="AA197" s="2">
        <v>0.35249999999999998</v>
      </c>
      <c r="AB197" s="2">
        <v>97.459400000000002</v>
      </c>
    </row>
    <row r="198" spans="2:28" x14ac:dyDescent="0.4">
      <c r="B198" s="11">
        <v>181</v>
      </c>
      <c r="C198" s="16">
        <f t="shared" si="9"/>
        <v>86.37673613643031</v>
      </c>
      <c r="D198" s="17">
        <f t="shared" si="11"/>
        <v>95.974151262700346</v>
      </c>
      <c r="E198" s="17">
        <f t="shared" si="10"/>
        <v>105.57156638897038</v>
      </c>
      <c r="F198" s="2">
        <v>96.405799999999999</v>
      </c>
      <c r="G198" s="2" t="str">
        <f t="shared" si="8"/>
        <v>Pass</v>
      </c>
      <c r="Y198" s="2">
        <v>183</v>
      </c>
      <c r="Z198" s="2">
        <v>0.33639999999999998</v>
      </c>
      <c r="AA198" s="2">
        <v>0.35220000000000001</v>
      </c>
      <c r="AB198" s="2">
        <v>98.896199999999993</v>
      </c>
    </row>
    <row r="199" spans="2:28" x14ac:dyDescent="0.4">
      <c r="B199" s="11">
        <v>182</v>
      </c>
      <c r="C199" s="16">
        <f t="shared" si="9"/>
        <v>87.428666832707336</v>
      </c>
      <c r="D199" s="17">
        <f t="shared" si="11"/>
        <v>97.142963147452605</v>
      </c>
      <c r="E199" s="17">
        <f t="shared" si="10"/>
        <v>106.85725946219787</v>
      </c>
      <c r="F199" s="2">
        <v>97.459400000000002</v>
      </c>
      <c r="G199" s="2" t="str">
        <f t="shared" si="8"/>
        <v>Pass</v>
      </c>
      <c r="Y199" s="2">
        <v>184</v>
      </c>
      <c r="Z199" s="2">
        <v>0.3362</v>
      </c>
      <c r="AA199" s="2">
        <v>0.35210000000000002</v>
      </c>
      <c r="AB199" s="2">
        <v>99.875399999999999</v>
      </c>
    </row>
    <row r="200" spans="2:28" x14ac:dyDescent="0.4">
      <c r="B200" s="11">
        <v>183</v>
      </c>
      <c r="C200" s="16">
        <f t="shared" si="9"/>
        <v>88.4875468452191</v>
      </c>
      <c r="D200" s="17">
        <f t="shared" si="11"/>
        <v>98.319496494687897</v>
      </c>
      <c r="E200" s="17">
        <f t="shared" si="10"/>
        <v>108.15144614415669</v>
      </c>
      <c r="F200" s="2">
        <v>98.896199999999993</v>
      </c>
      <c r="G200" s="2" t="str">
        <f t="shared" si="8"/>
        <v>Pass</v>
      </c>
      <c r="Y200" s="2">
        <v>185</v>
      </c>
      <c r="Z200" s="2">
        <v>0.33700000000000002</v>
      </c>
      <c r="AA200" s="2">
        <v>0.3538</v>
      </c>
      <c r="AB200" s="2">
        <v>101.1782</v>
      </c>
    </row>
    <row r="201" spans="2:28" x14ac:dyDescent="0.4">
      <c r="B201" s="11">
        <v>184</v>
      </c>
      <c r="C201" s="16">
        <f t="shared" si="9"/>
        <v>89.553383783619751</v>
      </c>
      <c r="D201" s="17">
        <f t="shared" si="11"/>
        <v>99.503759759577505</v>
      </c>
      <c r="E201" s="17">
        <f t="shared" si="10"/>
        <v>109.45413573553526</v>
      </c>
      <c r="F201" s="2">
        <v>99.875399999999999</v>
      </c>
      <c r="G201" s="2" t="str">
        <f t="shared" si="8"/>
        <v>Pass</v>
      </c>
      <c r="Y201" s="2">
        <v>186</v>
      </c>
      <c r="Z201" s="2">
        <v>0.3362</v>
      </c>
      <c r="AA201" s="2">
        <v>0.35160000000000002</v>
      </c>
      <c r="AB201" s="2">
        <v>101.49630000000001</v>
      </c>
    </row>
    <row r="202" spans="2:28" x14ac:dyDescent="0.4">
      <c r="B202" s="11">
        <v>185</v>
      </c>
      <c r="C202" s="16">
        <f t="shared" si="9"/>
        <v>90.626185224413717</v>
      </c>
      <c r="D202" s="17">
        <f t="shared" si="11"/>
        <v>100.69576136045968</v>
      </c>
      <c r="E202" s="17">
        <f t="shared" si="10"/>
        <v>110.76533749650565</v>
      </c>
      <c r="F202" s="2">
        <v>101.1782</v>
      </c>
      <c r="G202" s="2" t="str">
        <f t="shared" si="8"/>
        <v>Pass</v>
      </c>
      <c r="Y202" s="2">
        <v>187</v>
      </c>
      <c r="Z202" s="2">
        <v>0.33600000000000002</v>
      </c>
      <c r="AA202" s="2">
        <v>0.3513</v>
      </c>
      <c r="AB202" s="2">
        <v>103.23739999999999</v>
      </c>
    </row>
    <row r="203" spans="2:28" x14ac:dyDescent="0.4">
      <c r="B203" s="11">
        <v>186</v>
      </c>
      <c r="C203" s="16">
        <f t="shared" si="9"/>
        <v>91.705958711278853</v>
      </c>
      <c r="D203" s="17">
        <f t="shared" si="11"/>
        <v>101.89550967919872</v>
      </c>
      <c r="E203" s="17">
        <f t="shared" si="10"/>
        <v>112.0850606471186</v>
      </c>
      <c r="F203" s="2">
        <v>101.49630000000001</v>
      </c>
      <c r="G203" s="2" t="str">
        <f t="shared" si="8"/>
        <v>Pass</v>
      </c>
      <c r="Y203" s="2">
        <v>188</v>
      </c>
      <c r="Z203" s="2">
        <v>0.33579999999999999</v>
      </c>
      <c r="AA203" s="2">
        <v>0.35110000000000002</v>
      </c>
      <c r="AB203" s="2">
        <v>104.40560000000001</v>
      </c>
    </row>
    <row r="204" spans="2:28" x14ac:dyDescent="0.4">
      <c r="B204" s="11">
        <v>187</v>
      </c>
      <c r="C204" s="16">
        <f t="shared" si="9"/>
        <v>92.792711755384801</v>
      </c>
      <c r="D204" s="17">
        <f t="shared" si="11"/>
        <v>103.10301306153866</v>
      </c>
      <c r="E204" s="17">
        <f t="shared" si="10"/>
        <v>113.41331436769252</v>
      </c>
      <c r="F204" s="2">
        <v>103.23739999999999</v>
      </c>
      <c r="G204" s="2" t="str">
        <f t="shared" si="8"/>
        <v>Pass</v>
      </c>
      <c r="Y204" s="2">
        <v>189</v>
      </c>
      <c r="Z204" s="2">
        <v>0.33560000000000001</v>
      </c>
      <c r="AA204" s="2">
        <v>0.35089999999999999</v>
      </c>
      <c r="AB204" s="2">
        <v>105.8841</v>
      </c>
    </row>
    <row r="205" spans="2:28" x14ac:dyDescent="0.4">
      <c r="B205" s="11">
        <v>188</v>
      </c>
      <c r="C205" s="16">
        <f t="shared" si="9"/>
        <v>93.886451835706382</v>
      </c>
      <c r="D205" s="17">
        <f t="shared" si="11"/>
        <v>104.31827981745154</v>
      </c>
      <c r="E205" s="17">
        <f t="shared" si="10"/>
        <v>114.7501077991967</v>
      </c>
      <c r="F205" s="2">
        <v>104.40560000000001</v>
      </c>
      <c r="G205" s="2" t="str">
        <f t="shared" si="8"/>
        <v>Pass</v>
      </c>
      <c r="Y205" s="2">
        <v>190</v>
      </c>
      <c r="Z205" s="2">
        <v>0.3367</v>
      </c>
      <c r="AA205" s="2">
        <v>0.35220000000000001</v>
      </c>
      <c r="AB205" s="2">
        <v>107.0724</v>
      </c>
    </row>
    <row r="206" spans="2:28" x14ac:dyDescent="0.4">
      <c r="B206" s="11">
        <v>189</v>
      </c>
      <c r="C206" s="16">
        <f t="shared" si="9"/>
        <v>94.987186399332529</v>
      </c>
      <c r="D206" s="17">
        <f t="shared" si="11"/>
        <v>105.54131822148059</v>
      </c>
      <c r="E206" s="17">
        <f t="shared" si="10"/>
        <v>116.09545004362866</v>
      </c>
      <c r="F206" s="2">
        <v>105.8841</v>
      </c>
      <c r="G206" s="2" t="str">
        <f t="shared" si="8"/>
        <v>Pass</v>
      </c>
      <c r="Y206" s="2">
        <v>191</v>
      </c>
      <c r="Z206" s="2">
        <v>0.33660000000000001</v>
      </c>
      <c r="AA206" s="2">
        <v>0.35210000000000002</v>
      </c>
      <c r="AB206" s="2">
        <v>108.173</v>
      </c>
    </row>
    <row r="207" spans="2:28" x14ac:dyDescent="0.4">
      <c r="B207" s="11">
        <v>190</v>
      </c>
      <c r="C207" s="16">
        <f t="shared" si="9"/>
        <v>96.094922861770499</v>
      </c>
      <c r="D207" s="17">
        <f t="shared" si="11"/>
        <v>106.77213651307834</v>
      </c>
      <c r="E207" s="17">
        <f t="shared" si="10"/>
        <v>117.44935016438617</v>
      </c>
      <c r="F207" s="2">
        <v>107.0724</v>
      </c>
      <c r="G207" s="2" t="str">
        <f t="shared" si="8"/>
        <v>Pass</v>
      </c>
      <c r="Y207" s="2">
        <v>192</v>
      </c>
      <c r="Z207" s="2">
        <v>0.33639999999999998</v>
      </c>
      <c r="AA207" s="2">
        <v>0.35199999999999998</v>
      </c>
      <c r="AB207" s="2">
        <v>109.6938</v>
      </c>
    </row>
    <row r="208" spans="2:28" x14ac:dyDescent="0.4">
      <c r="B208" s="11">
        <v>191</v>
      </c>
      <c r="C208" s="16">
        <f t="shared" si="9"/>
        <v>97.209668607245689</v>
      </c>
      <c r="D208" s="17">
        <f t="shared" si="11"/>
        <v>108.01074289693966</v>
      </c>
      <c r="E208" s="17">
        <f t="shared" si="10"/>
        <v>118.81181718663363</v>
      </c>
      <c r="F208" s="2">
        <v>108.173</v>
      </c>
      <c r="G208" s="2" t="str">
        <f t="shared" si="8"/>
        <v>Pass</v>
      </c>
      <c r="Y208" s="2">
        <v>193</v>
      </c>
      <c r="Z208" s="2">
        <v>0.3362</v>
      </c>
      <c r="AA208" s="2">
        <v>0.35170000000000001</v>
      </c>
      <c r="AB208" s="2">
        <v>110.9372</v>
      </c>
    </row>
    <row r="209" spans="2:28" x14ac:dyDescent="0.4">
      <c r="B209" s="11">
        <v>192</v>
      </c>
      <c r="C209" s="16">
        <f t="shared" si="9"/>
        <v>98.3314309889969</v>
      </c>
      <c r="D209" s="17">
        <f t="shared" si="11"/>
        <v>109.25714554332988</v>
      </c>
      <c r="E209" s="17">
        <f t="shared" si="10"/>
        <v>120.18286009766287</v>
      </c>
      <c r="F209" s="2">
        <v>109.6938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0.33700000000000002</v>
      </c>
      <c r="AA209" s="2">
        <v>0.3533</v>
      </c>
      <c r="AB209" s="2">
        <v>112.0449</v>
      </c>
    </row>
    <row r="210" spans="2:28" x14ac:dyDescent="0.4">
      <c r="B210" s="11">
        <v>193</v>
      </c>
      <c r="C210" s="16">
        <f t="shared" ref="C210:C272" si="13">D210-D210*(C$14/100)</f>
        <v>99.460217329567399</v>
      </c>
      <c r="D210" s="17">
        <f t="shared" si="11"/>
        <v>110.51135258840823</v>
      </c>
      <c r="E210" s="17">
        <f t="shared" ref="E210:E272" si="14">D210+D210*(C$14/100)</f>
        <v>121.56248784724906</v>
      </c>
      <c r="F210" s="2">
        <v>110.9372</v>
      </c>
      <c r="G210" s="2" t="str">
        <f t="shared" si="12"/>
        <v>Pass</v>
      </c>
      <c r="Y210" s="2">
        <v>195</v>
      </c>
      <c r="Z210" s="2">
        <v>0.33679999999999999</v>
      </c>
      <c r="AA210" s="2">
        <v>0.35220000000000001</v>
      </c>
      <c r="AB210" s="2">
        <v>112.4141</v>
      </c>
    </row>
    <row r="211" spans="2:28" x14ac:dyDescent="0.4">
      <c r="B211" s="11">
        <v>194</v>
      </c>
      <c r="C211" s="16">
        <f t="shared" si="13"/>
        <v>100.59603492109183</v>
      </c>
      <c r="D211" s="17">
        <f t="shared" ref="D211:D271" si="15">D$272*((B211+F$17)/B$272)^C$13</f>
        <v>111.77337213454648</v>
      </c>
      <c r="E211" s="17">
        <f t="shared" si="14"/>
        <v>122.95070934800113</v>
      </c>
      <c r="F211" s="2">
        <v>112.0449</v>
      </c>
      <c r="G211" s="2" t="str">
        <f t="shared" si="12"/>
        <v>Pass</v>
      </c>
      <c r="Y211" s="2">
        <v>196</v>
      </c>
      <c r="Z211" s="2">
        <v>0.33650000000000002</v>
      </c>
      <c r="AA211" s="2">
        <v>0.35199999999999998</v>
      </c>
      <c r="AB211" s="2">
        <v>113.9853</v>
      </c>
    </row>
    <row r="212" spans="2:28" x14ac:dyDescent="0.4">
      <c r="B212" s="11">
        <v>195</v>
      </c>
      <c r="C212" s="16">
        <f t="shared" si="13"/>
        <v>101.73889102557881</v>
      </c>
      <c r="D212" s="17">
        <f t="shared" si="15"/>
        <v>113.04321225064312</v>
      </c>
      <c r="E212" s="17">
        <f t="shared" si="14"/>
        <v>124.34753347570744</v>
      </c>
      <c r="F212" s="2">
        <v>112.4141</v>
      </c>
      <c r="G212" s="2" t="str">
        <f t="shared" si="12"/>
        <v>Pass</v>
      </c>
      <c r="Y212" s="2">
        <v>197</v>
      </c>
      <c r="Z212" s="2">
        <v>0.33639999999999998</v>
      </c>
      <c r="AA212" s="2">
        <v>0.35189999999999999</v>
      </c>
      <c r="AB212" s="2">
        <v>115.0989</v>
      </c>
    </row>
    <row r="213" spans="2:28" x14ac:dyDescent="0.4">
      <c r="B213" s="11">
        <v>196</v>
      </c>
      <c r="C213" s="16">
        <f t="shared" si="13"/>
        <v>102.88879287518944</v>
      </c>
      <c r="D213" s="17">
        <f t="shared" si="15"/>
        <v>114.32088097243272</v>
      </c>
      <c r="E213" s="17">
        <f t="shared" si="14"/>
        <v>125.752969069676</v>
      </c>
      <c r="F213" s="2">
        <v>113.9853</v>
      </c>
      <c r="G213" s="2" t="str">
        <f t="shared" si="12"/>
        <v>Pass</v>
      </c>
      <c r="Y213" s="2">
        <v>198</v>
      </c>
      <c r="Z213" s="2">
        <v>0.33660000000000001</v>
      </c>
      <c r="AA213" s="2">
        <v>0.3523</v>
      </c>
      <c r="AB213" s="2">
        <v>116.4405</v>
      </c>
    </row>
    <row r="214" spans="2:28" x14ac:dyDescent="0.4">
      <c r="B214" s="11">
        <v>197</v>
      </c>
      <c r="C214" s="16">
        <f t="shared" si="13"/>
        <v>104.04574767251204</v>
      </c>
      <c r="D214" s="17">
        <f t="shared" si="15"/>
        <v>115.60638630279115</v>
      </c>
      <c r="E214" s="17">
        <f t="shared" si="14"/>
        <v>127.16702493307027</v>
      </c>
      <c r="F214" s="2">
        <v>115.0989</v>
      </c>
      <c r="G214" s="2" t="str">
        <f t="shared" si="12"/>
        <v>Pass</v>
      </c>
      <c r="Y214" s="2">
        <v>199</v>
      </c>
      <c r="Z214" s="2">
        <v>0.33600000000000002</v>
      </c>
      <c r="AA214" s="2">
        <v>0.35160000000000002</v>
      </c>
      <c r="AB214" s="2">
        <v>118.0839</v>
      </c>
    </row>
    <row r="215" spans="2:28" x14ac:dyDescent="0.4">
      <c r="B215" s="11">
        <v>198</v>
      </c>
      <c r="C215" s="16">
        <f t="shared" si="13"/>
        <v>105.2097625908328</v>
      </c>
      <c r="D215" s="17">
        <f t="shared" si="15"/>
        <v>116.89973621203644</v>
      </c>
      <c r="E215" s="17">
        <f t="shared" si="14"/>
        <v>128.58970983324008</v>
      </c>
      <c r="F215" s="2">
        <v>116.4405</v>
      </c>
      <c r="G215" s="2" t="str">
        <f t="shared" si="12"/>
        <v>Pass</v>
      </c>
      <c r="Y215" s="2">
        <v>200</v>
      </c>
      <c r="Z215" s="2">
        <v>0.3357</v>
      </c>
      <c r="AA215" s="2">
        <v>0.35120000000000001</v>
      </c>
      <c r="AB215" s="2">
        <v>119.373</v>
      </c>
    </row>
    <row r="216" spans="2:28" x14ac:dyDescent="0.4">
      <c r="B216" s="11">
        <v>199</v>
      </c>
      <c r="C216" s="16">
        <f t="shared" si="13"/>
        <v>106.38084477440268</v>
      </c>
      <c r="D216" s="17">
        <f t="shared" si="15"/>
        <v>118.2009386382252</v>
      </c>
      <c r="E216" s="17">
        <f t="shared" si="14"/>
        <v>130.02103250204772</v>
      </c>
      <c r="F216" s="2">
        <v>118.0839</v>
      </c>
      <c r="G216" s="2" t="str">
        <f t="shared" si="12"/>
        <v>Pass</v>
      </c>
      <c r="Y216" s="2">
        <v>201</v>
      </c>
      <c r="Z216" s="2">
        <v>0.33550000000000002</v>
      </c>
      <c r="AA216" s="2">
        <v>0.35099999999999998</v>
      </c>
      <c r="AB216" s="2">
        <v>121.04940000000001</v>
      </c>
    </row>
    <row r="217" spans="2:28" x14ac:dyDescent="0.4">
      <c r="B217" s="11">
        <v>200</v>
      </c>
      <c r="C217" s="16">
        <f t="shared" si="13"/>
        <v>107.55900133870047</v>
      </c>
      <c r="D217" s="17">
        <f t="shared" si="15"/>
        <v>119.51000148744497</v>
      </c>
      <c r="E217" s="17">
        <f t="shared" si="14"/>
        <v>131.46100163618945</v>
      </c>
      <c r="F217" s="2">
        <v>119.373</v>
      </c>
      <c r="G217" s="2" t="str">
        <f t="shared" si="12"/>
        <v>Pass</v>
      </c>
      <c r="Y217" s="2">
        <v>202</v>
      </c>
      <c r="Z217" s="2">
        <v>0.3367</v>
      </c>
      <c r="AA217" s="2">
        <v>0.35210000000000002</v>
      </c>
      <c r="AB217" s="2">
        <v>122.2955</v>
      </c>
    </row>
    <row r="218" spans="2:28" x14ac:dyDescent="0.4">
      <c r="B218" s="11">
        <v>201</v>
      </c>
      <c r="C218" s="16">
        <f t="shared" si="13"/>
        <v>108.74423937069218</v>
      </c>
      <c r="D218" s="17">
        <f t="shared" si="15"/>
        <v>120.82693263410243</v>
      </c>
      <c r="E218" s="17">
        <f t="shared" si="14"/>
        <v>132.90962589751268</v>
      </c>
      <c r="F218" s="2">
        <v>121.04940000000001</v>
      </c>
      <c r="G218" s="2" t="str">
        <f t="shared" si="12"/>
        <v>Pass</v>
      </c>
      <c r="Y218" s="2">
        <v>203</v>
      </c>
      <c r="Z218" s="2">
        <v>0.33660000000000001</v>
      </c>
      <c r="AA218" s="2">
        <v>0.35199999999999998</v>
      </c>
      <c r="AB218" s="2">
        <v>123.5449</v>
      </c>
    </row>
    <row r="219" spans="2:28" x14ac:dyDescent="0.4">
      <c r="B219" s="11">
        <v>202</v>
      </c>
      <c r="C219" s="16">
        <f t="shared" si="13"/>
        <v>109.93656592908698</v>
      </c>
      <c r="D219" s="17">
        <f t="shared" si="15"/>
        <v>122.15173992120775</v>
      </c>
      <c r="E219" s="17">
        <f t="shared" si="14"/>
        <v>134.36691391332852</v>
      </c>
      <c r="F219" s="2">
        <v>122.2955</v>
      </c>
      <c r="G219" s="2" t="str">
        <f t="shared" si="12"/>
        <v>Pass</v>
      </c>
      <c r="Y219" s="2">
        <v>204</v>
      </c>
      <c r="Z219" s="2">
        <v>0.33629999999999999</v>
      </c>
      <c r="AA219" s="2">
        <v>0.35160000000000002</v>
      </c>
      <c r="AB219" s="2">
        <v>125.1461</v>
      </c>
    </row>
    <row r="220" spans="2:28" x14ac:dyDescent="0.4">
      <c r="B220" s="11">
        <v>203</v>
      </c>
      <c r="C220" s="16">
        <f t="shared" si="13"/>
        <v>111.13598804458921</v>
      </c>
      <c r="D220" s="17">
        <f t="shared" si="15"/>
        <v>123.48443116065468</v>
      </c>
      <c r="E220" s="17">
        <f t="shared" si="14"/>
        <v>135.83287427672013</v>
      </c>
      <c r="F220" s="2">
        <v>123.5449</v>
      </c>
      <c r="G220" s="2" t="str">
        <f t="shared" si="12"/>
        <v>Pass</v>
      </c>
      <c r="Y220" s="2">
        <v>205</v>
      </c>
      <c r="Z220" s="2">
        <v>0.33610000000000001</v>
      </c>
      <c r="AA220" s="2">
        <v>0.35149999999999998</v>
      </c>
      <c r="AB220" s="2">
        <v>126.3921</v>
      </c>
    </row>
    <row r="221" spans="2:28" x14ac:dyDescent="0.4">
      <c r="B221" s="11">
        <v>204</v>
      </c>
      <c r="C221" s="16">
        <f t="shared" si="13"/>
        <v>112.34251272014737</v>
      </c>
      <c r="D221" s="17">
        <f t="shared" si="15"/>
        <v>124.82501413349708</v>
      </c>
      <c r="E221" s="17">
        <f t="shared" si="14"/>
        <v>137.30751554684679</v>
      </c>
      <c r="F221" s="2">
        <v>125.1461</v>
      </c>
      <c r="G221" s="2" t="str">
        <f t="shared" si="12"/>
        <v>Pass</v>
      </c>
      <c r="Y221" s="2">
        <v>206</v>
      </c>
      <c r="Z221" s="2">
        <v>0.33679999999999999</v>
      </c>
      <c r="AA221" s="2">
        <v>0.3528</v>
      </c>
      <c r="AB221" s="2">
        <v>127.6366</v>
      </c>
    </row>
    <row r="222" spans="2:28" x14ac:dyDescent="0.4">
      <c r="B222" s="11">
        <v>205</v>
      </c>
      <c r="C222" s="16">
        <f t="shared" si="13"/>
        <v>113.55614693119921</v>
      </c>
      <c r="D222" s="17">
        <f t="shared" si="15"/>
        <v>126.17349659022135</v>
      </c>
      <c r="E222" s="17">
        <f t="shared" si="14"/>
        <v>138.79084624924349</v>
      </c>
      <c r="F222" s="2">
        <v>126.3921</v>
      </c>
      <c r="G222" s="2" t="str">
        <f t="shared" si="12"/>
        <v>Pass</v>
      </c>
      <c r="Y222" s="2">
        <v>207</v>
      </c>
      <c r="Z222" s="2">
        <v>0.33610000000000001</v>
      </c>
      <c r="AA222" s="2">
        <v>0.35089999999999999</v>
      </c>
      <c r="AB222" s="2">
        <v>128.06809999999999</v>
      </c>
    </row>
    <row r="223" spans="2:28" x14ac:dyDescent="0.4">
      <c r="B223" s="11">
        <v>206</v>
      </c>
      <c r="C223" s="16">
        <f t="shared" si="13"/>
        <v>114.77689762591397</v>
      </c>
      <c r="D223" s="17">
        <f t="shared" si="15"/>
        <v>127.52988625101553</v>
      </c>
      <c r="E223" s="17">
        <f t="shared" si="14"/>
        <v>140.28287487611709</v>
      </c>
      <c r="F223" s="2">
        <v>127.6366</v>
      </c>
      <c r="G223" s="2" t="str">
        <f t="shared" si="12"/>
        <v>Pass</v>
      </c>
      <c r="Y223" s="2">
        <v>208</v>
      </c>
      <c r="Z223" s="2">
        <v>0.33600000000000002</v>
      </c>
      <c r="AA223" s="2">
        <v>0.35070000000000001</v>
      </c>
      <c r="AB223" s="2">
        <v>129.7381</v>
      </c>
    </row>
    <row r="224" spans="2:28" x14ac:dyDescent="0.4">
      <c r="B224" s="11">
        <v>207</v>
      </c>
      <c r="C224" s="16">
        <f t="shared" si="13"/>
        <v>116.00477172543088</v>
      </c>
      <c r="D224" s="17">
        <f t="shared" si="15"/>
        <v>128.89419080603432</v>
      </c>
      <c r="E224" s="17">
        <f t="shared" si="14"/>
        <v>141.78360988663775</v>
      </c>
      <c r="F224" s="2">
        <v>128.06809999999999</v>
      </c>
      <c r="G224" s="2" t="str">
        <f t="shared" si="12"/>
        <v>Pass</v>
      </c>
      <c r="Y224" s="2">
        <v>209</v>
      </c>
      <c r="Z224" s="2">
        <v>0.33579999999999999</v>
      </c>
      <c r="AA224" s="2">
        <v>0.35049999999999998</v>
      </c>
      <c r="AB224" s="2">
        <v>130.99090000000001</v>
      </c>
    </row>
    <row r="225" spans="2:28" x14ac:dyDescent="0.4">
      <c r="B225" s="11">
        <v>208</v>
      </c>
      <c r="C225" s="16">
        <f t="shared" si="13"/>
        <v>117.2397761240947</v>
      </c>
      <c r="D225" s="17">
        <f t="shared" si="15"/>
        <v>130.26641791566078</v>
      </c>
      <c r="E225" s="17">
        <f t="shared" si="14"/>
        <v>143.29305970722686</v>
      </c>
      <c r="F225" s="2">
        <v>129.7381</v>
      </c>
      <c r="G225" s="2" t="str">
        <f t="shared" si="12"/>
        <v>Pass</v>
      </c>
      <c r="Y225" s="2">
        <v>210</v>
      </c>
      <c r="Z225" s="2">
        <v>0.33689999999999998</v>
      </c>
      <c r="AA225" s="2">
        <v>0.35170000000000001</v>
      </c>
      <c r="AB225" s="2">
        <v>132.19999999999999</v>
      </c>
    </row>
    <row r="226" spans="2:28" x14ac:dyDescent="0.4">
      <c r="B226" s="11">
        <v>209</v>
      </c>
      <c r="C226" s="16">
        <f t="shared" si="13"/>
        <v>118.48191768968795</v>
      </c>
      <c r="D226" s="17">
        <f t="shared" si="15"/>
        <v>131.64657521076438</v>
      </c>
      <c r="E226" s="17">
        <f t="shared" si="14"/>
        <v>144.81123273184082</v>
      </c>
      <c r="F226" s="2">
        <v>130.99090000000001</v>
      </c>
      <c r="G226" s="2" t="str">
        <f t="shared" si="12"/>
        <v>Pass</v>
      </c>
      <c r="Y226" s="2">
        <v>211</v>
      </c>
      <c r="Z226" s="2">
        <v>0.3367</v>
      </c>
      <c r="AA226" s="2">
        <v>0.35139999999999999</v>
      </c>
      <c r="AB226" s="2">
        <v>133.90479999999999</v>
      </c>
    </row>
    <row r="227" spans="2:28" x14ac:dyDescent="0.4">
      <c r="B227" s="11">
        <v>210</v>
      </c>
      <c r="C227" s="16">
        <f t="shared" si="13"/>
        <v>119.73120326366005</v>
      </c>
      <c r="D227" s="17">
        <f t="shared" si="15"/>
        <v>133.03467029295561</v>
      </c>
      <c r="E227" s="17">
        <f t="shared" si="14"/>
        <v>146.33813732225116</v>
      </c>
      <c r="F227" s="2">
        <v>132.19999999999999</v>
      </c>
      <c r="G227" s="2" t="str">
        <f t="shared" si="12"/>
        <v>Pass</v>
      </c>
      <c r="Y227" s="2">
        <v>212</v>
      </c>
      <c r="Z227" s="2">
        <v>0.33650000000000002</v>
      </c>
      <c r="AA227" s="2">
        <v>0.35120000000000001</v>
      </c>
      <c r="AB227" s="2">
        <v>135.1678</v>
      </c>
    </row>
    <row r="228" spans="2:28" x14ac:dyDescent="0.4">
      <c r="B228" s="11">
        <v>211</v>
      </c>
      <c r="C228" s="16">
        <f t="shared" si="13"/>
        <v>120.98763966135353</v>
      </c>
      <c r="D228" s="17">
        <f t="shared" si="15"/>
        <v>134.43071073483725</v>
      </c>
      <c r="E228" s="17">
        <f t="shared" si="14"/>
        <v>147.87378180832098</v>
      </c>
      <c r="F228" s="2">
        <v>133.90479999999999</v>
      </c>
      <c r="G228" s="2" t="str">
        <f t="shared" si="12"/>
        <v>Pass</v>
      </c>
      <c r="Y228" s="2">
        <v>213</v>
      </c>
      <c r="Z228" s="2">
        <v>0.33629999999999999</v>
      </c>
      <c r="AA228" s="2">
        <v>0.35089999999999999</v>
      </c>
      <c r="AB228" s="2">
        <v>136.8588</v>
      </c>
    </row>
    <row r="229" spans="2:28" x14ac:dyDescent="0.4">
      <c r="B229" s="11">
        <v>212</v>
      </c>
      <c r="C229" s="16">
        <f t="shared" si="13"/>
        <v>122.25123367222696</v>
      </c>
      <c r="D229" s="17">
        <f t="shared" si="15"/>
        <v>135.83470408025218</v>
      </c>
      <c r="E229" s="17">
        <f t="shared" si="14"/>
        <v>149.4181744882774</v>
      </c>
      <c r="F229" s="2">
        <v>135.1678</v>
      </c>
      <c r="G229" s="2" t="str">
        <f t="shared" si="12"/>
        <v>Pass</v>
      </c>
      <c r="Y229" s="2">
        <v>214</v>
      </c>
      <c r="Z229" s="2">
        <v>0.33600000000000002</v>
      </c>
      <c r="AA229" s="2">
        <v>0.35070000000000001</v>
      </c>
      <c r="AB229" s="2">
        <v>138.1609</v>
      </c>
    </row>
    <row r="230" spans="2:28" x14ac:dyDescent="0.4">
      <c r="B230" s="11">
        <v>213</v>
      </c>
      <c r="C230" s="16">
        <f t="shared" si="13"/>
        <v>123.52199206007519</v>
      </c>
      <c r="D230" s="17">
        <f t="shared" si="15"/>
        <v>137.24665784452799</v>
      </c>
      <c r="E230" s="17">
        <f t="shared" si="14"/>
        <v>150.9713236289808</v>
      </c>
      <c r="F230" s="2">
        <v>136.8588</v>
      </c>
      <c r="G230" s="2" t="str">
        <f t="shared" si="12"/>
        <v>Pass</v>
      </c>
      <c r="Y230" s="2">
        <v>215</v>
      </c>
      <c r="Z230" s="2">
        <v>0.33679999999999999</v>
      </c>
      <c r="AA230" s="2">
        <v>0.35199999999999998</v>
      </c>
      <c r="AB230" s="2">
        <v>139.42230000000001</v>
      </c>
    </row>
    <row r="231" spans="2:28" x14ac:dyDescent="0.4">
      <c r="B231" s="11">
        <v>214</v>
      </c>
      <c r="C231" s="16">
        <f t="shared" si="13"/>
        <v>124.7999215632466</v>
      </c>
      <c r="D231" s="17">
        <f t="shared" si="15"/>
        <v>138.66657951471845</v>
      </c>
      <c r="E231" s="17">
        <f t="shared" si="14"/>
        <v>152.53323746619029</v>
      </c>
      <c r="F231" s="2">
        <v>138.1609</v>
      </c>
      <c r="G231" s="2" t="str">
        <f t="shared" si="12"/>
        <v>Pass</v>
      </c>
      <c r="Y231" s="2">
        <v>216</v>
      </c>
      <c r="Z231" s="2">
        <v>0.33650000000000002</v>
      </c>
      <c r="AA231" s="2">
        <v>0.3518</v>
      </c>
      <c r="AB231" s="2">
        <v>141.23689999999999</v>
      </c>
    </row>
    <row r="232" spans="2:28" x14ac:dyDescent="0.4">
      <c r="B232" s="11">
        <v>215</v>
      </c>
      <c r="C232" s="16">
        <f t="shared" si="13"/>
        <v>126.08502889485742</v>
      </c>
      <c r="D232" s="17">
        <f t="shared" si="15"/>
        <v>140.09447654984157</v>
      </c>
      <c r="E232" s="17">
        <f t="shared" si="14"/>
        <v>154.10392420482572</v>
      </c>
      <c r="F232" s="2">
        <v>139.42230000000001</v>
      </c>
      <c r="G232" s="2" t="str">
        <f t="shared" si="12"/>
        <v>Pass</v>
      </c>
      <c r="Y232" s="2">
        <v>217</v>
      </c>
      <c r="Z232" s="2">
        <v>0.33639999999999998</v>
      </c>
      <c r="AA232" s="2">
        <v>0.35160000000000002</v>
      </c>
      <c r="AB232" s="2">
        <v>142.56039999999999</v>
      </c>
    </row>
    <row r="233" spans="2:28" x14ac:dyDescent="0.4">
      <c r="B233" s="11">
        <v>216</v>
      </c>
      <c r="C233" s="16">
        <f t="shared" si="13"/>
        <v>127.37732074300344</v>
      </c>
      <c r="D233" s="17">
        <f t="shared" si="15"/>
        <v>141.53035638111493</v>
      </c>
      <c r="E233" s="17">
        <f t="shared" si="14"/>
        <v>155.68339201922643</v>
      </c>
      <c r="F233" s="2">
        <v>141.23689999999999</v>
      </c>
      <c r="G233" s="2" t="str">
        <f t="shared" si="12"/>
        <v>Pass</v>
      </c>
      <c r="Y233" s="2">
        <v>218</v>
      </c>
      <c r="Z233" s="2">
        <v>0.3362</v>
      </c>
      <c r="AA233" s="2">
        <v>0.35139999999999999</v>
      </c>
      <c r="AB233" s="2">
        <v>143.90190000000001</v>
      </c>
    </row>
    <row r="234" spans="2:28" x14ac:dyDescent="0.4">
      <c r="B234" s="11">
        <v>217</v>
      </c>
      <c r="C234" s="16">
        <f t="shared" si="13"/>
        <v>128.67680377096872</v>
      </c>
      <c r="D234" s="17">
        <f t="shared" si="15"/>
        <v>142.97422641218748</v>
      </c>
      <c r="E234" s="17">
        <f t="shared" si="14"/>
        <v>157.27164905340624</v>
      </c>
      <c r="F234" s="2">
        <v>142.56039999999999</v>
      </c>
      <c r="G234" s="2" t="str">
        <f t="shared" si="12"/>
        <v>Pass</v>
      </c>
      <c r="Y234" s="2">
        <v>219</v>
      </c>
      <c r="Z234" s="2">
        <v>0.3357</v>
      </c>
      <c r="AA234" s="2">
        <v>0.35120000000000001</v>
      </c>
      <c r="AB234" s="2">
        <v>145.59119999999999</v>
      </c>
    </row>
    <row r="235" spans="2:28" x14ac:dyDescent="0.4">
      <c r="B235" s="11">
        <v>218</v>
      </c>
      <c r="C235" s="16">
        <f t="shared" si="13"/>
        <v>129.98348461743188</v>
      </c>
      <c r="D235" s="17">
        <f t="shared" si="15"/>
        <v>144.42609401936875</v>
      </c>
      <c r="E235" s="17">
        <f t="shared" si="14"/>
        <v>158.86870342130561</v>
      </c>
      <c r="F235" s="2">
        <v>143.90190000000001</v>
      </c>
      <c r="G235" s="2" t="str">
        <f t="shared" si="12"/>
        <v>Pass</v>
      </c>
      <c r="Y235" s="2">
        <v>220</v>
      </c>
      <c r="Z235" s="2">
        <v>0.33629999999999999</v>
      </c>
      <c r="AA235" s="2">
        <v>0.35249999999999998</v>
      </c>
      <c r="AB235" s="2">
        <v>146.8194</v>
      </c>
    </row>
    <row r="236" spans="2:28" x14ac:dyDescent="0.4">
      <c r="B236" s="11">
        <v>219</v>
      </c>
      <c r="C236" s="16">
        <f t="shared" si="13"/>
        <v>131.29736989666947</v>
      </c>
      <c r="D236" s="17">
        <f t="shared" si="15"/>
        <v>145.88596655185498</v>
      </c>
      <c r="E236" s="17">
        <f t="shared" si="14"/>
        <v>160.47456320704049</v>
      </c>
      <c r="F236" s="2">
        <v>145.59119999999999</v>
      </c>
      <c r="G236" s="2" t="str">
        <f t="shared" si="12"/>
        <v>Pass</v>
      </c>
      <c r="Y236" s="2">
        <v>221</v>
      </c>
      <c r="Z236" s="2">
        <v>0.3367</v>
      </c>
      <c r="AA236" s="2">
        <v>0.35199999999999998</v>
      </c>
      <c r="AB236" s="2">
        <v>148.62389999999999</v>
      </c>
    </row>
    <row r="237" spans="2:28" x14ac:dyDescent="0.4">
      <c r="B237" s="11">
        <v>220</v>
      </c>
      <c r="C237" s="16">
        <f t="shared" si="13"/>
        <v>132.61846619875706</v>
      </c>
      <c r="D237" s="17">
        <f t="shared" si="15"/>
        <v>147.35385133195228</v>
      </c>
      <c r="E237" s="17">
        <f t="shared" si="14"/>
        <v>162.08923646514751</v>
      </c>
      <c r="F237" s="2">
        <v>146.8194</v>
      </c>
      <c r="G237" s="2" t="str">
        <f t="shared" si="12"/>
        <v>Pass</v>
      </c>
      <c r="Y237" s="2">
        <v>222</v>
      </c>
      <c r="Z237" s="2">
        <v>0.33639999999999998</v>
      </c>
      <c r="AA237" s="2">
        <v>0.35170000000000001</v>
      </c>
      <c r="AB237" s="2">
        <v>150.36670000000001</v>
      </c>
    </row>
    <row r="238" spans="2:28" x14ac:dyDescent="0.4">
      <c r="B238" s="11">
        <v>221</v>
      </c>
      <c r="C238" s="16">
        <f t="shared" si="13"/>
        <v>133.9467800897672</v>
      </c>
      <c r="D238" s="17">
        <f t="shared" si="15"/>
        <v>148.82975565529688</v>
      </c>
      <c r="E238" s="17">
        <f t="shared" si="14"/>
        <v>163.71273122082656</v>
      </c>
      <c r="F238" s="2">
        <v>148.62389999999999</v>
      </c>
      <c r="G238" s="2" t="str">
        <f t="shared" si="12"/>
        <v>Pass</v>
      </c>
      <c r="Y238" s="2">
        <v>223</v>
      </c>
      <c r="Z238" s="2">
        <v>0.33629999999999999</v>
      </c>
      <c r="AA238" s="2">
        <v>0.35160000000000002</v>
      </c>
      <c r="AB238" s="2">
        <v>151.84780000000001</v>
      </c>
    </row>
    <row r="239" spans="2:28" x14ac:dyDescent="0.4">
      <c r="B239" s="11">
        <v>222</v>
      </c>
      <c r="C239" s="16">
        <f t="shared" si="13"/>
        <v>135.28231811196565</v>
      </c>
      <c r="D239" s="17">
        <f t="shared" si="15"/>
        <v>150.31368679107294</v>
      </c>
      <c r="E239" s="17">
        <f t="shared" si="14"/>
        <v>165.34505547018023</v>
      </c>
      <c r="F239" s="2">
        <v>150.36670000000001</v>
      </c>
      <c r="G239" s="2" t="str">
        <f t="shared" si="12"/>
        <v>Pass</v>
      </c>
      <c r="Y239" s="2">
        <v>224</v>
      </c>
      <c r="Z239" s="2">
        <v>0.33610000000000001</v>
      </c>
      <c r="AA239" s="2">
        <v>0.35060000000000002</v>
      </c>
      <c r="AB239" s="2">
        <v>152.24590000000001</v>
      </c>
    </row>
    <row r="240" spans="2:28" x14ac:dyDescent="0.4">
      <c r="B240" s="11">
        <v>223</v>
      </c>
      <c r="C240" s="16">
        <f t="shared" si="13"/>
        <v>136.62508678400454</v>
      </c>
      <c r="D240" s="17">
        <f t="shared" si="15"/>
        <v>151.80565198222726</v>
      </c>
      <c r="E240" s="17">
        <f t="shared" si="14"/>
        <v>166.98621718044998</v>
      </c>
      <c r="F240" s="2">
        <v>151.84780000000001</v>
      </c>
      <c r="G240" s="2" t="str">
        <f t="shared" si="12"/>
        <v>Pass</v>
      </c>
      <c r="Y240" s="2">
        <v>225</v>
      </c>
      <c r="Z240" s="2">
        <v>0.33579999999999999</v>
      </c>
      <c r="AA240" s="2">
        <v>0.35039999999999999</v>
      </c>
      <c r="AB240" s="2">
        <v>154.09270000000001</v>
      </c>
    </row>
    <row r="241" spans="2:28" x14ac:dyDescent="0.4">
      <c r="B241" s="11">
        <v>224</v>
      </c>
      <c r="C241" s="16">
        <f t="shared" si="13"/>
        <v>137.9750926011132</v>
      </c>
      <c r="D241" s="17">
        <f t="shared" si="15"/>
        <v>153.30565844568133</v>
      </c>
      <c r="E241" s="17">
        <f t="shared" si="14"/>
        <v>168.63622429024946</v>
      </c>
      <c r="F241" s="2">
        <v>152.24590000000001</v>
      </c>
      <c r="G241" s="2" t="str">
        <f t="shared" si="12"/>
        <v>Pass</v>
      </c>
      <c r="Y241" s="2">
        <v>226</v>
      </c>
      <c r="Z241" s="2">
        <v>0.33610000000000001</v>
      </c>
      <c r="AA241" s="2">
        <v>0.35099999999999998</v>
      </c>
      <c r="AB241" s="2">
        <v>155.47499999999999</v>
      </c>
    </row>
    <row r="242" spans="2:28" x14ac:dyDescent="0.4">
      <c r="B242" s="11">
        <v>225</v>
      </c>
      <c r="C242" s="16">
        <f t="shared" si="13"/>
        <v>139.33234203528679</v>
      </c>
      <c r="D242" s="17">
        <f t="shared" si="15"/>
        <v>154.81371337254089</v>
      </c>
      <c r="E242" s="17">
        <f t="shared" si="14"/>
        <v>170.29508470979499</v>
      </c>
      <c r="F242" s="2">
        <v>154.09270000000001</v>
      </c>
      <c r="G242" s="2" t="str">
        <f t="shared" si="12"/>
        <v>Pass</v>
      </c>
      <c r="Y242" s="2">
        <v>227</v>
      </c>
      <c r="Z242" s="2">
        <v>0.33589999999999998</v>
      </c>
      <c r="AA242" s="2">
        <v>0.35089999999999999</v>
      </c>
      <c r="AB242" s="2">
        <v>156.85470000000001</v>
      </c>
    </row>
    <row r="243" spans="2:28" x14ac:dyDescent="0.4">
      <c r="B243" s="11">
        <v>226</v>
      </c>
      <c r="C243" s="16">
        <f t="shared" si="13"/>
        <v>140.69684153547252</v>
      </c>
      <c r="D243" s="17">
        <f t="shared" si="15"/>
        <v>156.3298239283028</v>
      </c>
      <c r="E243" s="17">
        <f t="shared" si="14"/>
        <v>171.96280632113309</v>
      </c>
      <c r="F243" s="2">
        <v>155.47499999999999</v>
      </c>
      <c r="G243" s="2" t="str">
        <f t="shared" si="12"/>
        <v>Pass</v>
      </c>
      <c r="Y243" s="2">
        <v>228</v>
      </c>
      <c r="Z243" s="2">
        <v>0.3357</v>
      </c>
      <c r="AA243" s="2">
        <v>0.35060000000000002</v>
      </c>
      <c r="AB243" s="2">
        <v>158.67439999999999</v>
      </c>
    </row>
    <row r="244" spans="2:28" x14ac:dyDescent="0.4">
      <c r="B244" s="11">
        <v>227</v>
      </c>
      <c r="C244" s="16">
        <f t="shared" si="13"/>
        <v>142.06859752775333</v>
      </c>
      <c r="D244" s="17">
        <f t="shared" si="15"/>
        <v>157.85399725305925</v>
      </c>
      <c r="E244" s="17">
        <f t="shared" si="14"/>
        <v>173.63939697836517</v>
      </c>
      <c r="F244" s="2">
        <v>156.85470000000001</v>
      </c>
      <c r="G244" s="2" t="str">
        <f t="shared" si="12"/>
        <v>Pass</v>
      </c>
      <c r="Y244" s="2">
        <v>229</v>
      </c>
      <c r="Z244" s="2">
        <v>0.33550000000000002</v>
      </c>
      <c r="AA244" s="2">
        <v>0.35049999999999998</v>
      </c>
      <c r="AB244" s="2">
        <v>160.0609</v>
      </c>
    </row>
    <row r="245" spans="2:28" x14ac:dyDescent="0.4">
      <c r="B245" s="11">
        <v>228</v>
      </c>
      <c r="C245" s="16">
        <f t="shared" si="13"/>
        <v>143.44761641552955</v>
      </c>
      <c r="D245" s="17">
        <f t="shared" si="15"/>
        <v>159.38624046169951</v>
      </c>
      <c r="E245" s="17">
        <f t="shared" si="14"/>
        <v>175.32486450786948</v>
      </c>
      <c r="F245" s="2">
        <v>158.67439999999999</v>
      </c>
      <c r="G245" s="2" t="str">
        <f t="shared" si="12"/>
        <v>Pass</v>
      </c>
      <c r="Y245" s="2">
        <v>230</v>
      </c>
      <c r="Z245" s="2">
        <v>0.33529999999999999</v>
      </c>
      <c r="AA245" s="2">
        <v>0.35039999999999999</v>
      </c>
      <c r="AB245" s="2">
        <v>161.43340000000001</v>
      </c>
    </row>
    <row r="246" spans="2:28" x14ac:dyDescent="0.4">
      <c r="B246" s="11">
        <v>229</v>
      </c>
      <c r="C246" s="16">
        <f t="shared" si="13"/>
        <v>144.83390457969838</v>
      </c>
      <c r="D246" s="17">
        <f t="shared" si="15"/>
        <v>160.92656064410932</v>
      </c>
      <c r="E246" s="17">
        <f t="shared" si="14"/>
        <v>177.01921670852025</v>
      </c>
      <c r="F246" s="2">
        <v>160.0609</v>
      </c>
      <c r="G246" s="2" t="str">
        <f t="shared" si="12"/>
        <v>Pass</v>
      </c>
      <c r="Y246" s="2">
        <v>231</v>
      </c>
      <c r="Z246" s="2">
        <v>0.3367</v>
      </c>
      <c r="AA246" s="2">
        <v>0.35189999999999999</v>
      </c>
      <c r="AB246" s="2">
        <v>163.1421</v>
      </c>
    </row>
    <row r="247" spans="2:28" x14ac:dyDescent="0.4">
      <c r="B247" s="11">
        <v>230</v>
      </c>
      <c r="C247" s="16">
        <f t="shared" si="13"/>
        <v>146.22746837883093</v>
      </c>
      <c r="D247" s="17">
        <f t="shared" si="15"/>
        <v>162.4749648653677</v>
      </c>
      <c r="E247" s="17">
        <f t="shared" si="14"/>
        <v>178.72246135190446</v>
      </c>
      <c r="F247" s="2">
        <v>161.43340000000001</v>
      </c>
      <c r="G247" s="2" t="str">
        <f t="shared" si="12"/>
        <v>Pass</v>
      </c>
      <c r="Y247" s="2">
        <v>232</v>
      </c>
      <c r="Z247" s="2">
        <v>0.33650000000000002</v>
      </c>
      <c r="AA247" s="2">
        <v>0.3518</v>
      </c>
      <c r="AB247" s="2">
        <v>165.0582</v>
      </c>
    </row>
    <row r="248" spans="2:28" x14ac:dyDescent="0.4">
      <c r="B248" s="11">
        <v>231</v>
      </c>
      <c r="C248" s="16">
        <f t="shared" si="13"/>
        <v>147.62831414934718</v>
      </c>
      <c r="D248" s="17">
        <f t="shared" si="15"/>
        <v>164.0314601659413</v>
      </c>
      <c r="E248" s="17">
        <f t="shared" si="14"/>
        <v>180.43460618253542</v>
      </c>
      <c r="F248" s="2">
        <v>163.1421</v>
      </c>
      <c r="G248" s="2" t="str">
        <f t="shared" si="12"/>
        <v>Pass</v>
      </c>
      <c r="Y248" s="2">
        <v>233</v>
      </c>
      <c r="Z248" s="2">
        <v>0.33629999999999999</v>
      </c>
      <c r="AA248" s="2">
        <v>0.35160000000000002</v>
      </c>
      <c r="AB248" s="2">
        <v>166.47479999999999</v>
      </c>
    </row>
    <row r="249" spans="2:28" x14ac:dyDescent="0.4">
      <c r="B249" s="11">
        <v>232</v>
      </c>
      <c r="C249" s="16">
        <f t="shared" si="13"/>
        <v>149.03644820568891</v>
      </c>
      <c r="D249" s="17">
        <f t="shared" si="15"/>
        <v>165.59605356187657</v>
      </c>
      <c r="E249" s="17">
        <f t="shared" si="14"/>
        <v>182.15565891806423</v>
      </c>
      <c r="F249" s="2">
        <v>165.0582</v>
      </c>
      <c r="G249" s="2" t="str">
        <f t="shared" si="12"/>
        <v>Pass</v>
      </c>
      <c r="Y249" s="2">
        <v>234</v>
      </c>
      <c r="Z249" s="2">
        <v>0.33610000000000001</v>
      </c>
      <c r="AA249" s="2">
        <v>0.35149999999999998</v>
      </c>
      <c r="AB249" s="2">
        <v>168.35730000000001</v>
      </c>
    </row>
    <row r="250" spans="2:28" x14ac:dyDescent="0.4">
      <c r="B250" s="11">
        <v>233</v>
      </c>
      <c r="C250" s="16">
        <f t="shared" si="13"/>
        <v>150.4518768404906</v>
      </c>
      <c r="D250" s="17">
        <f t="shared" si="15"/>
        <v>167.16875204498956</v>
      </c>
      <c r="E250" s="17">
        <f t="shared" si="14"/>
        <v>183.88562724948852</v>
      </c>
      <c r="F250" s="2">
        <v>166.47479999999999</v>
      </c>
      <c r="G250" s="2" t="str">
        <f t="shared" si="12"/>
        <v>Pass</v>
      </c>
      <c r="Y250" s="2">
        <v>235</v>
      </c>
      <c r="Z250" s="2">
        <v>0.33600000000000002</v>
      </c>
      <c r="AA250" s="2">
        <v>0.35139999999999999</v>
      </c>
      <c r="AB250" s="2">
        <v>169.79750000000001</v>
      </c>
    </row>
    <row r="251" spans="2:28" x14ac:dyDescent="0.4">
      <c r="B251" s="11">
        <v>234</v>
      </c>
      <c r="C251" s="16">
        <f t="shared" si="13"/>
        <v>151.8746063247479</v>
      </c>
      <c r="D251" s="17">
        <f t="shared" si="15"/>
        <v>168.74956258305323</v>
      </c>
      <c r="E251" s="17">
        <f t="shared" si="14"/>
        <v>185.62451884135857</v>
      </c>
      <c r="F251" s="2">
        <v>168.35730000000001</v>
      </c>
      <c r="G251" s="2" t="str">
        <f t="shared" si="12"/>
        <v>Pass</v>
      </c>
      <c r="Y251" s="2">
        <v>236</v>
      </c>
      <c r="Z251" s="2">
        <v>0.3362</v>
      </c>
      <c r="AA251" s="2">
        <v>0.35189999999999999</v>
      </c>
      <c r="AB251" s="2">
        <v>171.25810000000001</v>
      </c>
    </row>
    <row r="252" spans="2:28" x14ac:dyDescent="0.4">
      <c r="B252" s="11">
        <v>235</v>
      </c>
      <c r="C252" s="16">
        <f t="shared" si="13"/>
        <v>153.3046429079846</v>
      </c>
      <c r="D252" s="17">
        <f t="shared" si="15"/>
        <v>170.33849211998287</v>
      </c>
      <c r="E252" s="17">
        <f t="shared" si="14"/>
        <v>187.37234133198115</v>
      </c>
      <c r="F252" s="2">
        <v>169.79750000000001</v>
      </c>
      <c r="G252" s="2" t="str">
        <f t="shared" si="12"/>
        <v>Pass</v>
      </c>
      <c r="Y252" s="2">
        <v>237</v>
      </c>
      <c r="Z252" s="2">
        <v>0.33610000000000001</v>
      </c>
      <c r="AA252" s="2">
        <v>0.35170000000000001</v>
      </c>
      <c r="AB252" s="2">
        <v>173.1361</v>
      </c>
    </row>
    <row r="253" spans="2:28" x14ac:dyDescent="0.4">
      <c r="B253" s="11">
        <v>236</v>
      </c>
      <c r="C253" s="16">
        <f t="shared" si="13"/>
        <v>154.741992818417</v>
      </c>
      <c r="D253" s="17">
        <f t="shared" si="15"/>
        <v>171.93554757601891</v>
      </c>
      <c r="E253" s="17">
        <f t="shared" si="14"/>
        <v>189.12910233362081</v>
      </c>
      <c r="F253" s="2">
        <v>171.25810000000001</v>
      </c>
      <c r="G253" s="2" t="str">
        <f t="shared" si="12"/>
        <v>Pass</v>
      </c>
      <c r="Y253" s="2">
        <v>238</v>
      </c>
      <c r="Z253" s="2">
        <v>0.33589999999999998</v>
      </c>
      <c r="AA253" s="2">
        <v>0.35139999999999999</v>
      </c>
      <c r="AB253" s="2">
        <v>174.55779999999999</v>
      </c>
    </row>
    <row r="254" spans="2:28" x14ac:dyDescent="0.4">
      <c r="B254" s="11">
        <v>237</v>
      </c>
      <c r="C254" s="16">
        <f t="shared" si="13"/>
        <v>156.18666226311723</v>
      </c>
      <c r="D254" s="17">
        <f t="shared" si="15"/>
        <v>173.54073584790802</v>
      </c>
      <c r="E254" s="17">
        <f t="shared" si="14"/>
        <v>190.89480943269882</v>
      </c>
      <c r="F254" s="2">
        <v>173.1361</v>
      </c>
      <c r="G254" s="2" t="str">
        <f t="shared" si="12"/>
        <v>Pass</v>
      </c>
      <c r="Y254" s="2">
        <v>239</v>
      </c>
      <c r="Z254" s="2">
        <v>0.33660000000000001</v>
      </c>
      <c r="AA254" s="2">
        <v>0.35170000000000001</v>
      </c>
      <c r="AB254" s="2">
        <v>176.52760000000001</v>
      </c>
    </row>
    <row r="255" spans="2:28" x14ac:dyDescent="0.4">
      <c r="B255" s="11">
        <v>238</v>
      </c>
      <c r="C255" s="16">
        <f t="shared" si="13"/>
        <v>157.63865742817342</v>
      </c>
      <c r="D255" s="17">
        <f t="shared" si="15"/>
        <v>175.15406380908158</v>
      </c>
      <c r="E255" s="17">
        <f t="shared" si="14"/>
        <v>192.66947018998974</v>
      </c>
      <c r="F255" s="2">
        <v>174.55779999999999</v>
      </c>
      <c r="G255" s="2" t="str">
        <f t="shared" si="12"/>
        <v>Pass</v>
      </c>
      <c r="Y255" s="2">
        <v>240</v>
      </c>
      <c r="Z255" s="2">
        <v>0.33629999999999999</v>
      </c>
      <c r="AA255" s="2">
        <v>0.34989999999999999</v>
      </c>
      <c r="AB255" s="2">
        <v>176.93549999999999</v>
      </c>
    </row>
    <row r="256" spans="2:28" x14ac:dyDescent="0.4">
      <c r="B256" s="11">
        <v>239</v>
      </c>
      <c r="C256" s="16">
        <f t="shared" si="13"/>
        <v>159.09798447884924</v>
      </c>
      <c r="D256" s="17">
        <f t="shared" si="15"/>
        <v>176.77553830983248</v>
      </c>
      <c r="E256" s="17">
        <f t="shared" si="14"/>
        <v>194.45309214081573</v>
      </c>
      <c r="F256" s="2">
        <v>176.52760000000001</v>
      </c>
      <c r="G256" s="2" t="str">
        <f t="shared" si="12"/>
        <v>Pass</v>
      </c>
      <c r="Y256" s="2">
        <v>241</v>
      </c>
      <c r="Z256" s="2">
        <v>0.33689999999999998</v>
      </c>
      <c r="AA256" s="2">
        <v>0.35110000000000002</v>
      </c>
      <c r="AB256" s="2">
        <v>178.88229999999999</v>
      </c>
    </row>
    <row r="257" spans="2:28" x14ac:dyDescent="0.4">
      <c r="B257" s="11">
        <v>240</v>
      </c>
      <c r="C257" s="16">
        <f t="shared" si="13"/>
        <v>160.5646495597405</v>
      </c>
      <c r="D257" s="17">
        <f t="shared" si="15"/>
        <v>178.40516617748943</v>
      </c>
      <c r="E257" s="17">
        <f t="shared" si="14"/>
        <v>196.24568279523837</v>
      </c>
      <c r="F257" s="2">
        <v>176.93549999999999</v>
      </c>
      <c r="G257" s="2" t="str">
        <f t="shared" si="12"/>
        <v>Pass</v>
      </c>
      <c r="Y257" s="2">
        <v>242</v>
      </c>
      <c r="Z257" s="2">
        <v>0.33679999999999999</v>
      </c>
      <c r="AA257" s="2">
        <v>0.35089999999999999</v>
      </c>
      <c r="AB257" s="2">
        <v>180.4331</v>
      </c>
    </row>
    <row r="258" spans="2:28" x14ac:dyDescent="0.4">
      <c r="B258" s="11">
        <v>241</v>
      </c>
      <c r="C258" s="16">
        <f t="shared" si="13"/>
        <v>162.03865879493065</v>
      </c>
      <c r="D258" s="17">
        <f t="shared" si="15"/>
        <v>180.04295421658961</v>
      </c>
      <c r="E258" s="17">
        <f t="shared" si="14"/>
        <v>198.04724963824856</v>
      </c>
      <c r="F258" s="2">
        <v>178.88229999999999</v>
      </c>
      <c r="G258" s="2" t="str">
        <f t="shared" si="12"/>
        <v>Pass</v>
      </c>
      <c r="Y258" s="2">
        <v>243</v>
      </c>
      <c r="Z258" s="2">
        <v>0.33679999999999999</v>
      </c>
      <c r="AA258" s="2">
        <v>0.35070000000000001</v>
      </c>
      <c r="AB258" s="2">
        <v>181.90690000000001</v>
      </c>
    </row>
    <row r="259" spans="2:28" x14ac:dyDescent="0.4">
      <c r="B259" s="11">
        <v>242</v>
      </c>
      <c r="C259" s="16">
        <f t="shared" si="13"/>
        <v>163.52001828814423</v>
      </c>
      <c r="D259" s="17">
        <f t="shared" si="15"/>
        <v>181.68890920904914</v>
      </c>
      <c r="E259" s="17">
        <f t="shared" si="14"/>
        <v>199.85780012995406</v>
      </c>
      <c r="F259" s="2">
        <v>180.4331</v>
      </c>
      <c r="G259" s="2" t="str">
        <f t="shared" si="12"/>
        <v>Pass</v>
      </c>
      <c r="Y259" s="2">
        <v>244</v>
      </c>
      <c r="Z259" s="2">
        <v>0.33650000000000002</v>
      </c>
      <c r="AA259" s="2">
        <v>0.35039999999999999</v>
      </c>
      <c r="AB259" s="2">
        <v>183.84630000000001</v>
      </c>
    </row>
    <row r="260" spans="2:28" x14ac:dyDescent="0.4">
      <c r="B260" s="11">
        <v>243</v>
      </c>
      <c r="C260" s="16">
        <f t="shared" si="13"/>
        <v>165.00873412289835</v>
      </c>
      <c r="D260" s="17">
        <f t="shared" si="15"/>
        <v>183.34303791433149</v>
      </c>
      <c r="E260" s="17">
        <f t="shared" si="14"/>
        <v>201.67734170576463</v>
      </c>
      <c r="F260" s="2">
        <v>181.90690000000001</v>
      </c>
      <c r="G260" s="2" t="str">
        <f t="shared" si="12"/>
        <v>Pass</v>
      </c>
      <c r="Y260" s="2">
        <v>245</v>
      </c>
      <c r="Z260" s="2">
        <v>0.33610000000000001</v>
      </c>
      <c r="AA260" s="2">
        <v>0.35020000000000001</v>
      </c>
      <c r="AB260" s="2">
        <v>185.18620000000001</v>
      </c>
    </row>
    <row r="261" spans="2:28" x14ac:dyDescent="0.4">
      <c r="B261" s="11">
        <v>244</v>
      </c>
      <c r="C261" s="16">
        <f t="shared" si="13"/>
        <v>166.50481236265261</v>
      </c>
      <c r="D261" s="17">
        <f t="shared" si="15"/>
        <v>185.00534706961403</v>
      </c>
      <c r="E261" s="17">
        <f t="shared" si="14"/>
        <v>203.50588177657545</v>
      </c>
      <c r="F261" s="2">
        <v>183.84630000000001</v>
      </c>
      <c r="G261" s="2" t="str">
        <f t="shared" si="12"/>
        <v>Pass</v>
      </c>
      <c r="Y261" s="2">
        <v>246</v>
      </c>
      <c r="Z261" s="2">
        <v>0.33650000000000002</v>
      </c>
      <c r="AA261" s="2">
        <v>0.35110000000000002</v>
      </c>
      <c r="AB261" s="2">
        <v>186.77629999999999</v>
      </c>
    </row>
    <row r="262" spans="2:28" x14ac:dyDescent="0.4">
      <c r="B262" s="11">
        <v>245</v>
      </c>
      <c r="C262" s="16">
        <f t="shared" si="13"/>
        <v>168.00825905095763</v>
      </c>
      <c r="D262" s="17">
        <f t="shared" si="15"/>
        <v>186.67584338995292</v>
      </c>
      <c r="E262" s="17">
        <f t="shared" si="14"/>
        <v>205.3434277289482</v>
      </c>
      <c r="F262" s="2">
        <v>185.18620000000001</v>
      </c>
      <c r="G262" s="2" t="str">
        <f t="shared" si="12"/>
        <v>Pass</v>
      </c>
      <c r="Y262" s="2">
        <v>247</v>
      </c>
      <c r="Z262" s="2">
        <v>0.33600000000000002</v>
      </c>
      <c r="AA262" s="2">
        <v>0.35089999999999999</v>
      </c>
      <c r="AB262" s="2">
        <v>188.39869999999999</v>
      </c>
    </row>
    <row r="263" spans="2:28" x14ac:dyDescent="0.4">
      <c r="B263" s="11">
        <v>246</v>
      </c>
      <c r="C263" s="16">
        <f t="shared" si="13"/>
        <v>169.51908021160096</v>
      </c>
      <c r="D263" s="17">
        <f t="shared" si="15"/>
        <v>188.35453356844553</v>
      </c>
      <c r="E263" s="17">
        <f t="shared" si="14"/>
        <v>207.1899869252901</v>
      </c>
      <c r="F263" s="2">
        <v>186.77629999999999</v>
      </c>
      <c r="G263" s="2" t="str">
        <f t="shared" si="12"/>
        <v>Pass</v>
      </c>
      <c r="Y263" s="2">
        <v>248</v>
      </c>
      <c r="Z263" s="2">
        <v>0.33550000000000002</v>
      </c>
      <c r="AA263" s="2">
        <v>0.35070000000000001</v>
      </c>
      <c r="AB263" s="2">
        <v>189.76660000000001</v>
      </c>
    </row>
    <row r="264" spans="2:28" x14ac:dyDescent="0.4">
      <c r="B264" s="11">
        <v>247</v>
      </c>
      <c r="C264" s="16">
        <f t="shared" si="13"/>
        <v>171.03728184875246</v>
      </c>
      <c r="D264" s="17">
        <f t="shared" si="15"/>
        <v>190.04142427639161</v>
      </c>
      <c r="E264" s="17">
        <f t="shared" si="14"/>
        <v>209.04556670403076</v>
      </c>
      <c r="F264" s="2">
        <v>188.39869999999999</v>
      </c>
      <c r="G264" s="2" t="str">
        <f t="shared" si="12"/>
        <v>Pass</v>
      </c>
      <c r="Y264" s="2">
        <v>249</v>
      </c>
      <c r="Z264" s="2">
        <v>0.3352</v>
      </c>
      <c r="AA264" s="2">
        <v>0.35060000000000002</v>
      </c>
      <c r="AB264" s="2">
        <v>191.24700000000001</v>
      </c>
    </row>
    <row r="265" spans="2:28" x14ac:dyDescent="0.4">
      <c r="B265" s="11">
        <v>248</v>
      </c>
      <c r="C265" s="16">
        <f t="shared" si="13"/>
        <v>172.56286994710698</v>
      </c>
      <c r="D265" s="17">
        <f t="shared" si="15"/>
        <v>191.73652216345221</v>
      </c>
      <c r="E265" s="17">
        <f t="shared" si="14"/>
        <v>210.91017437979744</v>
      </c>
      <c r="F265" s="2">
        <v>189.76660000000001</v>
      </c>
      <c r="G265" s="2" t="str">
        <f t="shared" si="12"/>
        <v>Pass</v>
      </c>
      <c r="Y265" s="2">
        <v>250</v>
      </c>
      <c r="Z265" s="2">
        <v>0.33510000000000001</v>
      </c>
      <c r="AA265" s="2">
        <v>0.35039999999999999</v>
      </c>
      <c r="AB265" s="2">
        <v>193.40870000000001</v>
      </c>
    </row>
    <row r="266" spans="2:28" x14ac:dyDescent="0.4">
      <c r="B266" s="11">
        <v>249</v>
      </c>
      <c r="C266" s="16">
        <f t="shared" si="13"/>
        <v>174.09585047202631</v>
      </c>
      <c r="D266" s="17">
        <f t="shared" si="15"/>
        <v>193.43983385780703</v>
      </c>
      <c r="E266" s="17">
        <f t="shared" si="14"/>
        <v>212.78381724358775</v>
      </c>
      <c r="F266" s="2">
        <v>191.24700000000001</v>
      </c>
      <c r="G266" s="2" t="str">
        <f t="shared" si="12"/>
        <v>Pass</v>
      </c>
      <c r="Y266" s="2">
        <v>251</v>
      </c>
      <c r="Z266" s="2">
        <v>0.33510000000000001</v>
      </c>
      <c r="AA266" s="2">
        <v>0.35020000000000001</v>
      </c>
      <c r="AB266" s="2">
        <v>195.08629999999999</v>
      </c>
    </row>
    <row r="267" spans="2:28" x14ac:dyDescent="0.4">
      <c r="B267" s="11">
        <v>250</v>
      </c>
      <c r="C267" s="16">
        <f t="shared" si="13"/>
        <v>175.63622936967897</v>
      </c>
      <c r="D267" s="17">
        <f t="shared" si="15"/>
        <v>195.15136596630998</v>
      </c>
      <c r="E267" s="17">
        <f t="shared" si="14"/>
        <v>214.66650256294099</v>
      </c>
      <c r="F267" s="2">
        <v>193.40870000000001</v>
      </c>
      <c r="G267" s="2" t="str">
        <f t="shared" si="12"/>
        <v>Pass</v>
      </c>
      <c r="Y267" s="2">
        <v>252</v>
      </c>
      <c r="Z267" s="2">
        <v>0.33739999999999998</v>
      </c>
      <c r="AA267" s="2">
        <v>0.35160000000000002</v>
      </c>
      <c r="AB267" s="2">
        <v>197.76130000000001</v>
      </c>
    </row>
    <row r="268" spans="2:28" x14ac:dyDescent="0.4">
      <c r="B268" s="11">
        <v>251</v>
      </c>
      <c r="C268" s="16">
        <f t="shared" si="13"/>
        <v>177.18401256717857</v>
      </c>
      <c r="D268" s="17">
        <f t="shared" si="15"/>
        <v>196.87112507464286</v>
      </c>
      <c r="E268" s="17">
        <f t="shared" si="14"/>
        <v>216.55823758210715</v>
      </c>
      <c r="F268" s="2">
        <v>195.08629999999999</v>
      </c>
      <c r="G268" s="2" t="str">
        <f t="shared" si="12"/>
        <v>Pass</v>
      </c>
      <c r="Y268" s="2">
        <v>253</v>
      </c>
      <c r="Z268" s="2">
        <v>0.33729999999999999</v>
      </c>
      <c r="AA268" s="2">
        <v>0.3513</v>
      </c>
      <c r="AB268" s="2">
        <v>200.05119999999999</v>
      </c>
    </row>
    <row r="269" spans="2:28" x14ac:dyDescent="0.4">
      <c r="B269" s="11">
        <v>252</v>
      </c>
      <c r="C269" s="16">
        <f t="shared" si="13"/>
        <v>178.73920597272055</v>
      </c>
      <c r="D269" s="17">
        <f t="shared" si="15"/>
        <v>198.59911774746729</v>
      </c>
      <c r="E269" s="17">
        <f t="shared" si="14"/>
        <v>218.45902952221402</v>
      </c>
      <c r="F269" s="2">
        <v>197.76130000000001</v>
      </c>
      <c r="G269" s="2" t="str">
        <f t="shared" si="12"/>
        <v>Pass</v>
      </c>
      <c r="Y269" s="2">
        <v>254</v>
      </c>
      <c r="Z269" s="2">
        <v>0.33710000000000001</v>
      </c>
      <c r="AA269" s="2">
        <v>0.35120000000000001</v>
      </c>
      <c r="AB269" s="2">
        <v>201.66569999999999</v>
      </c>
    </row>
    <row r="270" spans="2:28" x14ac:dyDescent="0.4">
      <c r="B270" s="11">
        <v>253</v>
      </c>
      <c r="C270" s="16">
        <f t="shared" si="13"/>
        <v>180.30181547571792</v>
      </c>
      <c r="D270" s="17">
        <f t="shared" si="15"/>
        <v>200.33535052857547</v>
      </c>
      <c r="E270" s="17">
        <f t="shared" si="14"/>
        <v>220.36888558143303</v>
      </c>
      <c r="F270" s="2">
        <v>200.05119999999999</v>
      </c>
      <c r="G270" s="2" t="str">
        <f t="shared" si="12"/>
        <v>Pass</v>
      </c>
      <c r="Y270" s="2">
        <v>255</v>
      </c>
      <c r="Z270" s="2">
        <v>0.33639999999999998</v>
      </c>
      <c r="AA270" s="2">
        <v>0.35089999999999999</v>
      </c>
      <c r="AB270" s="2">
        <v>203.4008</v>
      </c>
    </row>
    <row r="271" spans="2:28" x14ac:dyDescent="0.4">
      <c r="B271" s="11">
        <v>254</v>
      </c>
      <c r="C271" s="16">
        <f t="shared" si="13"/>
        <v>181.87184694693454</v>
      </c>
      <c r="D271" s="17">
        <f t="shared" si="15"/>
        <v>202.07982994103838</v>
      </c>
      <c r="E271" s="17">
        <f t="shared" si="14"/>
        <v>222.28781293514223</v>
      </c>
      <c r="F271" s="2">
        <v>201.66569999999999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39</v>
      </c>
    </row>
    <row r="272" spans="2:28" x14ac:dyDescent="0.4">
      <c r="B272" s="11">
        <v>255</v>
      </c>
      <c r="C272" s="16">
        <f t="shared" si="13"/>
        <v>183.06072</v>
      </c>
      <c r="D272" s="18">
        <f>C12</f>
        <v>203.4008</v>
      </c>
      <c r="E272" s="17">
        <f t="shared" si="14"/>
        <v>223.74088</v>
      </c>
      <c r="F272" s="2">
        <v>203.4008</v>
      </c>
      <c r="G272" s="2" t="str">
        <f t="shared" si="12"/>
        <v>Pass</v>
      </c>
    </row>
  </sheetData>
  <protectedRanges>
    <protectedRange password="EBF1" sqref="C2:D2 C4:D4" name="範圍1_2"/>
    <protectedRange password="EBF1" sqref="C11:C13" name="範圍1_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3" priority="1" operator="equal">
      <formula>"Fail"</formula>
    </cfRule>
    <cfRule type="cellIs" dxfId="2" priority="2" operator="equal">
      <formula>"Pass"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E4B9-A97F-4180-B048-F3E2447D3E4B}">
  <dimension ref="B2:AB272"/>
  <sheetViews>
    <sheetView topLeftCell="A22" zoomScale="70" zoomScaleNormal="70" workbookViewId="0">
      <selection activeCell="P61" sqref="P61"/>
    </sheetView>
  </sheetViews>
  <sheetFormatPr defaultColWidth="9" defaultRowHeight="17" x14ac:dyDescent="0.4"/>
  <cols>
    <col min="1" max="1" width="9" style="2"/>
    <col min="2" max="2" width="16.453125" style="2" bestFit="1" customWidth="1"/>
    <col min="3" max="3" width="9" style="2"/>
    <col min="4" max="4" width="13.6328125" style="2" customWidth="1"/>
    <col min="5" max="6" width="9" style="2"/>
    <col min="7" max="7" width="9.453125" style="2" bestFit="1" customWidth="1"/>
    <col min="8" max="24" width="9" style="2"/>
    <col min="25" max="25" width="19.7265625" style="2" bestFit="1" customWidth="1"/>
    <col min="26" max="16384" width="9" style="2"/>
  </cols>
  <sheetData>
    <row r="2" spans="2:28" x14ac:dyDescent="0.4">
      <c r="B2" s="1" t="s">
        <v>0</v>
      </c>
      <c r="C2" s="19"/>
      <c r="D2" s="20"/>
      <c r="E2" s="21"/>
    </row>
    <row r="3" spans="2:28" x14ac:dyDescent="0.4">
      <c r="B3" s="3"/>
      <c r="C3" s="4"/>
      <c r="D3" s="4"/>
      <c r="E3" s="4"/>
    </row>
    <row r="4" spans="2:28" x14ac:dyDescent="0.4">
      <c r="B4" s="1" t="s">
        <v>1</v>
      </c>
      <c r="C4" s="19" t="s">
        <v>2</v>
      </c>
      <c r="D4" s="20"/>
      <c r="E4" s="21"/>
    </row>
    <row r="5" spans="2:28" x14ac:dyDescent="0.4">
      <c r="B5" s="5"/>
      <c r="C5" s="5"/>
      <c r="D5" s="5"/>
      <c r="E5" s="5"/>
    </row>
    <row r="6" spans="2:28" x14ac:dyDescent="0.4">
      <c r="B6" s="1" t="s">
        <v>3</v>
      </c>
      <c r="C6" s="22" t="s">
        <v>4</v>
      </c>
      <c r="D6" s="23"/>
      <c r="E6" s="24"/>
    </row>
    <row r="7" spans="2:28" x14ac:dyDescent="0.4">
      <c r="B7" s="4"/>
      <c r="C7" s="4"/>
      <c r="D7" s="4"/>
      <c r="E7" s="4"/>
    </row>
    <row r="8" spans="2:28" x14ac:dyDescent="0.4">
      <c r="B8" s="1" t="s">
        <v>5</v>
      </c>
      <c r="C8" s="25">
        <v>45736</v>
      </c>
      <c r="D8" s="26"/>
      <c r="E8" s="27"/>
    </row>
    <row r="9" spans="2:28" x14ac:dyDescent="0.4">
      <c r="B9" s="4"/>
      <c r="C9" s="4"/>
      <c r="D9" s="4"/>
      <c r="E9" s="4"/>
    </row>
    <row r="10" spans="2:28" x14ac:dyDescent="0.4">
      <c r="B10" s="1" t="s">
        <v>6</v>
      </c>
      <c r="C10" s="28" t="s">
        <v>7</v>
      </c>
      <c r="D10" s="29"/>
      <c r="E10" s="30"/>
    </row>
    <row r="11" spans="2:28" x14ac:dyDescent="0.4">
      <c r="B11" s="6" t="s">
        <v>8</v>
      </c>
      <c r="C11" s="7">
        <f>F17</f>
        <v>0.24590000000000001</v>
      </c>
      <c r="D11" s="4" t="s">
        <v>9</v>
      </c>
      <c r="E11" s="4"/>
    </row>
    <row r="12" spans="2:28" ht="21.5" x14ac:dyDescent="0.45">
      <c r="B12" s="6" t="s">
        <v>10</v>
      </c>
      <c r="C12" s="8">
        <f>F272</f>
        <v>199.57400000000001</v>
      </c>
      <c r="D12" s="4" t="s">
        <v>9</v>
      </c>
      <c r="E12" s="4"/>
      <c r="Y12" s="9" t="s">
        <v>38</v>
      </c>
    </row>
    <row r="13" spans="2:28" x14ac:dyDescent="0.4">
      <c r="B13" s="1" t="s">
        <v>11</v>
      </c>
      <c r="C13" s="8">
        <v>2.6</v>
      </c>
      <c r="D13" s="4"/>
      <c r="E13" s="4"/>
      <c r="Y13" s="2" t="s">
        <v>12</v>
      </c>
    </row>
    <row r="14" spans="2:28" x14ac:dyDescent="0.4">
      <c r="B14" s="10" t="s">
        <v>13</v>
      </c>
      <c r="C14" s="11">
        <v>10</v>
      </c>
      <c r="D14" s="2" t="s">
        <v>14</v>
      </c>
      <c r="Y14" s="2" t="s">
        <v>15</v>
      </c>
      <c r="Z14" s="2" t="s">
        <v>16</v>
      </c>
      <c r="AA14" s="2" t="s">
        <v>17</v>
      </c>
      <c r="AB14" s="2" t="s">
        <v>18</v>
      </c>
    </row>
    <row r="15" spans="2:28" x14ac:dyDescent="0.4">
      <c r="Y15" s="2">
        <v>0</v>
      </c>
      <c r="Z15" s="2">
        <v>0.26650000000000001</v>
      </c>
      <c r="AA15" s="2">
        <v>0.2737</v>
      </c>
      <c r="AB15" s="2">
        <v>0.24590000000000001</v>
      </c>
    </row>
    <row r="16" spans="2:28" ht="17.5" thickBot="1" x14ac:dyDescent="0.45">
      <c r="B16" s="12" t="s">
        <v>19</v>
      </c>
      <c r="C16" s="13">
        <f>-1*C14/100</f>
        <v>-0.1</v>
      </c>
      <c r="D16" s="14" t="s">
        <v>20</v>
      </c>
      <c r="E16" s="15">
        <f>C14/100</f>
        <v>0.1</v>
      </c>
      <c r="F16" s="14" t="s">
        <v>21</v>
      </c>
      <c r="Y16" s="2">
        <v>1</v>
      </c>
      <c r="Z16" s="2">
        <v>0.27029999999999998</v>
      </c>
      <c r="AA16" s="2">
        <v>0.27200000000000002</v>
      </c>
      <c r="AB16" s="2">
        <v>0.2445</v>
      </c>
    </row>
    <row r="17" spans="2:28" ht="17.5" thickTop="1" x14ac:dyDescent="0.4">
      <c r="B17" s="11">
        <v>0</v>
      </c>
      <c r="C17" s="16">
        <f>D17-D17*(C$14/100)</f>
        <v>2.5900859549243646E-6</v>
      </c>
      <c r="D17" s="17">
        <f>D$272*((B17+F$17)/B$272)^C$13</f>
        <v>2.8778732832492938E-6</v>
      </c>
      <c r="E17" s="17">
        <f>D17+D17*(C$14/100)</f>
        <v>3.1656606115742231E-6</v>
      </c>
      <c r="F17" s="2">
        <v>0.24590000000000001</v>
      </c>
      <c r="G17" s="2" t="str">
        <f t="shared" ref="G17:G80" si="0">IF(F17&lt;=C17,"Fail",IF(AND(C17&lt;F17,F17&lt;E17),"Pass",IF(E17&lt;=F17,"Fail")))</f>
        <v>Fail</v>
      </c>
      <c r="Y17" s="2">
        <v>2</v>
      </c>
      <c r="Z17" s="2">
        <v>0.2702</v>
      </c>
      <c r="AA17" s="2">
        <v>0.27150000000000002</v>
      </c>
      <c r="AB17" s="2">
        <v>0.2442</v>
      </c>
    </row>
    <row r="18" spans="2:28" x14ac:dyDescent="0.4">
      <c r="B18" s="11">
        <v>1</v>
      </c>
      <c r="C18" s="16">
        <f t="shared" ref="C18:C81" si="1">D18-D18*(C$14/100)</f>
        <v>1.7603470033612599E-4</v>
      </c>
      <c r="D18" s="17">
        <f>D$272*((B18+F$17)/B$272)^C$13</f>
        <v>1.9559411148458445E-4</v>
      </c>
      <c r="E18" s="17">
        <f t="shared" ref="E18:E81" si="2">D18+D18*(C$14/100)</f>
        <v>2.151535226330429E-4</v>
      </c>
      <c r="F18" s="2">
        <v>0.2445</v>
      </c>
      <c r="G18" s="2" t="str">
        <f t="shared" si="0"/>
        <v>Fail</v>
      </c>
      <c r="Y18" s="2">
        <v>3</v>
      </c>
      <c r="Z18" s="2">
        <v>0.2732</v>
      </c>
      <c r="AA18" s="2">
        <v>0.27079999999999999</v>
      </c>
      <c r="AB18" s="2">
        <v>0.247</v>
      </c>
    </row>
    <row r="19" spans="2:28" x14ac:dyDescent="0.4">
      <c r="B19" s="11">
        <v>2</v>
      </c>
      <c r="C19" s="16">
        <f t="shared" si="1"/>
        <v>8.1462377611262208E-4</v>
      </c>
      <c r="D19" s="17">
        <f t="shared" ref="D19:D82" si="3">D$272*((B19+F$17)/B$272)^C$13</f>
        <v>9.0513752901402451E-4</v>
      </c>
      <c r="E19" s="17">
        <f t="shared" si="2"/>
        <v>9.9565128191542694E-4</v>
      </c>
      <c r="F19" s="2">
        <v>0.2442</v>
      </c>
      <c r="G19" s="2" t="str">
        <f t="shared" si="0"/>
        <v>Fail</v>
      </c>
      <c r="Y19" s="2">
        <v>4</v>
      </c>
      <c r="Z19" s="2">
        <v>0.2727</v>
      </c>
      <c r="AA19" s="2">
        <v>0.27839999999999998</v>
      </c>
      <c r="AB19" s="2">
        <v>0.25669999999999998</v>
      </c>
    </row>
    <row r="20" spans="2:28" x14ac:dyDescent="0.4">
      <c r="B20" s="11">
        <v>3</v>
      </c>
      <c r="C20" s="16">
        <f t="shared" si="1"/>
        <v>2.1223321623168099E-3</v>
      </c>
      <c r="D20" s="17">
        <f t="shared" si="3"/>
        <v>2.3581468470186776E-3</v>
      </c>
      <c r="E20" s="17">
        <f t="shared" si="2"/>
        <v>2.5939615317205453E-3</v>
      </c>
      <c r="F20" s="2">
        <v>0.247</v>
      </c>
      <c r="G20" s="2" t="str">
        <f t="shared" si="0"/>
        <v>Fail</v>
      </c>
      <c r="Y20" s="2">
        <v>5</v>
      </c>
      <c r="Z20" s="2">
        <v>0.2732</v>
      </c>
      <c r="AA20" s="2">
        <v>0.27260000000000001</v>
      </c>
      <c r="AB20" s="2">
        <v>0.2596</v>
      </c>
    </row>
    <row r="21" spans="2:28" x14ac:dyDescent="0.4">
      <c r="B21" s="11">
        <v>4</v>
      </c>
      <c r="C21" s="16">
        <f t="shared" si="1"/>
        <v>4.2664177917221572E-3</v>
      </c>
      <c r="D21" s="17">
        <f t="shared" si="3"/>
        <v>4.7404642130246194E-3</v>
      </c>
      <c r="E21" s="17">
        <f t="shared" si="2"/>
        <v>5.2145106343270816E-3</v>
      </c>
      <c r="F21" s="2">
        <v>0.25669999999999998</v>
      </c>
      <c r="G21" s="2" t="str">
        <f t="shared" si="0"/>
        <v>Fail</v>
      </c>
      <c r="Y21" s="2">
        <v>6</v>
      </c>
      <c r="Z21" s="2">
        <v>0.27410000000000001</v>
      </c>
      <c r="AA21" s="2">
        <v>0.28189999999999998</v>
      </c>
      <c r="AB21" s="2">
        <v>0.27329999999999999</v>
      </c>
    </row>
    <row r="22" spans="2:28" x14ac:dyDescent="0.4">
      <c r="B22" s="11">
        <v>5</v>
      </c>
      <c r="C22" s="16">
        <f t="shared" si="1"/>
        <v>7.3939076493889358E-3</v>
      </c>
      <c r="D22" s="17">
        <f t="shared" si="3"/>
        <v>8.215452943765484E-3</v>
      </c>
      <c r="E22" s="17">
        <f t="shared" si="2"/>
        <v>9.0369982381420331E-3</v>
      </c>
      <c r="F22" s="2">
        <v>0.2596</v>
      </c>
      <c r="G22" s="2" t="str">
        <f t="shared" si="0"/>
        <v>Fail</v>
      </c>
      <c r="Y22" s="2">
        <v>7</v>
      </c>
      <c r="Z22" s="2">
        <v>0.27750000000000002</v>
      </c>
      <c r="AA22" s="2">
        <v>0.28160000000000002</v>
      </c>
      <c r="AB22" s="2">
        <v>0.27450000000000002</v>
      </c>
    </row>
    <row r="23" spans="2:28" x14ac:dyDescent="0.4">
      <c r="B23" s="11">
        <v>6</v>
      </c>
      <c r="C23" s="16">
        <f t="shared" si="1"/>
        <v>1.163828723652602E-2</v>
      </c>
      <c r="D23" s="17">
        <f t="shared" si="3"/>
        <v>1.2931430262806689E-2</v>
      </c>
      <c r="E23" s="17">
        <f t="shared" si="2"/>
        <v>1.4224573289087357E-2</v>
      </c>
      <c r="F23" s="2">
        <v>0.27329999999999999</v>
      </c>
      <c r="G23" s="2" t="str">
        <f t="shared" si="0"/>
        <v>Fail</v>
      </c>
      <c r="Y23" s="2">
        <v>8</v>
      </c>
      <c r="Z23" s="2">
        <v>0.27660000000000001</v>
      </c>
      <c r="AA23" s="2">
        <v>0.28160000000000002</v>
      </c>
      <c r="AB23" s="2">
        <v>0.27400000000000002</v>
      </c>
    </row>
    <row r="24" spans="2:28" x14ac:dyDescent="0.4">
      <c r="B24" s="11">
        <v>7</v>
      </c>
      <c r="C24" s="16">
        <f t="shared" si="1"/>
        <v>1.7123087500351093E-2</v>
      </c>
      <c r="D24" s="17">
        <f t="shared" si="3"/>
        <v>1.9025652778167881E-2</v>
      </c>
      <c r="E24" s="17">
        <f t="shared" si="2"/>
        <v>2.092821805598467E-2</v>
      </c>
      <c r="F24" s="2">
        <v>0.27450000000000002</v>
      </c>
      <c r="G24" s="2" t="str">
        <f t="shared" si="0"/>
        <v>Fail</v>
      </c>
      <c r="Y24" s="2">
        <v>9</v>
      </c>
      <c r="Z24" s="2">
        <v>0.27789999999999998</v>
      </c>
      <c r="AA24" s="2">
        <v>0.28050000000000003</v>
      </c>
      <c r="AB24" s="2">
        <v>0.29239999999999999</v>
      </c>
    </row>
    <row r="25" spans="2:28" x14ac:dyDescent="0.4">
      <c r="B25" s="11">
        <v>8</v>
      </c>
      <c r="C25" s="16">
        <f t="shared" si="1"/>
        <v>2.396409142457083E-2</v>
      </c>
      <c r="D25" s="17">
        <f t="shared" si="3"/>
        <v>2.6626768249523144E-2</v>
      </c>
      <c r="E25" s="17">
        <f t="shared" si="2"/>
        <v>2.9289445074475458E-2</v>
      </c>
      <c r="F25" s="2">
        <v>0.27400000000000002</v>
      </c>
      <c r="G25" s="2" t="str">
        <f t="shared" si="0"/>
        <v>Fail</v>
      </c>
      <c r="Y25" s="2">
        <v>10</v>
      </c>
      <c r="Z25" s="2">
        <v>0.27739999999999998</v>
      </c>
      <c r="AA25" s="2">
        <v>0.28089999999999998</v>
      </c>
      <c r="AB25" s="2">
        <v>0.29289999999999999</v>
      </c>
    </row>
    <row r="26" spans="2:28" x14ac:dyDescent="0.4">
      <c r="B26" s="11">
        <v>9</v>
      </c>
      <c r="C26" s="16">
        <f t="shared" si="1"/>
        <v>3.2270812593730658E-2</v>
      </c>
      <c r="D26" s="17">
        <f t="shared" si="3"/>
        <v>3.5856458437478513E-2</v>
      </c>
      <c r="E26" s="17">
        <f t="shared" si="2"/>
        <v>3.9442104281226367E-2</v>
      </c>
      <c r="F26" s="2">
        <v>0.29239999999999999</v>
      </c>
      <c r="G26" s="2" t="str">
        <f t="shared" si="0"/>
        <v>Fail</v>
      </c>
      <c r="Y26" s="2">
        <v>11</v>
      </c>
      <c r="Z26" s="2">
        <v>0.28179999999999999</v>
      </c>
      <c r="AA26" s="2">
        <v>0.2883</v>
      </c>
      <c r="AB26" s="2">
        <v>0.30570000000000003</v>
      </c>
    </row>
    <row r="27" spans="2:28" x14ac:dyDescent="0.4">
      <c r="B27" s="11">
        <v>10</v>
      </c>
      <c r="C27" s="16">
        <f t="shared" si="1"/>
        <v>4.2147546216456284E-2</v>
      </c>
      <c r="D27" s="17">
        <f t="shared" si="3"/>
        <v>4.6830606907173652E-2</v>
      </c>
      <c r="E27" s="17">
        <f t="shared" si="2"/>
        <v>5.1513667597891021E-2</v>
      </c>
      <c r="F27" s="2">
        <v>0.29289999999999999</v>
      </c>
      <c r="G27" s="2" t="str">
        <f t="shared" si="0"/>
        <v>Fail</v>
      </c>
      <c r="Y27" s="2">
        <v>12</v>
      </c>
      <c r="Z27" s="2">
        <v>0.27629999999999999</v>
      </c>
      <c r="AA27" s="2">
        <v>0.28060000000000002</v>
      </c>
      <c r="AB27" s="2">
        <v>0.30599999999999999</v>
      </c>
    </row>
    <row r="28" spans="2:28" x14ac:dyDescent="0.4">
      <c r="B28" s="11">
        <v>11</v>
      </c>
      <c r="C28" s="16">
        <f t="shared" si="1"/>
        <v>5.3694149461925862E-2</v>
      </c>
      <c r="D28" s="17">
        <f t="shared" si="3"/>
        <v>5.9660166068806517E-2</v>
      </c>
      <c r="E28" s="17">
        <f t="shared" si="2"/>
        <v>6.5626182675687164E-2</v>
      </c>
      <c r="F28" s="2">
        <v>0.30570000000000003</v>
      </c>
      <c r="G28" s="2" t="str">
        <f t="shared" si="0"/>
        <v>Fail</v>
      </c>
      <c r="Y28" s="2">
        <v>13</v>
      </c>
      <c r="Z28" s="2">
        <v>0.28489999999999999</v>
      </c>
      <c r="AA28" s="2">
        <v>0.29320000000000002</v>
      </c>
      <c r="AB28" s="2">
        <v>0.3342</v>
      </c>
    </row>
    <row r="29" spans="2:28" x14ac:dyDescent="0.4">
      <c r="B29" s="11">
        <v>12</v>
      </c>
      <c r="C29" s="16">
        <f t="shared" si="1"/>
        <v>6.7006640553596966E-2</v>
      </c>
      <c r="D29" s="17">
        <f t="shared" si="3"/>
        <v>7.4451822837329956E-2</v>
      </c>
      <c r="E29" s="17">
        <f t="shared" si="2"/>
        <v>8.1897005121062946E-2</v>
      </c>
      <c r="F29" s="2">
        <v>0.30599999999999999</v>
      </c>
      <c r="G29" s="2" t="str">
        <f t="shared" si="0"/>
        <v>Fail</v>
      </c>
      <c r="Y29" s="2">
        <v>14</v>
      </c>
      <c r="Z29" s="2">
        <v>0.29010000000000002</v>
      </c>
      <c r="AA29" s="2">
        <v>0.29249999999999998</v>
      </c>
      <c r="AB29" s="2">
        <v>0.3448</v>
      </c>
    </row>
    <row r="30" spans="2:28" x14ac:dyDescent="0.4">
      <c r="B30" s="11">
        <v>13</v>
      </c>
      <c r="C30" s="16">
        <f t="shared" si="1"/>
        <v>8.2177671121723223E-2</v>
      </c>
      <c r="D30" s="17">
        <f t="shared" si="3"/>
        <v>9.1308523468581357E-2</v>
      </c>
      <c r="E30" s="17">
        <f t="shared" si="2"/>
        <v>0.10043937581543949</v>
      </c>
      <c r="F30" s="2">
        <v>0.3342</v>
      </c>
      <c r="G30" s="2" t="str">
        <f t="shared" si="0"/>
        <v>Fail</v>
      </c>
      <c r="Y30" s="2">
        <v>15</v>
      </c>
      <c r="Z30" s="2">
        <v>0.28739999999999999</v>
      </c>
      <c r="AA30" s="2">
        <v>0.29630000000000001</v>
      </c>
      <c r="AB30" s="2">
        <v>0.37580000000000002</v>
      </c>
    </row>
    <row r="31" spans="2:28" x14ac:dyDescent="0.4">
      <c r="B31" s="11">
        <v>14</v>
      </c>
      <c r="C31" s="16">
        <f t="shared" si="1"/>
        <v>9.9296906791400963E-2</v>
      </c>
      <c r="D31" s="17">
        <f t="shared" si="3"/>
        <v>0.11032989643488995</v>
      </c>
      <c r="E31" s="17">
        <f t="shared" si="2"/>
        <v>0.12136288607837895</v>
      </c>
      <c r="F31" s="2">
        <v>0.3448</v>
      </c>
      <c r="G31" s="2" t="str">
        <f t="shared" si="0"/>
        <v>Fail</v>
      </c>
      <c r="Y31" s="2">
        <v>16</v>
      </c>
      <c r="Z31" s="2">
        <v>0.29389999999999999</v>
      </c>
      <c r="AA31" s="2">
        <v>0.29549999999999998</v>
      </c>
      <c r="AB31" s="2">
        <v>0.38600000000000001</v>
      </c>
    </row>
    <row r="32" spans="2:28" x14ac:dyDescent="0.4">
      <c r="B32" s="11">
        <v>15</v>
      </c>
      <c r="C32" s="16">
        <f t="shared" si="1"/>
        <v>0.11845133940958411</v>
      </c>
      <c r="D32" s="17">
        <f t="shared" si="3"/>
        <v>0.13161259934398234</v>
      </c>
      <c r="E32" s="17">
        <f t="shared" si="2"/>
        <v>0.14477385927838057</v>
      </c>
      <c r="F32" s="2">
        <v>0.37580000000000002</v>
      </c>
      <c r="G32" s="2" t="str">
        <f t="shared" si="0"/>
        <v>Fail</v>
      </c>
      <c r="Y32" s="2">
        <v>17</v>
      </c>
      <c r="Z32" s="2">
        <v>0.2883</v>
      </c>
      <c r="AA32" s="2">
        <v>0.2994</v>
      </c>
      <c r="AB32" s="2">
        <v>0.40610000000000002</v>
      </c>
    </row>
    <row r="33" spans="2:28" x14ac:dyDescent="0.4">
      <c r="B33" s="11">
        <v>16</v>
      </c>
      <c r="C33" s="16">
        <f t="shared" si="1"/>
        <v>0.13972554711867938</v>
      </c>
      <c r="D33" s="17">
        <f t="shared" si="3"/>
        <v>0.15525060790964376</v>
      </c>
      <c r="E33" s="17">
        <f t="shared" si="2"/>
        <v>0.17077566870060815</v>
      </c>
      <c r="F33" s="2">
        <v>0.38600000000000001</v>
      </c>
      <c r="G33" s="2" t="str">
        <f t="shared" si="0"/>
        <v>Fail</v>
      </c>
      <c r="Y33" s="2">
        <v>18</v>
      </c>
      <c r="Z33" s="2">
        <v>0.29480000000000001</v>
      </c>
      <c r="AA33" s="2">
        <v>0.29859999999999998</v>
      </c>
      <c r="AB33" s="2">
        <v>0.41749999999999998</v>
      </c>
    </row>
    <row r="34" spans="2:28" x14ac:dyDescent="0.4">
      <c r="B34" s="11">
        <v>17</v>
      </c>
      <c r="C34" s="16">
        <f t="shared" si="1"/>
        <v>0.16320191382972604</v>
      </c>
      <c r="D34" s="17">
        <f t="shared" si="3"/>
        <v>0.1813354598108067</v>
      </c>
      <c r="E34" s="17">
        <f t="shared" si="2"/>
        <v>0.19946900579188737</v>
      </c>
      <c r="F34" s="2">
        <v>0.40610000000000002</v>
      </c>
      <c r="G34" s="2" t="str">
        <f t="shared" si="0"/>
        <v>Fail</v>
      </c>
      <c r="Y34" s="2">
        <v>19</v>
      </c>
      <c r="Z34" s="2">
        <v>0.29959999999999998</v>
      </c>
      <c r="AA34" s="2">
        <v>0.30120000000000002</v>
      </c>
      <c r="AB34" s="2">
        <v>0.45639999999999997</v>
      </c>
    </row>
    <row r="35" spans="2:28" x14ac:dyDescent="0.4">
      <c r="B35" s="11">
        <v>18</v>
      </c>
      <c r="C35" s="16">
        <f t="shared" si="1"/>
        <v>0.18896081653532967</v>
      </c>
      <c r="D35" s="17">
        <f t="shared" si="3"/>
        <v>0.20995646281703298</v>
      </c>
      <c r="E35" s="17">
        <f t="shared" si="2"/>
        <v>0.23095210909873629</v>
      </c>
      <c r="F35" s="2">
        <v>0.41749999999999998</v>
      </c>
      <c r="G35" s="2" t="str">
        <f t="shared" si="0"/>
        <v>Fail</v>
      </c>
      <c r="Y35" s="2">
        <v>20</v>
      </c>
      <c r="Z35" s="2">
        <v>0.29959999999999998</v>
      </c>
      <c r="AA35" s="2">
        <v>0.31859999999999999</v>
      </c>
      <c r="AB35" s="2">
        <v>0.5071</v>
      </c>
    </row>
    <row r="36" spans="2:28" x14ac:dyDescent="0.4">
      <c r="B36" s="11">
        <v>19</v>
      </c>
      <c r="C36" s="16">
        <f t="shared" si="1"/>
        <v>0.21708078676058293</v>
      </c>
      <c r="D36" s="17">
        <f t="shared" si="3"/>
        <v>0.24120087417842548</v>
      </c>
      <c r="E36" s="17">
        <f t="shared" si="2"/>
        <v>0.26532096159626806</v>
      </c>
      <c r="F36" s="2">
        <v>0.45639999999999997</v>
      </c>
      <c r="G36" s="2" t="str">
        <f t="shared" si="0"/>
        <v>Fail</v>
      </c>
      <c r="Y36" s="2">
        <v>21</v>
      </c>
      <c r="Z36" s="2">
        <v>0.30969999999999998</v>
      </c>
      <c r="AA36" s="2">
        <v>0.31819999999999998</v>
      </c>
      <c r="AB36" s="2">
        <v>0.52869999999999995</v>
      </c>
    </row>
    <row r="37" spans="2:28" x14ac:dyDescent="0.4">
      <c r="B37" s="11">
        <v>20</v>
      </c>
      <c r="C37" s="16">
        <f t="shared" si="1"/>
        <v>0.24763865093958576</v>
      </c>
      <c r="D37" s="17">
        <f t="shared" si="3"/>
        <v>0.27515405659953973</v>
      </c>
      <c r="E37" s="17">
        <f t="shared" si="2"/>
        <v>0.3026694622594937</v>
      </c>
      <c r="F37" s="2">
        <v>0.5071</v>
      </c>
      <c r="G37" s="2" t="str">
        <f t="shared" si="0"/>
        <v>Fail</v>
      </c>
      <c r="Y37" s="2">
        <v>22</v>
      </c>
      <c r="Z37" s="2">
        <v>0.313</v>
      </c>
      <c r="AA37" s="2">
        <v>0.32419999999999999</v>
      </c>
      <c r="AB37" s="2">
        <v>0.58560000000000001</v>
      </c>
    </row>
    <row r="38" spans="2:28" x14ac:dyDescent="0.4">
      <c r="B38" s="11">
        <v>21</v>
      </c>
      <c r="C38" s="16">
        <f t="shared" si="1"/>
        <v>0.28070965341656667</v>
      </c>
      <c r="D38" s="17">
        <f t="shared" si="3"/>
        <v>0.31189961490729629</v>
      </c>
      <c r="E38" s="17">
        <f t="shared" si="2"/>
        <v>0.3430895763980259</v>
      </c>
      <c r="F38" s="2">
        <v>0.52869999999999995</v>
      </c>
      <c r="G38" s="2" t="str">
        <f t="shared" si="0"/>
        <v>Fail</v>
      </c>
      <c r="Y38" s="2">
        <v>23</v>
      </c>
      <c r="Z38" s="2">
        <v>0.31330000000000002</v>
      </c>
      <c r="AA38" s="2">
        <v>0.32329999999999998</v>
      </c>
      <c r="AB38" s="2">
        <v>0.5847</v>
      </c>
    </row>
    <row r="39" spans="2:28" x14ac:dyDescent="0.4">
      <c r="B39" s="11">
        <v>22</v>
      </c>
      <c r="C39" s="16">
        <f t="shared" si="1"/>
        <v>0.31636756497105867</v>
      </c>
      <c r="D39" s="17">
        <f t="shared" si="3"/>
        <v>0.35151951663450964</v>
      </c>
      <c r="E39" s="17">
        <f t="shared" si="2"/>
        <v>0.38667146829796062</v>
      </c>
      <c r="F39" s="2">
        <v>0.58560000000000001</v>
      </c>
      <c r="G39" s="2" t="str">
        <f t="shared" si="0"/>
        <v>Fail</v>
      </c>
      <c r="Y39" s="2">
        <v>24</v>
      </c>
      <c r="Z39" s="2">
        <v>0.312</v>
      </c>
      <c r="AA39" s="2">
        <v>0.32500000000000001</v>
      </c>
      <c r="AB39" s="2">
        <v>0.64470000000000005</v>
      </c>
    </row>
    <row r="40" spans="2:28" x14ac:dyDescent="0.4">
      <c r="B40" s="11">
        <v>23</v>
      </c>
      <c r="C40" s="16">
        <f t="shared" si="1"/>
        <v>0.35468477916935226</v>
      </c>
      <c r="D40" s="17">
        <f t="shared" si="3"/>
        <v>0.39409419907705806</v>
      </c>
      <c r="E40" s="17">
        <f t="shared" si="2"/>
        <v>0.43350361898476386</v>
      </c>
      <c r="F40" s="2">
        <v>0.5847</v>
      </c>
      <c r="G40" s="2" t="str">
        <f t="shared" si="0"/>
        <v>Fail</v>
      </c>
      <c r="Y40" s="2">
        <v>25</v>
      </c>
      <c r="Z40" s="2">
        <v>0.31540000000000001</v>
      </c>
      <c r="AA40" s="2">
        <v>0.32500000000000001</v>
      </c>
      <c r="AB40" s="2">
        <v>0.72829999999999995</v>
      </c>
    </row>
    <row r="41" spans="2:28" x14ac:dyDescent="0.4">
      <c r="B41" s="11">
        <v>24</v>
      </c>
      <c r="C41" s="16">
        <f t="shared" si="1"/>
        <v>0.39573239839151975</v>
      </c>
      <c r="D41" s="17">
        <f t="shared" si="3"/>
        <v>0.43970266487946641</v>
      </c>
      <c r="E41" s="17">
        <f t="shared" si="2"/>
        <v>0.48367293136741307</v>
      </c>
      <c r="F41" s="2">
        <v>0.64470000000000005</v>
      </c>
      <c r="G41" s="2" t="str">
        <f t="shared" si="0"/>
        <v>Fail</v>
      </c>
      <c r="Y41" s="2">
        <v>26</v>
      </c>
      <c r="Z41" s="2">
        <v>0.31469999999999998</v>
      </c>
      <c r="AA41" s="2">
        <v>0.32479999999999998</v>
      </c>
      <c r="AB41" s="2">
        <v>0.72760000000000002</v>
      </c>
    </row>
    <row r="42" spans="2:28" x14ac:dyDescent="0.4">
      <c r="B42" s="11">
        <v>25</v>
      </c>
      <c r="C42" s="16">
        <f t="shared" si="1"/>
        <v>0.43958031103510609</v>
      </c>
      <c r="D42" s="17">
        <f t="shared" si="3"/>
        <v>0.48842256781678456</v>
      </c>
      <c r="E42" s="17">
        <f t="shared" si="2"/>
        <v>0.53726482459846303</v>
      </c>
      <c r="F42" s="2">
        <v>0.72829999999999995</v>
      </c>
      <c r="G42" s="2" t="str">
        <f t="shared" si="0"/>
        <v>Fail</v>
      </c>
      <c r="Y42" s="2">
        <v>27</v>
      </c>
      <c r="Z42" s="2">
        <v>0.31640000000000001</v>
      </c>
      <c r="AA42" s="2">
        <v>0.32800000000000001</v>
      </c>
      <c r="AB42" s="2">
        <v>0.80620000000000003</v>
      </c>
    </row>
    <row r="43" spans="2:28" x14ac:dyDescent="0.4">
      <c r="B43" s="11">
        <v>26</v>
      </c>
      <c r="C43" s="16">
        <f t="shared" si="1"/>
        <v>0.48629726112559812</v>
      </c>
      <c r="D43" s="17">
        <f t="shared" si="3"/>
        <v>0.54033029013955347</v>
      </c>
      <c r="E43" s="17">
        <f t="shared" si="2"/>
        <v>0.59436331915350882</v>
      </c>
      <c r="F43" s="2">
        <v>0.72760000000000002</v>
      </c>
      <c r="G43" s="2" t="str">
        <f t="shared" si="0"/>
        <v>Fail</v>
      </c>
      <c r="Y43" s="2">
        <v>28</v>
      </c>
      <c r="Z43" s="2">
        <v>0.3231</v>
      </c>
      <c r="AA43" s="2">
        <v>0.34289999999999998</v>
      </c>
      <c r="AB43" s="2">
        <v>0.91669999999999996</v>
      </c>
    </row>
    <row r="44" spans="2:28" x14ac:dyDescent="0.4">
      <c r="B44" s="11">
        <v>27</v>
      </c>
      <c r="C44" s="16">
        <f t="shared" si="1"/>
        <v>0.53595091135048856</v>
      </c>
      <c r="D44" s="17">
        <f t="shared" si="3"/>
        <v>0.59550101261165389</v>
      </c>
      <c r="E44" s="17">
        <f t="shared" si="2"/>
        <v>0.65505111387281922</v>
      </c>
      <c r="F44" s="2">
        <v>0.80620000000000003</v>
      </c>
      <c r="G44" s="2" t="str">
        <f t="shared" si="0"/>
        <v>Fail</v>
      </c>
      <c r="Y44" s="2">
        <v>29</v>
      </c>
      <c r="Z44" s="2">
        <v>0.32469999999999999</v>
      </c>
      <c r="AA44" s="2">
        <v>0.3281</v>
      </c>
      <c r="AB44" s="2">
        <v>0.94179999999999997</v>
      </c>
    </row>
    <row r="45" spans="2:28" x14ac:dyDescent="0.4">
      <c r="B45" s="11">
        <v>28</v>
      </c>
      <c r="C45" s="16">
        <f t="shared" si="1"/>
        <v>0.58860790036413202</v>
      </c>
      <c r="D45" s="17">
        <f t="shared" si="3"/>
        <v>0.65400877818236891</v>
      </c>
      <c r="E45" s="17">
        <f t="shared" si="2"/>
        <v>0.7194096560006058</v>
      </c>
      <c r="F45" s="2">
        <v>0.91669999999999996</v>
      </c>
      <c r="G45" s="2" t="str">
        <f t="shared" si="0"/>
        <v>Fail</v>
      </c>
      <c r="Y45" s="2">
        <v>30</v>
      </c>
      <c r="Z45" s="2">
        <v>0.31819999999999998</v>
      </c>
      <c r="AA45" s="2">
        <v>0.33090000000000003</v>
      </c>
      <c r="AB45" s="2">
        <v>0.99980000000000002</v>
      </c>
    </row>
    <row r="46" spans="2:28" x14ac:dyDescent="0.4">
      <c r="B46" s="11">
        <v>29</v>
      </c>
      <c r="C46" s="16">
        <f t="shared" si="1"/>
        <v>0.64433389507447503</v>
      </c>
      <c r="D46" s="17">
        <f t="shared" si="3"/>
        <v>0.71592655008275008</v>
      </c>
      <c r="E46" s="17">
        <f t="shared" si="2"/>
        <v>0.78751920509102513</v>
      </c>
      <c r="F46" s="2">
        <v>0.94179999999999997</v>
      </c>
      <c r="G46" s="2" t="str">
        <f t="shared" si="0"/>
        <v>Fail</v>
      </c>
      <c r="Y46" s="2">
        <v>31</v>
      </c>
      <c r="Z46" s="2">
        <v>0.3231</v>
      </c>
      <c r="AA46" s="2">
        <v>0.34420000000000001</v>
      </c>
      <c r="AB46" s="2">
        <v>1.0848</v>
      </c>
    </row>
    <row r="47" spans="2:28" x14ac:dyDescent="0.4">
      <c r="B47" s="11">
        <v>30</v>
      </c>
      <c r="C47" s="16">
        <f t="shared" si="1"/>
        <v>0.70319363851248484</v>
      </c>
      <c r="D47" s="17">
        <f t="shared" si="3"/>
        <v>0.78132626501387203</v>
      </c>
      <c r="E47" s="17">
        <f t="shared" si="2"/>
        <v>0.85945889151525923</v>
      </c>
      <c r="F47" s="2">
        <v>0.99980000000000002</v>
      </c>
      <c r="G47" s="2" t="str">
        <f t="shared" si="0"/>
        <v>Fail</v>
      </c>
      <c r="Y47" s="2">
        <v>32</v>
      </c>
      <c r="Z47" s="2">
        <v>0.32290000000000002</v>
      </c>
      <c r="AA47" s="2">
        <v>0.32829999999999998</v>
      </c>
      <c r="AB47" s="2">
        <v>1.1099000000000001</v>
      </c>
    </row>
    <row r="48" spans="2:28" x14ac:dyDescent="0.4">
      <c r="B48" s="11">
        <v>31</v>
      </c>
      <c r="C48" s="16">
        <f t="shared" si="1"/>
        <v>0.76525099379516082</v>
      </c>
      <c r="D48" s="17">
        <f t="shared" si="3"/>
        <v>0.85027888199462309</v>
      </c>
      <c r="E48" s="17">
        <f t="shared" si="2"/>
        <v>0.93530677019408537</v>
      </c>
      <c r="F48" s="2">
        <v>1.0848</v>
      </c>
      <c r="G48" s="2" t="str">
        <f t="shared" si="0"/>
        <v>Fail</v>
      </c>
      <c r="Y48" s="2">
        <v>33</v>
      </c>
      <c r="Z48" s="2">
        <v>0.32540000000000002</v>
      </c>
      <c r="AA48" s="2">
        <v>0.33950000000000002</v>
      </c>
      <c r="AB48" s="2">
        <v>1.2202999999999999</v>
      </c>
    </row>
    <row r="49" spans="2:28" x14ac:dyDescent="0.4">
      <c r="B49" s="11">
        <v>32</v>
      </c>
      <c r="C49" s="16">
        <f t="shared" si="1"/>
        <v>0.8305689846190375</v>
      </c>
      <c r="D49" s="17">
        <f t="shared" si="3"/>
        <v>0.92285442735448608</v>
      </c>
      <c r="E49" s="17">
        <f t="shared" si="2"/>
        <v>1.0151398700899348</v>
      </c>
      <c r="F49" s="2">
        <v>1.1099000000000001</v>
      </c>
      <c r="G49" s="2" t="str">
        <f t="shared" si="0"/>
        <v>Fail</v>
      </c>
      <c r="Y49" s="2">
        <v>34</v>
      </c>
      <c r="Z49" s="2">
        <v>0.32640000000000002</v>
      </c>
      <c r="AA49" s="2">
        <v>0.33750000000000002</v>
      </c>
      <c r="AB49" s="2">
        <v>1.2975000000000001</v>
      </c>
    </row>
    <row r="50" spans="2:28" x14ac:dyDescent="0.4">
      <c r="B50" s="11">
        <v>33</v>
      </c>
      <c r="C50" s="16">
        <f t="shared" si="1"/>
        <v>0.89920983265982835</v>
      </c>
      <c r="D50" s="17">
        <f t="shared" si="3"/>
        <v>0.99912203628869811</v>
      </c>
      <c r="E50" s="17">
        <f t="shared" si="2"/>
        <v>1.0990342399175679</v>
      </c>
      <c r="F50" s="2">
        <v>1.2202999999999999</v>
      </c>
      <c r="G50" s="2" t="str">
        <f t="shared" si="0"/>
        <v>Fail</v>
      </c>
      <c r="Y50" s="2">
        <v>35</v>
      </c>
      <c r="Z50" s="2">
        <v>0.32119999999999999</v>
      </c>
      <c r="AA50" s="2">
        <v>0.33850000000000002</v>
      </c>
      <c r="AB50" s="2">
        <v>1.3813</v>
      </c>
    </row>
    <row r="51" spans="2:28" x14ac:dyDescent="0.4">
      <c r="B51" s="11">
        <v>34</v>
      </c>
      <c r="C51" s="16">
        <f t="shared" si="1"/>
        <v>0.97123499220285336</v>
      </c>
      <c r="D51" s="17">
        <f t="shared" si="3"/>
        <v>1.0791499913365037</v>
      </c>
      <c r="E51" s="17">
        <f t="shared" si="2"/>
        <v>1.187064990470154</v>
      </c>
      <c r="F51" s="2">
        <v>1.2975000000000001</v>
      </c>
      <c r="G51" s="2" t="str">
        <f t="shared" si="0"/>
        <v>Fail</v>
      </c>
      <c r="Y51" s="2">
        <v>36</v>
      </c>
      <c r="Z51" s="2">
        <v>0.3196</v>
      </c>
      <c r="AA51" s="2">
        <v>0.33900000000000002</v>
      </c>
      <c r="AB51" s="2">
        <v>1.4641</v>
      </c>
    </row>
    <row r="52" spans="2:28" x14ac:dyDescent="0.4">
      <c r="B52" s="11">
        <v>35</v>
      </c>
      <c r="C52" s="16">
        <f t="shared" si="1"/>
        <v>1.0467051822861226</v>
      </c>
      <c r="D52" s="17">
        <f t="shared" si="3"/>
        <v>1.1630057580956918</v>
      </c>
      <c r="E52" s="17">
        <f t="shared" si="2"/>
        <v>1.2793063339052611</v>
      </c>
      <c r="F52" s="2">
        <v>1.3813</v>
      </c>
      <c r="G52" s="2" t="str">
        <f t="shared" si="0"/>
        <v>Fail</v>
      </c>
      <c r="Y52" s="2">
        <v>37</v>
      </c>
      <c r="Z52" s="2">
        <v>0.3231</v>
      </c>
      <c r="AA52" s="2">
        <v>0.33650000000000002</v>
      </c>
      <c r="AB52" s="2">
        <v>1.4957</v>
      </c>
    </row>
    <row r="53" spans="2:28" x14ac:dyDescent="0.4">
      <c r="B53" s="11">
        <v>36</v>
      </c>
      <c r="C53" s="16">
        <f t="shared" si="1"/>
        <v>1.1256804166018461</v>
      </c>
      <c r="D53" s="17">
        <f t="shared" si="3"/>
        <v>1.2507560184464956</v>
      </c>
      <c r="E53" s="17">
        <f t="shared" si="2"/>
        <v>1.3758316202911451</v>
      </c>
      <c r="F53" s="2">
        <v>1.4641</v>
      </c>
      <c r="G53" s="2" t="str">
        <f t="shared" si="0"/>
        <v>Fail</v>
      </c>
      <c r="Y53" s="2">
        <v>38</v>
      </c>
      <c r="Z53" s="2">
        <v>0.32379999999999998</v>
      </c>
      <c r="AA53" s="2">
        <v>0.33650000000000002</v>
      </c>
      <c r="AB53" s="2">
        <v>1.5810999999999999</v>
      </c>
    </row>
    <row r="54" spans="2:28" x14ac:dyDescent="0.4">
      <c r="B54" s="11">
        <v>37</v>
      </c>
      <c r="C54" s="16">
        <f t="shared" si="1"/>
        <v>1.2082200313716676</v>
      </c>
      <c r="D54" s="17">
        <f t="shared" si="3"/>
        <v>1.342466701524075</v>
      </c>
      <c r="E54" s="17">
        <f t="shared" si="2"/>
        <v>1.4767133716764824</v>
      </c>
      <c r="F54" s="2">
        <v>1.4957</v>
      </c>
      <c r="G54" s="2" t="str">
        <f t="shared" si="0"/>
        <v>Fail</v>
      </c>
      <c r="Y54" s="2">
        <v>39</v>
      </c>
      <c r="Z54" s="2">
        <v>0.32429999999999998</v>
      </c>
      <c r="AA54" s="2">
        <v>0.33679999999999999</v>
      </c>
      <c r="AB54" s="2">
        <v>1.6929000000000001</v>
      </c>
    </row>
    <row r="55" spans="2:28" x14ac:dyDescent="0.4">
      <c r="B55" s="11">
        <v>38</v>
      </c>
      <c r="C55" s="16">
        <f t="shared" si="1"/>
        <v>1.2943827113848061</v>
      </c>
      <c r="D55" s="17">
        <f t="shared" si="3"/>
        <v>1.4382030126497845</v>
      </c>
      <c r="E55" s="17">
        <f t="shared" si="2"/>
        <v>1.5820233139147628</v>
      </c>
      <c r="F55" s="2">
        <v>1.5810999999999999</v>
      </c>
      <c r="G55" s="2" t="str">
        <f t="shared" si="0"/>
        <v>Pass</v>
      </c>
      <c r="Y55" s="2">
        <v>40</v>
      </c>
      <c r="Z55" s="2">
        <v>0.32829999999999998</v>
      </c>
      <c r="AA55" s="2">
        <v>0.34339999999999998</v>
      </c>
      <c r="AB55" s="2">
        <v>1.7907999999999999</v>
      </c>
    </row>
    <row r="56" spans="2:28" x14ac:dyDescent="0.4">
      <c r="B56" s="11">
        <v>39</v>
      </c>
      <c r="C56" s="16">
        <f t="shared" si="1"/>
        <v>1.3842265143660992</v>
      </c>
      <c r="D56" s="17">
        <f t="shared" si="3"/>
        <v>1.538029460406777</v>
      </c>
      <c r="E56" s="17">
        <f t="shared" si="2"/>
        <v>1.6918324064474548</v>
      </c>
      <c r="F56" s="2">
        <v>1.6929000000000001</v>
      </c>
      <c r="G56" s="2" t="str">
        <f t="shared" si="0"/>
        <v>Fail</v>
      </c>
      <c r="Y56" s="2">
        <v>41</v>
      </c>
      <c r="Z56" s="2">
        <v>0.32750000000000001</v>
      </c>
      <c r="AA56" s="2">
        <v>0.34260000000000002</v>
      </c>
      <c r="AB56" s="2">
        <v>1.8808</v>
      </c>
    </row>
    <row r="57" spans="2:28" x14ac:dyDescent="0.4">
      <c r="B57" s="11">
        <v>40</v>
      </c>
      <c r="C57" s="16">
        <f t="shared" si="1"/>
        <v>1.4778088938217757</v>
      </c>
      <c r="D57" s="17">
        <f t="shared" si="3"/>
        <v>1.6420098820241953</v>
      </c>
      <c r="E57" s="17">
        <f t="shared" si="2"/>
        <v>1.8062108702266149</v>
      </c>
      <c r="F57" s="2">
        <v>1.7907999999999999</v>
      </c>
      <c r="G57" s="2" t="str">
        <f t="shared" si="0"/>
        <v>Pass</v>
      </c>
      <c r="Y57" s="2">
        <v>42</v>
      </c>
      <c r="Z57" s="2">
        <v>0.32369999999999999</v>
      </c>
      <c r="AA57" s="2">
        <v>0.34610000000000002</v>
      </c>
      <c r="AB57" s="2">
        <v>1.9912000000000001</v>
      </c>
    </row>
    <row r="58" spans="2:28" x14ac:dyDescent="0.4">
      <c r="B58" s="11">
        <v>41</v>
      </c>
      <c r="C58" s="16">
        <f t="shared" si="1"/>
        <v>1.5751867204942851</v>
      </c>
      <c r="D58" s="17">
        <f t="shared" si="3"/>
        <v>1.7502074672158723</v>
      </c>
      <c r="E58" s="17">
        <f t="shared" si="2"/>
        <v>1.9252282139374595</v>
      </c>
      <c r="F58" s="2">
        <v>1.8808</v>
      </c>
      <c r="G58" s="2" t="str">
        <f t="shared" si="0"/>
        <v>Pass</v>
      </c>
      <c r="Y58" s="2">
        <v>43</v>
      </c>
      <c r="Z58" s="2">
        <v>0.32550000000000001</v>
      </c>
      <c r="AA58" s="2">
        <v>0.33789999999999998</v>
      </c>
      <c r="AB58" s="2">
        <v>2.1434000000000002</v>
      </c>
    </row>
    <row r="59" spans="2:28" x14ac:dyDescent="0.4">
      <c r="B59" s="11">
        <v>42</v>
      </c>
      <c r="C59" s="16">
        <f t="shared" si="1"/>
        <v>1.6764163025432086</v>
      </c>
      <c r="D59" s="17">
        <f t="shared" si="3"/>
        <v>1.8626847806035651</v>
      </c>
      <c r="E59" s="17">
        <f t="shared" si="2"/>
        <v>2.0489532586639214</v>
      </c>
      <c r="F59" s="2">
        <v>1.9912000000000001</v>
      </c>
      <c r="G59" s="2" t="str">
        <f t="shared" si="0"/>
        <v>Pass</v>
      </c>
      <c r="Y59" s="2">
        <v>44</v>
      </c>
      <c r="Z59" s="2">
        <v>0.32479999999999998</v>
      </c>
      <c r="AA59" s="2">
        <v>0.33900000000000002</v>
      </c>
      <c r="AB59" s="2">
        <v>2.2924000000000002</v>
      </c>
    </row>
    <row r="60" spans="2:28" x14ac:dyDescent="0.4">
      <c r="B60" s="11">
        <v>43</v>
      </c>
      <c r="C60" s="16">
        <f t="shared" si="1"/>
        <v>1.7815534045568411</v>
      </c>
      <c r="D60" s="17">
        <f t="shared" si="3"/>
        <v>1.9795037828409345</v>
      </c>
      <c r="E60" s="17">
        <f t="shared" si="2"/>
        <v>2.177454161125028</v>
      </c>
      <c r="F60" s="2">
        <v>2.1434000000000002</v>
      </c>
      <c r="G60" s="2" t="str">
        <f t="shared" si="0"/>
        <v>Pass</v>
      </c>
      <c r="Y60" s="2">
        <v>45</v>
      </c>
      <c r="Z60" s="2">
        <v>0.3301</v>
      </c>
      <c r="AA60" s="2">
        <v>0.3453</v>
      </c>
      <c r="AB60" s="2">
        <v>2.4127999999999998</v>
      </c>
    </row>
    <row r="61" spans="2:28" x14ac:dyDescent="0.4">
      <c r="B61" s="11">
        <v>44</v>
      </c>
      <c r="C61" s="16">
        <f t="shared" si="1"/>
        <v>1.8906532654881893</v>
      </c>
      <c r="D61" s="17">
        <f t="shared" si="3"/>
        <v>2.1007258505424327</v>
      </c>
      <c r="E61" s="17">
        <f t="shared" si="2"/>
        <v>2.3107984355966757</v>
      </c>
      <c r="F61" s="2">
        <v>2.2924000000000002</v>
      </c>
      <c r="G61" s="2" t="str">
        <f t="shared" si="0"/>
        <v>Pass</v>
      </c>
      <c r="Y61" s="2">
        <v>46</v>
      </c>
      <c r="Z61" s="2">
        <v>0.3286</v>
      </c>
      <c r="AA61" s="2">
        <v>0.34589999999999999</v>
      </c>
      <c r="AB61" s="2">
        <v>2.5865999999999998</v>
      </c>
    </row>
    <row r="62" spans="2:28" x14ac:dyDescent="0.4">
      <c r="B62" s="11">
        <v>45</v>
      </c>
      <c r="C62" s="16">
        <f t="shared" si="1"/>
        <v>2.0037706155996045</v>
      </c>
      <c r="D62" s="17">
        <f t="shared" si="3"/>
        <v>2.2264117951106717</v>
      </c>
      <c r="E62" s="17">
        <f t="shared" si="2"/>
        <v>2.4490529746217389</v>
      </c>
      <c r="F62" s="2">
        <v>2.4127999999999998</v>
      </c>
      <c r="G62" s="2" t="str">
        <f t="shared" si="0"/>
        <v>Pass</v>
      </c>
      <c r="Y62" s="2">
        <v>47</v>
      </c>
      <c r="Z62" s="2">
        <v>0.32869999999999999</v>
      </c>
      <c r="AA62" s="2">
        <v>0.3453</v>
      </c>
      <c r="AB62" s="2">
        <v>2.7162000000000002</v>
      </c>
    </row>
    <row r="63" spans="2:28" x14ac:dyDescent="0.4">
      <c r="B63" s="11">
        <v>46</v>
      </c>
      <c r="C63" s="16">
        <f t="shared" si="1"/>
        <v>2.1209596924919532</v>
      </c>
      <c r="D63" s="17">
        <f t="shared" si="3"/>
        <v>2.3566218805466148</v>
      </c>
      <c r="E63" s="17">
        <f t="shared" si="2"/>
        <v>2.5922840686012765</v>
      </c>
      <c r="F63" s="2">
        <v>2.5865999999999998</v>
      </c>
      <c r="G63" s="2" t="str">
        <f t="shared" si="0"/>
        <v>Pass</v>
      </c>
      <c r="Y63" s="2">
        <v>48</v>
      </c>
      <c r="Z63" s="2">
        <v>0.3296</v>
      </c>
      <c r="AA63" s="2">
        <v>0.3448</v>
      </c>
      <c r="AB63" s="2">
        <v>2.8488000000000002</v>
      </c>
    </row>
    <row r="64" spans="2:28" x14ac:dyDescent="0.4">
      <c r="B64" s="11">
        <v>47</v>
      </c>
      <c r="C64" s="16">
        <f t="shared" si="1"/>
        <v>2.2422742562868558</v>
      </c>
      <c r="D64" s="17">
        <f t="shared" si="3"/>
        <v>2.4914158403187288</v>
      </c>
      <c r="E64" s="17">
        <f t="shared" si="2"/>
        <v>2.7405574243506017</v>
      </c>
      <c r="F64" s="2">
        <v>2.7162000000000002</v>
      </c>
      <c r="G64" s="2" t="str">
        <f t="shared" si="0"/>
        <v>Pass</v>
      </c>
      <c r="Y64" s="2">
        <v>49</v>
      </c>
      <c r="Z64" s="2">
        <v>0.33160000000000001</v>
      </c>
      <c r="AA64" s="2">
        <v>0.3402</v>
      </c>
      <c r="AB64" s="2">
        <v>2.9005000000000001</v>
      </c>
    </row>
    <row r="65" spans="2:28" x14ac:dyDescent="0.4">
      <c r="B65" s="11">
        <v>48</v>
      </c>
      <c r="C65" s="16">
        <f t="shared" si="1"/>
        <v>2.367767604024031</v>
      </c>
      <c r="D65" s="17">
        <f t="shared" si="3"/>
        <v>2.6308528933600344</v>
      </c>
      <c r="E65" s="17">
        <f t="shared" si="2"/>
        <v>2.8939381826960378</v>
      </c>
      <c r="F65" s="2">
        <v>2.8488000000000002</v>
      </c>
      <c r="G65" s="2" t="str">
        <f t="shared" si="0"/>
        <v>Pass</v>
      </c>
      <c r="Y65" s="2">
        <v>50</v>
      </c>
      <c r="Z65" s="2">
        <v>0.33129999999999998</v>
      </c>
      <c r="AA65" s="2">
        <v>0.34129999999999999</v>
      </c>
      <c r="AB65" s="2">
        <v>3.1080999999999999</v>
      </c>
    </row>
    <row r="66" spans="2:28" x14ac:dyDescent="0.4">
      <c r="B66" s="11">
        <v>49</v>
      </c>
      <c r="C66" s="16">
        <f t="shared" si="1"/>
        <v>2.4974925833300357</v>
      </c>
      <c r="D66" s="17">
        <f t="shared" si="3"/>
        <v>2.7749917592555953</v>
      </c>
      <c r="E66" s="17">
        <f t="shared" si="2"/>
        <v>3.0524909351811549</v>
      </c>
      <c r="F66" s="2">
        <v>2.9005000000000001</v>
      </c>
      <c r="G66" s="2" t="str">
        <f t="shared" si="0"/>
        <v>Pass</v>
      </c>
      <c r="Y66" s="2">
        <v>51</v>
      </c>
      <c r="Z66" s="2">
        <v>0.3327</v>
      </c>
      <c r="AA66" s="2">
        <v>0.3453</v>
      </c>
      <c r="AB66" s="2">
        <v>3.2581000000000002</v>
      </c>
    </row>
    <row r="67" spans="2:28" x14ac:dyDescent="0.4">
      <c r="B67" s="11">
        <v>50</v>
      </c>
      <c r="C67" s="16">
        <f t="shared" si="1"/>
        <v>2.6315016054095368</v>
      </c>
      <c r="D67" s="17">
        <f t="shared" si="3"/>
        <v>2.9238906726772633</v>
      </c>
      <c r="E67" s="17">
        <f t="shared" si="2"/>
        <v>3.2162797399449898</v>
      </c>
      <c r="F67" s="2">
        <v>3.1080999999999999</v>
      </c>
      <c r="G67" s="2" t="str">
        <f t="shared" si="0"/>
        <v>Pass</v>
      </c>
      <c r="Y67" s="2">
        <v>52</v>
      </c>
      <c r="Z67" s="2">
        <v>0.33229999999999998</v>
      </c>
      <c r="AA67" s="2">
        <v>0.34420000000000001</v>
      </c>
      <c r="AB67" s="2">
        <v>3.41</v>
      </c>
    </row>
    <row r="68" spans="2:28" x14ac:dyDescent="0.4">
      <c r="B68" s="11">
        <v>51</v>
      </c>
      <c r="C68" s="16">
        <f t="shared" si="1"/>
        <v>2.769846657405771</v>
      </c>
      <c r="D68" s="17">
        <f t="shared" si="3"/>
        <v>3.0776073971175233</v>
      </c>
      <c r="E68" s="17">
        <f t="shared" si="2"/>
        <v>3.3853681368292756</v>
      </c>
      <c r="F68" s="2">
        <v>3.2581000000000002</v>
      </c>
      <c r="G68" s="2" t="str">
        <f t="shared" si="0"/>
        <v>Pass</v>
      </c>
      <c r="Y68" s="2">
        <v>53</v>
      </c>
      <c r="Z68" s="2">
        <v>0.32879999999999998</v>
      </c>
      <c r="AA68" s="2">
        <v>0.34560000000000002</v>
      </c>
      <c r="AB68" s="2">
        <v>3.5695000000000001</v>
      </c>
    </row>
    <row r="69" spans="2:28" x14ac:dyDescent="0.4">
      <c r="B69" s="11">
        <v>52</v>
      </c>
      <c r="C69" s="16">
        <f t="shared" si="1"/>
        <v>2.9125793141726657</v>
      </c>
      <c r="D69" s="17">
        <f t="shared" si="3"/>
        <v>3.2361992379696285</v>
      </c>
      <c r="E69" s="17">
        <f t="shared" si="2"/>
        <v>3.5598191617665913</v>
      </c>
      <c r="F69" s="2">
        <v>3.41</v>
      </c>
      <c r="G69" s="2" t="str">
        <f t="shared" si="0"/>
        <v>Pass</v>
      </c>
      <c r="Y69" s="2">
        <v>54</v>
      </c>
      <c r="Z69" s="2">
        <v>0.32979999999999998</v>
      </c>
      <c r="AA69" s="2">
        <v>0.34549999999999997</v>
      </c>
      <c r="AB69" s="2">
        <v>3.7932999999999999</v>
      </c>
    </row>
    <row r="70" spans="2:28" x14ac:dyDescent="0.4">
      <c r="B70" s="11">
        <v>53</v>
      </c>
      <c r="C70" s="16">
        <f t="shared" si="1"/>
        <v>3.0597507494976188</v>
      </c>
      <c r="D70" s="17">
        <f t="shared" si="3"/>
        <v>3.3997230549973541</v>
      </c>
      <c r="E70" s="17">
        <f t="shared" si="2"/>
        <v>3.7396953604970893</v>
      </c>
      <c r="F70" s="2">
        <v>3.5695000000000001</v>
      </c>
      <c r="G70" s="2" t="str">
        <f t="shared" si="0"/>
        <v>Pass</v>
      </c>
      <c r="Y70" s="2">
        <v>55</v>
      </c>
      <c r="Z70" s="2">
        <v>0.32900000000000001</v>
      </c>
      <c r="AA70" s="2">
        <v>0.34499999999999997</v>
      </c>
      <c r="AB70" s="2">
        <v>3.9605000000000001</v>
      </c>
    </row>
    <row r="71" spans="2:28" x14ac:dyDescent="0.4">
      <c r="B71" s="11">
        <v>54</v>
      </c>
      <c r="C71" s="16">
        <f t="shared" si="1"/>
        <v>3.2114117468104504</v>
      </c>
      <c r="D71" s="17">
        <f t="shared" si="3"/>
        <v>3.5682352742338339</v>
      </c>
      <c r="E71" s="17">
        <f t="shared" si="2"/>
        <v>3.9250588016572174</v>
      </c>
      <c r="F71" s="2">
        <v>3.7932999999999999</v>
      </c>
      <c r="G71" s="2" t="str">
        <f t="shared" si="0"/>
        <v>Pass</v>
      </c>
      <c r="Y71" s="2">
        <v>56</v>
      </c>
      <c r="Z71" s="2">
        <v>0.32779999999999998</v>
      </c>
      <c r="AA71" s="2">
        <v>0.35299999999999998</v>
      </c>
      <c r="AB71" s="2">
        <v>4.1361999999999997</v>
      </c>
    </row>
    <row r="72" spans="2:28" x14ac:dyDescent="0.4">
      <c r="B72" s="11">
        <v>55</v>
      </c>
      <c r="C72" s="16">
        <f t="shared" si="1"/>
        <v>3.3676127094113459</v>
      </c>
      <c r="D72" s="17">
        <f t="shared" si="3"/>
        <v>3.74179189934594</v>
      </c>
      <c r="E72" s="17">
        <f t="shared" si="2"/>
        <v>4.1159710892805341</v>
      </c>
      <c r="F72" s="2">
        <v>3.9605000000000001</v>
      </c>
      <c r="G72" s="2" t="str">
        <f t="shared" si="0"/>
        <v>Pass</v>
      </c>
      <c r="Y72" s="2">
        <v>57</v>
      </c>
      <c r="Z72" s="2">
        <v>0.33169999999999999</v>
      </c>
      <c r="AA72" s="2">
        <v>0.34360000000000002</v>
      </c>
      <c r="AB72" s="2">
        <v>4.1962000000000002</v>
      </c>
    </row>
    <row r="73" spans="2:28" x14ac:dyDescent="0.4">
      <c r="B73" s="11">
        <v>56</v>
      </c>
      <c r="C73" s="16">
        <f t="shared" si="1"/>
        <v>3.5284036702477395</v>
      </c>
      <c r="D73" s="17">
        <f t="shared" si="3"/>
        <v>3.9204485224974883</v>
      </c>
      <c r="E73" s="17">
        <f t="shared" si="2"/>
        <v>4.3124933747472376</v>
      </c>
      <c r="F73" s="2">
        <v>4.1361999999999997</v>
      </c>
      <c r="G73" s="2" t="str">
        <f t="shared" si="0"/>
        <v>Pass</v>
      </c>
      <c r="Y73" s="2">
        <v>58</v>
      </c>
      <c r="Z73" s="2">
        <v>0.33210000000000001</v>
      </c>
      <c r="AA73" s="2">
        <v>0.34350000000000003</v>
      </c>
      <c r="AB73" s="2">
        <v>4.4485999999999999</v>
      </c>
    </row>
    <row r="74" spans="2:28" x14ac:dyDescent="0.4">
      <c r="B74" s="11">
        <v>57</v>
      </c>
      <c r="C74" s="16">
        <f t="shared" si="1"/>
        <v>3.6938343012679065</v>
      </c>
      <c r="D74" s="17">
        <f t="shared" si="3"/>
        <v>4.1042603347421185</v>
      </c>
      <c r="E74" s="17">
        <f t="shared" si="2"/>
        <v>4.5146863682163305</v>
      </c>
      <c r="F74" s="2">
        <v>4.1962000000000002</v>
      </c>
      <c r="G74" s="2" t="str">
        <f t="shared" si="0"/>
        <v>Pass</v>
      </c>
      <c r="Y74" s="2">
        <v>59</v>
      </c>
      <c r="Z74" s="2">
        <v>0.33260000000000001</v>
      </c>
      <c r="AA74" s="2">
        <v>0.3453</v>
      </c>
      <c r="AB74" s="2">
        <v>4.6340000000000003</v>
      </c>
    </row>
    <row r="75" spans="2:28" x14ac:dyDescent="0.4">
      <c r="B75" s="11">
        <v>58</v>
      </c>
      <c r="C75" s="16">
        <f t="shared" si="1"/>
        <v>3.8639539223766715</v>
      </c>
      <c r="D75" s="17">
        <f t="shared" si="3"/>
        <v>4.2932821359740796</v>
      </c>
      <c r="E75" s="17">
        <f t="shared" si="2"/>
        <v>4.7226103495714877</v>
      </c>
      <c r="F75" s="2">
        <v>4.4485999999999999</v>
      </c>
      <c r="G75" s="2" t="str">
        <f t="shared" si="0"/>
        <v>Pass</v>
      </c>
      <c r="Y75" s="2">
        <v>60</v>
      </c>
      <c r="Z75" s="2">
        <v>0.33229999999999998</v>
      </c>
      <c r="AA75" s="2">
        <v>0.3458</v>
      </c>
      <c r="AB75" s="2">
        <v>4.8383000000000003</v>
      </c>
    </row>
    <row r="76" spans="2:28" x14ac:dyDescent="0.4">
      <c r="B76" s="11">
        <v>59</v>
      </c>
      <c r="C76" s="16">
        <f t="shared" si="1"/>
        <v>4.0388115100168971</v>
      </c>
      <c r="D76" s="17">
        <f t="shared" si="3"/>
        <v>4.4875683444632193</v>
      </c>
      <c r="E76" s="17">
        <f t="shared" si="2"/>
        <v>4.9363251789095415</v>
      </c>
      <c r="F76" s="2">
        <v>4.6340000000000003</v>
      </c>
      <c r="G76" s="2" t="str">
        <f t="shared" si="0"/>
        <v>Pass</v>
      </c>
      <c r="Y76" s="2">
        <v>61</v>
      </c>
      <c r="Z76" s="2">
        <v>0.33260000000000001</v>
      </c>
      <c r="AA76" s="2">
        <v>0.34570000000000001</v>
      </c>
      <c r="AB76" s="2">
        <v>5.1176000000000004</v>
      </c>
    </row>
    <row r="77" spans="2:28" x14ac:dyDescent="0.4">
      <c r="B77" s="11">
        <v>60</v>
      </c>
      <c r="C77" s="16">
        <f t="shared" si="1"/>
        <v>4.2184557053984193</v>
      </c>
      <c r="D77" s="17">
        <f t="shared" si="3"/>
        <v>4.6871730059982433</v>
      </c>
      <c r="E77" s="17">
        <f t="shared" si="2"/>
        <v>5.1558903065980672</v>
      </c>
      <c r="F77" s="2">
        <v>4.8383000000000003</v>
      </c>
      <c r="G77" s="2" t="str">
        <f t="shared" si="0"/>
        <v>Pass</v>
      </c>
      <c r="Y77" s="2">
        <v>62</v>
      </c>
      <c r="Z77" s="2">
        <v>0.33400000000000002</v>
      </c>
      <c r="AA77" s="2">
        <v>0.35199999999999998</v>
      </c>
      <c r="AB77" s="2">
        <v>5.3056999999999999</v>
      </c>
    </row>
    <row r="78" spans="2:28" x14ac:dyDescent="0.4">
      <c r="B78" s="11">
        <v>61</v>
      </c>
      <c r="C78" s="16">
        <f t="shared" si="1"/>
        <v>4.4029348223947249</v>
      </c>
      <c r="D78" s="17">
        <f t="shared" si="3"/>
        <v>4.8921498026608052</v>
      </c>
      <c r="E78" s="17">
        <f t="shared" si="2"/>
        <v>5.3813647829268856</v>
      </c>
      <c r="F78" s="2">
        <v>5.1176000000000004</v>
      </c>
      <c r="G78" s="2" t="str">
        <f t="shared" si="0"/>
        <v>Pass</v>
      </c>
      <c r="Y78" s="2">
        <v>63</v>
      </c>
      <c r="Z78" s="2">
        <v>0.33389999999999997</v>
      </c>
      <c r="AA78" s="2">
        <v>0.35160000000000002</v>
      </c>
      <c r="AB78" s="2">
        <v>5.6184000000000003</v>
      </c>
    </row>
    <row r="79" spans="2:28" x14ac:dyDescent="0.4">
      <c r="B79" s="11">
        <v>62</v>
      </c>
      <c r="C79" s="16">
        <f t="shared" si="1"/>
        <v>4.5922968551259427</v>
      </c>
      <c r="D79" s="17">
        <f t="shared" si="3"/>
        <v>5.1025520612510471</v>
      </c>
      <c r="E79" s="17">
        <f t="shared" si="2"/>
        <v>5.6128072673761515</v>
      </c>
      <c r="F79" s="2">
        <v>5.3056999999999999</v>
      </c>
      <c r="G79" s="2" t="str">
        <f t="shared" si="0"/>
        <v>Pass</v>
      </c>
      <c r="Y79" s="2">
        <v>64</v>
      </c>
      <c r="Z79" s="2">
        <v>0.33389999999999997</v>
      </c>
      <c r="AA79" s="2">
        <v>0.35170000000000001</v>
      </c>
      <c r="AB79" s="2">
        <v>5.8106</v>
      </c>
    </row>
    <row r="80" spans="2:28" x14ac:dyDescent="0.4">
      <c r="B80" s="11">
        <v>63</v>
      </c>
      <c r="C80" s="16">
        <f t="shared" si="1"/>
        <v>4.7865894852456048</v>
      </c>
      <c r="D80" s="17">
        <f t="shared" si="3"/>
        <v>5.3184327613840052</v>
      </c>
      <c r="E80" s="17">
        <f t="shared" si="2"/>
        <v>5.8502760375224057</v>
      </c>
      <c r="F80" s="2">
        <v>5.6184000000000003</v>
      </c>
      <c r="G80" s="2" t="str">
        <f t="shared" si="0"/>
        <v>Pass</v>
      </c>
      <c r="Y80" s="2">
        <v>65</v>
      </c>
      <c r="Z80" s="2">
        <v>0.33429999999999999</v>
      </c>
      <c r="AA80" s="2">
        <v>0.34789999999999999</v>
      </c>
      <c r="AB80" s="2">
        <v>5.9204999999999997</v>
      </c>
    </row>
    <row r="81" spans="2:28" x14ac:dyDescent="0.4">
      <c r="B81" s="11">
        <v>64</v>
      </c>
      <c r="C81" s="16">
        <f t="shared" si="1"/>
        <v>4.9858600889472848</v>
      </c>
      <c r="D81" s="17">
        <f t="shared" si="3"/>
        <v>5.5398445432747607</v>
      </c>
      <c r="E81" s="17">
        <f t="shared" si="2"/>
        <v>6.0938289976022366</v>
      </c>
      <c r="F81" s="2">
        <v>5.8106</v>
      </c>
      <c r="G81" s="2" t="str">
        <f t="shared" ref="G81:G144" si="4">IF(F81&lt;=C81,"Fail",IF(AND(C81&lt;F81,F81&lt;E81),"Pass",IF(E81&lt;=F81,"Fail")))</f>
        <v>Pass</v>
      </c>
      <c r="Y81" s="2">
        <v>66</v>
      </c>
      <c r="Z81" s="2">
        <v>0.33510000000000001</v>
      </c>
      <c r="AA81" s="2">
        <v>0.34689999999999999</v>
      </c>
      <c r="AB81" s="2">
        <v>6.1223000000000001</v>
      </c>
    </row>
    <row r="82" spans="2:28" x14ac:dyDescent="0.4">
      <c r="B82" s="11">
        <v>65</v>
      </c>
      <c r="C82" s="16">
        <f t="shared" ref="C82:C145" si="5">D82-D82*(C$14/100)</f>
        <v>5.1901557437060735</v>
      </c>
      <c r="D82" s="17">
        <f t="shared" si="3"/>
        <v>5.7668397152289703</v>
      </c>
      <c r="E82" s="17">
        <f t="shared" ref="E82:E145" si="6">D82+D82*(C$14/100)</f>
        <v>6.3435236867518672</v>
      </c>
      <c r="F82" s="2">
        <v>5.9204999999999997</v>
      </c>
      <c r="G82" s="2" t="str">
        <f t="shared" si="4"/>
        <v>Pass</v>
      </c>
      <c r="Y82" s="2">
        <v>67</v>
      </c>
      <c r="Z82" s="2">
        <v>0.33260000000000001</v>
      </c>
      <c r="AA82" s="2">
        <v>0.3513</v>
      </c>
      <c r="AB82" s="2">
        <v>6.3552999999999997</v>
      </c>
    </row>
    <row r="83" spans="2:28" x14ac:dyDescent="0.4">
      <c r="B83" s="11">
        <v>66</v>
      </c>
      <c r="C83" s="16">
        <f t="shared" si="5"/>
        <v>5.3995232347690196</v>
      </c>
      <c r="D83" s="17">
        <f t="shared" ref="D83:D146" si="7">D$272*((B83+F$17)/B$272)^C$13</f>
        <v>5.9994702608544666</v>
      </c>
      <c r="E83" s="17">
        <f t="shared" si="6"/>
        <v>6.5994172869399135</v>
      </c>
      <c r="F83" s="2">
        <v>6.1223000000000001</v>
      </c>
      <c r="G83" s="2" t="str">
        <f t="shared" si="4"/>
        <v>Pass</v>
      </c>
      <c r="Y83" s="2">
        <v>68</v>
      </c>
      <c r="Z83" s="2">
        <v>0.33289999999999997</v>
      </c>
      <c r="AA83" s="2">
        <v>0.3508</v>
      </c>
      <c r="AB83" s="2">
        <v>6.6135999999999999</v>
      </c>
    </row>
    <row r="84" spans="2:28" x14ac:dyDescent="0.4">
      <c r="B84" s="11">
        <v>67</v>
      </c>
      <c r="C84" s="16">
        <f t="shared" si="5"/>
        <v>5.6140090614074092</v>
      </c>
      <c r="D84" s="17">
        <f t="shared" si="7"/>
        <v>6.2377878460082323</v>
      </c>
      <c r="E84" s="17">
        <f t="shared" si="6"/>
        <v>6.8615666306090555</v>
      </c>
      <c r="F84" s="2">
        <v>6.3552999999999997</v>
      </c>
      <c r="G84" s="2" t="str">
        <f t="shared" si="4"/>
        <v>Pass</v>
      </c>
      <c r="Y84" s="2">
        <v>69</v>
      </c>
      <c r="Z84" s="2">
        <v>0.33210000000000001</v>
      </c>
      <c r="AA84" s="2">
        <v>0.3503</v>
      </c>
      <c r="AB84" s="2">
        <v>6.9413999999999998</v>
      </c>
    </row>
    <row r="85" spans="2:28" x14ac:dyDescent="0.4">
      <c r="B85" s="11">
        <v>68</v>
      </c>
      <c r="C85" s="16">
        <f t="shared" si="5"/>
        <v>5.8336594429432349</v>
      </c>
      <c r="D85" s="17">
        <f t="shared" si="7"/>
        <v>6.4818438254924837</v>
      </c>
      <c r="E85" s="17">
        <f t="shared" si="6"/>
        <v>7.1300282080417325</v>
      </c>
      <c r="F85" s="2">
        <v>6.6135999999999999</v>
      </c>
      <c r="G85" s="2" t="str">
        <f t="shared" si="4"/>
        <v>Pass</v>
      </c>
      <c r="Y85" s="2">
        <v>70</v>
      </c>
      <c r="Z85" s="2">
        <v>0.32990000000000003</v>
      </c>
      <c r="AA85" s="2">
        <v>0.35039999999999999</v>
      </c>
      <c r="AB85" s="2">
        <v>7.1718999999999999</v>
      </c>
    </row>
    <row r="86" spans="2:28" x14ac:dyDescent="0.4">
      <c r="B86" s="11">
        <v>69</v>
      </c>
      <c r="C86" s="16">
        <f t="shared" si="5"/>
        <v>6.0585203245611163</v>
      </c>
      <c r="D86" s="17">
        <f t="shared" si="7"/>
        <v>6.7316892495123515</v>
      </c>
      <c r="E86" s="17">
        <f t="shared" si="6"/>
        <v>7.4048581744635866</v>
      </c>
      <c r="F86" s="2">
        <v>6.9413999999999998</v>
      </c>
      <c r="G86" s="2" t="str">
        <f t="shared" si="4"/>
        <v>Pass</v>
      </c>
      <c r="Y86" s="2">
        <v>71</v>
      </c>
      <c r="Z86" s="2">
        <v>0.33040000000000003</v>
      </c>
      <c r="AA86" s="2">
        <v>0.34749999999999998</v>
      </c>
      <c r="AB86" s="2">
        <v>7.5541</v>
      </c>
    </row>
    <row r="87" spans="2:28" x14ac:dyDescent="0.4">
      <c r="B87" s="11">
        <v>70</v>
      </c>
      <c r="C87" s="16">
        <f t="shared" si="5"/>
        <v>6.2886373829164199</v>
      </c>
      <c r="D87" s="17">
        <f t="shared" si="7"/>
        <v>6.9873748699071339</v>
      </c>
      <c r="E87" s="17">
        <f t="shared" si="6"/>
        <v>7.6861123568978478</v>
      </c>
      <c r="F87" s="2">
        <v>7.1718999999999999</v>
      </c>
      <c r="G87" s="2" t="str">
        <f t="shared" si="4"/>
        <v>Pass</v>
      </c>
      <c r="Y87" s="2">
        <v>72</v>
      </c>
      <c r="Z87" s="2">
        <v>0.3322</v>
      </c>
      <c r="AA87" s="2">
        <v>0.3528</v>
      </c>
      <c r="AB87" s="2">
        <v>7.8011999999999997</v>
      </c>
    </row>
    <row r="88" spans="2:28" x14ac:dyDescent="0.4">
      <c r="B88" s="11">
        <v>71</v>
      </c>
      <c r="C88" s="16">
        <f t="shared" si="5"/>
        <v>6.5240560315495033</v>
      </c>
      <c r="D88" s="17">
        <f t="shared" si="7"/>
        <v>7.2489511461661147</v>
      </c>
      <c r="E88" s="17">
        <f t="shared" si="6"/>
        <v>7.9738462607827261</v>
      </c>
      <c r="F88" s="2">
        <v>7.5541</v>
      </c>
      <c r="G88" s="2" t="str">
        <f t="shared" si="4"/>
        <v>Pass</v>
      </c>
      <c r="Y88" s="2">
        <v>73</v>
      </c>
      <c r="Z88" s="2">
        <v>0.33339999999999997</v>
      </c>
      <c r="AA88" s="2">
        <v>0.34960000000000002</v>
      </c>
      <c r="AB88" s="2">
        <v>7.8879000000000001</v>
      </c>
    </row>
    <row r="89" spans="2:28" x14ac:dyDescent="0.4">
      <c r="B89" s="11">
        <v>72</v>
      </c>
      <c r="C89" s="16">
        <f t="shared" si="5"/>
        <v>6.7648214261154855</v>
      </c>
      <c r="D89" s="17">
        <f t="shared" si="7"/>
        <v>7.5164682512394281</v>
      </c>
      <c r="E89" s="17">
        <f t="shared" si="6"/>
        <v>8.2681150763633706</v>
      </c>
      <c r="F89" s="2">
        <v>7.8011999999999997</v>
      </c>
      <c r="G89" s="2" t="str">
        <f t="shared" si="4"/>
        <v>Pass</v>
      </c>
      <c r="Y89" s="2">
        <v>74</v>
      </c>
      <c r="Z89" s="2">
        <v>0.33300000000000002</v>
      </c>
      <c r="AA89" s="2">
        <v>0.3493</v>
      </c>
      <c r="AB89" s="2">
        <v>8.1748999999999992</v>
      </c>
    </row>
    <row r="90" spans="2:28" x14ac:dyDescent="0.4">
      <c r="B90" s="11">
        <v>73</v>
      </c>
      <c r="C90" s="16">
        <f t="shared" si="5"/>
        <v>7.0109784694382791</v>
      </c>
      <c r="D90" s="17">
        <f t="shared" si="7"/>
        <v>7.7899760771536437</v>
      </c>
      <c r="E90" s="17">
        <f t="shared" si="6"/>
        <v>8.5689736848690075</v>
      </c>
      <c r="F90" s="2">
        <v>7.8879000000000001</v>
      </c>
      <c r="G90" s="2" t="str">
        <f t="shared" si="4"/>
        <v>Pass</v>
      </c>
      <c r="Y90" s="2">
        <v>75</v>
      </c>
      <c r="Z90" s="2">
        <v>0.33229999999999998</v>
      </c>
      <c r="AA90" s="2">
        <v>0.34789999999999999</v>
      </c>
      <c r="AB90" s="2">
        <v>8.5265000000000004</v>
      </c>
    </row>
    <row r="91" spans="2:28" x14ac:dyDescent="0.4">
      <c r="B91" s="11">
        <v>74</v>
      </c>
      <c r="C91" s="16">
        <f t="shared" si="5"/>
        <v>7.2625718163971875</v>
      </c>
      <c r="D91" s="17">
        <f t="shared" si="7"/>
        <v>8.0695242404413197</v>
      </c>
      <c r="E91" s="17">
        <f t="shared" si="6"/>
        <v>8.8764766644854518</v>
      </c>
      <c r="F91" s="2">
        <v>8.1748999999999992</v>
      </c>
      <c r="G91" s="2" t="str">
        <f t="shared" si="4"/>
        <v>Pass</v>
      </c>
      <c r="Y91" s="2">
        <v>76</v>
      </c>
      <c r="Z91" s="2">
        <v>0.33179999999999998</v>
      </c>
      <c r="AA91" s="2">
        <v>0.34820000000000001</v>
      </c>
      <c r="AB91" s="2">
        <v>8.8297000000000008</v>
      </c>
    </row>
    <row r="92" spans="2:28" x14ac:dyDescent="0.4">
      <c r="B92" s="11">
        <v>75</v>
      </c>
      <c r="C92" s="16">
        <f t="shared" si="5"/>
        <v>7.5196458786537397</v>
      </c>
      <c r="D92" s="17">
        <f t="shared" si="7"/>
        <v>8.3551620873930439</v>
      </c>
      <c r="E92" s="17">
        <f t="shared" si="6"/>
        <v>9.190678296132349</v>
      </c>
      <c r="F92" s="2">
        <v>8.5265000000000004</v>
      </c>
      <c r="G92" s="2" t="str">
        <f t="shared" si="4"/>
        <v>Pass</v>
      </c>
      <c r="Y92" s="2">
        <v>77</v>
      </c>
      <c r="Z92" s="2">
        <v>0.3322</v>
      </c>
      <c r="AA92" s="2">
        <v>0.35039999999999999</v>
      </c>
      <c r="AB92" s="2">
        <v>9.0960999999999999</v>
      </c>
    </row>
    <row r="93" spans="2:28" x14ac:dyDescent="0.4">
      <c r="B93" s="11">
        <v>76</v>
      </c>
      <c r="C93" s="16">
        <f t="shared" si="5"/>
        <v>7.782244829226193</v>
      </c>
      <c r="D93" s="17">
        <f t="shared" si="7"/>
        <v>8.6469386991402146</v>
      </c>
      <c r="E93" s="17">
        <f t="shared" si="6"/>
        <v>9.5116325690542354</v>
      </c>
      <c r="F93" s="2">
        <v>8.8297000000000008</v>
      </c>
      <c r="G93" s="2" t="str">
        <f t="shared" si="4"/>
        <v>Pass</v>
      </c>
      <c r="Y93" s="2">
        <v>78</v>
      </c>
      <c r="Z93" s="2">
        <v>0.33229999999999998</v>
      </c>
      <c r="AA93" s="2">
        <v>0.35039999999999999</v>
      </c>
      <c r="AB93" s="2">
        <v>9.5024999999999995</v>
      </c>
    </row>
    <row r="94" spans="2:28" x14ac:dyDescent="0.4">
      <c r="B94" s="11">
        <v>77</v>
      </c>
      <c r="C94" s="16">
        <f t="shared" si="5"/>
        <v>8.0504126069184263</v>
      </c>
      <c r="D94" s="17">
        <f t="shared" si="7"/>
        <v>8.9449028965760284</v>
      </c>
      <c r="E94" s="17">
        <f t="shared" si="6"/>
        <v>9.8393931862336306</v>
      </c>
      <c r="F94" s="2">
        <v>9.0960999999999999</v>
      </c>
      <c r="G94" s="2" t="str">
        <f t="shared" si="4"/>
        <v>Pass</v>
      </c>
      <c r="Y94" s="2">
        <v>79</v>
      </c>
      <c r="Z94" s="2">
        <v>0.33229999999999998</v>
      </c>
      <c r="AA94" s="2">
        <v>0.35</v>
      </c>
      <c r="AB94" s="2">
        <v>9.8452000000000002</v>
      </c>
    </row>
    <row r="95" spans="2:28" x14ac:dyDescent="0.4">
      <c r="B95" s="11">
        <v>78</v>
      </c>
      <c r="C95" s="16">
        <f t="shared" si="5"/>
        <v>8.3241929206097591</v>
      </c>
      <c r="D95" s="17">
        <f t="shared" si="7"/>
        <v>9.2491032451219546</v>
      </c>
      <c r="E95" s="17">
        <f t="shared" si="6"/>
        <v>10.17401356963415</v>
      </c>
      <c r="F95" s="2">
        <v>9.5024999999999995</v>
      </c>
      <c r="G95" s="2" t="str">
        <f t="shared" si="4"/>
        <v>Pass</v>
      </c>
      <c r="Y95" s="2">
        <v>80</v>
      </c>
      <c r="Z95" s="2">
        <v>0.33279999999999998</v>
      </c>
      <c r="AA95" s="2">
        <v>0.34970000000000001</v>
      </c>
      <c r="AB95" s="2">
        <v>10.333</v>
      </c>
    </row>
    <row r="96" spans="2:28" x14ac:dyDescent="0.4">
      <c r="B96" s="11">
        <v>79</v>
      </c>
      <c r="C96" s="16">
        <f t="shared" si="5"/>
        <v>8.6036292534118797</v>
      </c>
      <c r="D96" s="17">
        <f t="shared" si="7"/>
        <v>9.5595880593465328</v>
      </c>
      <c r="E96" s="17">
        <f t="shared" si="6"/>
        <v>10.515546865281186</v>
      </c>
      <c r="F96" s="2">
        <v>9.8452000000000002</v>
      </c>
      <c r="G96" s="2" t="str">
        <f t="shared" si="4"/>
        <v>Pass</v>
      </c>
      <c r="Y96" s="2">
        <v>81</v>
      </c>
      <c r="Z96" s="2">
        <v>0.33329999999999999</v>
      </c>
      <c r="AA96" s="2">
        <v>0.3468</v>
      </c>
      <c r="AB96" s="2">
        <v>10.298500000000001</v>
      </c>
    </row>
    <row r="97" spans="2:28" x14ac:dyDescent="0.4">
      <c r="B97" s="11">
        <v>80</v>
      </c>
      <c r="C97" s="16">
        <f t="shared" si="5"/>
        <v>8.8887648666984713</v>
      </c>
      <c r="D97" s="17">
        <f t="shared" si="7"/>
        <v>9.8764054074427463</v>
      </c>
      <c r="E97" s="17">
        <f t="shared" si="6"/>
        <v>10.864045948187021</v>
      </c>
      <c r="F97" s="2">
        <v>10.333</v>
      </c>
      <c r="G97" s="2" t="str">
        <f t="shared" si="4"/>
        <v>Pass</v>
      </c>
      <c r="Y97" s="2">
        <v>82</v>
      </c>
      <c r="Z97" s="2">
        <v>0.33610000000000001</v>
      </c>
      <c r="AA97" s="2">
        <v>0.35060000000000002</v>
      </c>
      <c r="AB97" s="2">
        <v>10.765599999999999</v>
      </c>
    </row>
    <row r="98" spans="2:28" x14ac:dyDescent="0.4">
      <c r="B98" s="11">
        <v>81</v>
      </c>
      <c r="C98" s="16">
        <f t="shared" si="5"/>
        <v>9.1796428040131985</v>
      </c>
      <c r="D98" s="17">
        <f t="shared" si="7"/>
        <v>10.199603115570222</v>
      </c>
      <c r="E98" s="17">
        <f t="shared" si="6"/>
        <v>11.219563427127245</v>
      </c>
      <c r="F98" s="2">
        <v>10.298500000000001</v>
      </c>
      <c r="G98" s="2" t="str">
        <f t="shared" si="4"/>
        <v>Pass</v>
      </c>
      <c r="Y98" s="2">
        <v>83</v>
      </c>
      <c r="Z98" s="2">
        <v>0.33560000000000001</v>
      </c>
      <c r="AA98" s="2">
        <v>0.35060000000000002</v>
      </c>
      <c r="AB98" s="2">
        <v>11.095800000000001</v>
      </c>
    </row>
    <row r="99" spans="2:28" x14ac:dyDescent="0.4">
      <c r="B99" s="11">
        <v>82</v>
      </c>
      <c r="C99" s="16">
        <f t="shared" si="5"/>
        <v>9.4763058948609906</v>
      </c>
      <c r="D99" s="17">
        <f t="shared" si="7"/>
        <v>10.529228772067768</v>
      </c>
      <c r="E99" s="17">
        <f t="shared" si="6"/>
        <v>11.582151649274545</v>
      </c>
      <c r="F99" s="2">
        <v>10.765599999999999</v>
      </c>
      <c r="G99" s="2" t="str">
        <f t="shared" si="4"/>
        <v>Pass</v>
      </c>
      <c r="Y99" s="2">
        <v>84</v>
      </c>
      <c r="Z99" s="2">
        <v>0.33479999999999999</v>
      </c>
      <c r="AA99" s="2">
        <v>0.3498</v>
      </c>
      <c r="AB99" s="2">
        <v>11.4823</v>
      </c>
    </row>
    <row r="100" spans="2:28" x14ac:dyDescent="0.4">
      <c r="B100" s="11">
        <v>83</v>
      </c>
      <c r="C100" s="16">
        <f t="shared" si="5"/>
        <v>9.7787967583876281</v>
      </c>
      <c r="D100" s="17">
        <f t="shared" si="7"/>
        <v>10.865329731541809</v>
      </c>
      <c r="E100" s="17">
        <f t="shared" si="6"/>
        <v>11.951862704695991</v>
      </c>
      <c r="F100" s="2">
        <v>11.095800000000001</v>
      </c>
      <c r="G100" s="2" t="str">
        <f t="shared" si="4"/>
        <v>Pass</v>
      </c>
      <c r="Y100" s="2">
        <v>85</v>
      </c>
      <c r="Z100" s="2">
        <v>0.33189999999999997</v>
      </c>
      <c r="AA100" s="2">
        <v>0.34849999999999998</v>
      </c>
      <c r="AB100" s="2">
        <v>11.759399999999999</v>
      </c>
    </row>
    <row r="101" spans="2:28" x14ac:dyDescent="0.4">
      <c r="B101" s="11">
        <v>84</v>
      </c>
      <c r="C101" s="16">
        <f t="shared" si="5"/>
        <v>10.087157806952222</v>
      </c>
      <c r="D101" s="17">
        <f t="shared" si="7"/>
        <v>11.207953118835801</v>
      </c>
      <c r="E101" s="17">
        <f t="shared" si="6"/>
        <v>12.328748430719381</v>
      </c>
      <c r="F101" s="2">
        <v>11.4823</v>
      </c>
      <c r="G101" s="2" t="str">
        <f t="shared" si="4"/>
        <v>Pass</v>
      </c>
      <c r="Y101" s="2">
        <v>86</v>
      </c>
      <c r="Z101" s="2">
        <v>0.33079999999999998</v>
      </c>
      <c r="AA101" s="2">
        <v>0.34749999999999998</v>
      </c>
      <c r="AB101" s="2">
        <v>12.148199999999999</v>
      </c>
    </row>
    <row r="102" spans="2:28" x14ac:dyDescent="0.4">
      <c r="B102" s="11">
        <v>85</v>
      </c>
      <c r="C102" s="16">
        <f t="shared" si="5"/>
        <v>10.401431249596868</v>
      </c>
      <c r="D102" s="17">
        <f t="shared" si="7"/>
        <v>11.557145832885409</v>
      </c>
      <c r="E102" s="17">
        <f t="shared" si="6"/>
        <v>12.71286041617395</v>
      </c>
      <c r="F102" s="2">
        <v>11.759399999999999</v>
      </c>
      <c r="G102" s="2" t="str">
        <f t="shared" si="4"/>
        <v>Pass</v>
      </c>
      <c r="Y102" s="2">
        <v>87</v>
      </c>
      <c r="Z102" s="2">
        <v>0.33169999999999999</v>
      </c>
      <c r="AA102" s="2">
        <v>0.35270000000000001</v>
      </c>
      <c r="AB102" s="2">
        <v>12.571400000000001</v>
      </c>
    </row>
    <row r="103" spans="2:28" x14ac:dyDescent="0.4">
      <c r="B103" s="11">
        <v>86</v>
      </c>
      <c r="C103" s="16">
        <f t="shared" si="5"/>
        <v>10.721659095417774</v>
      </c>
      <c r="D103" s="17">
        <f t="shared" si="7"/>
        <v>11.912954550464192</v>
      </c>
      <c r="E103" s="17">
        <f t="shared" si="6"/>
        <v>13.104250005510611</v>
      </c>
      <c r="F103" s="2">
        <v>12.148199999999999</v>
      </c>
      <c r="G103" s="2" t="str">
        <f t="shared" si="4"/>
        <v>Pass</v>
      </c>
      <c r="Y103" s="2">
        <v>88</v>
      </c>
      <c r="Z103" s="2">
        <v>0.33169999999999999</v>
      </c>
      <c r="AA103" s="2">
        <v>0.35199999999999998</v>
      </c>
      <c r="AB103" s="2">
        <v>12.9536</v>
      </c>
    </row>
    <row r="104" spans="2:28" x14ac:dyDescent="0.4">
      <c r="B104" s="11">
        <v>87</v>
      </c>
      <c r="C104" s="16">
        <f t="shared" si="5"/>
        <v>11.047883156841531</v>
      </c>
      <c r="D104" s="17">
        <f t="shared" si="7"/>
        <v>12.275425729823922</v>
      </c>
      <c r="E104" s="17">
        <f t="shared" si="6"/>
        <v>13.502968302806314</v>
      </c>
      <c r="F104" s="2">
        <v>12.571400000000001</v>
      </c>
      <c r="G104" s="2" t="str">
        <f t="shared" si="4"/>
        <v>Pass</v>
      </c>
      <c r="Y104" s="2">
        <v>89</v>
      </c>
      <c r="Z104" s="2">
        <v>0.33339999999999997</v>
      </c>
      <c r="AA104" s="2">
        <v>0.34820000000000001</v>
      </c>
      <c r="AB104" s="2">
        <v>13.058199999999999</v>
      </c>
    </row>
    <row r="105" spans="2:28" x14ac:dyDescent="0.4">
      <c r="B105" s="11">
        <v>88</v>
      </c>
      <c r="C105" s="16">
        <f t="shared" si="5"/>
        <v>11.380145052810612</v>
      </c>
      <c r="D105" s="17">
        <f t="shared" si="7"/>
        <v>12.644605614234013</v>
      </c>
      <c r="E105" s="17">
        <f t="shared" si="6"/>
        <v>13.909066175657415</v>
      </c>
      <c r="F105" s="2">
        <v>12.9536</v>
      </c>
      <c r="G105" s="2" t="str">
        <f t="shared" si="4"/>
        <v>Pass</v>
      </c>
      <c r="Y105" s="2">
        <v>90</v>
      </c>
      <c r="Z105" s="2">
        <v>0.3332</v>
      </c>
      <c r="AA105" s="2">
        <v>0.34820000000000001</v>
      </c>
      <c r="AB105" s="2">
        <v>13.5101</v>
      </c>
    </row>
    <row r="106" spans="2:28" x14ac:dyDescent="0.4">
      <c r="B106" s="11">
        <v>89</v>
      </c>
      <c r="C106" s="16">
        <f t="shared" si="5"/>
        <v>11.718486211881251</v>
      </c>
      <c r="D106" s="17">
        <f t="shared" si="7"/>
        <v>13.020540235423612</v>
      </c>
      <c r="E106" s="17">
        <f t="shared" si="6"/>
        <v>14.322594258965973</v>
      </c>
      <c r="F106" s="2">
        <v>13.058199999999999</v>
      </c>
      <c r="G106" s="2" t="str">
        <f t="shared" si="4"/>
        <v>Pass</v>
      </c>
      <c r="Y106" s="2">
        <v>91</v>
      </c>
      <c r="Z106" s="2">
        <v>0.33379999999999999</v>
      </c>
      <c r="AA106" s="2">
        <v>0.35020000000000001</v>
      </c>
      <c r="AB106" s="2">
        <v>13.9551</v>
      </c>
    </row>
    <row r="107" spans="2:28" x14ac:dyDescent="0.4">
      <c r="B107" s="11">
        <v>90</v>
      </c>
      <c r="C107" s="16">
        <f t="shared" si="5"/>
        <v>12.062947875237374</v>
      </c>
      <c r="D107" s="17">
        <f t="shared" si="7"/>
        <v>13.403275416930414</v>
      </c>
      <c r="E107" s="17">
        <f t="shared" si="6"/>
        <v>14.743602958623455</v>
      </c>
      <c r="F107" s="2">
        <v>13.5101</v>
      </c>
      <c r="G107" s="2" t="str">
        <f t="shared" si="4"/>
        <v>Pass</v>
      </c>
      <c r="Y107" s="2">
        <v>92</v>
      </c>
      <c r="Z107" s="2">
        <v>0.3342</v>
      </c>
      <c r="AA107" s="2">
        <v>0.35</v>
      </c>
      <c r="AB107" s="2">
        <v>14.3</v>
      </c>
    </row>
    <row r="108" spans="2:28" x14ac:dyDescent="0.4">
      <c r="B108" s="11">
        <v>91</v>
      </c>
      <c r="C108" s="16">
        <f t="shared" si="5"/>
        <v>12.413571099623566</v>
      </c>
      <c r="D108" s="17">
        <f t="shared" si="7"/>
        <v>13.792856777359518</v>
      </c>
      <c r="E108" s="17">
        <f t="shared" si="6"/>
        <v>15.17214245509547</v>
      </c>
      <c r="F108" s="2">
        <v>13.9551</v>
      </c>
      <c r="G108" s="2" t="str">
        <f t="shared" si="4"/>
        <v>Pass</v>
      </c>
      <c r="Y108" s="2">
        <v>93</v>
      </c>
      <c r="Z108" s="2">
        <v>0.33329999999999999</v>
      </c>
      <c r="AA108" s="2">
        <v>0.34960000000000002</v>
      </c>
      <c r="AB108" s="2">
        <v>14.9023</v>
      </c>
    </row>
    <row r="109" spans="2:28" x14ac:dyDescent="0.4">
      <c r="B109" s="11">
        <v>92</v>
      </c>
      <c r="C109" s="16">
        <f t="shared" si="5"/>
        <v>12.770396760200235</v>
      </c>
      <c r="D109" s="17">
        <f t="shared" si="7"/>
        <v>14.189329733555816</v>
      </c>
      <c r="E109" s="17">
        <f t="shared" si="6"/>
        <v>15.608262706911397</v>
      </c>
      <c r="F109" s="2">
        <v>14.3</v>
      </c>
      <c r="G109" s="2" t="str">
        <f t="shared" si="4"/>
        <v>Pass</v>
      </c>
      <c r="Y109" s="2">
        <v>94</v>
      </c>
      <c r="Z109" s="2">
        <v>0.33260000000000001</v>
      </c>
      <c r="AA109" s="2">
        <v>0.3483</v>
      </c>
      <c r="AB109" s="2">
        <v>15.3096</v>
      </c>
    </row>
    <row r="110" spans="2:28" x14ac:dyDescent="0.4">
      <c r="B110" s="11">
        <v>93</v>
      </c>
      <c r="C110" s="16">
        <f t="shared" si="5"/>
        <v>13.133465553323877</v>
      </c>
      <c r="D110" s="17">
        <f t="shared" si="7"/>
        <v>14.592739503693197</v>
      </c>
      <c r="E110" s="17">
        <f t="shared" si="6"/>
        <v>16.052013454062518</v>
      </c>
      <c r="F110" s="2">
        <v>14.9023</v>
      </c>
      <c r="G110" s="2" t="str">
        <f t="shared" si="4"/>
        <v>Pass</v>
      </c>
      <c r="Y110" s="2">
        <v>95</v>
      </c>
      <c r="Z110" s="2">
        <v>0.33229999999999998</v>
      </c>
      <c r="AA110" s="2">
        <v>0.34770000000000001</v>
      </c>
      <c r="AB110" s="2">
        <v>15.824999999999999</v>
      </c>
    </row>
    <row r="111" spans="2:28" x14ac:dyDescent="0.4">
      <c r="B111" s="11">
        <v>94</v>
      </c>
      <c r="C111" s="16">
        <f t="shared" si="5"/>
        <v>13.502817999255074</v>
      </c>
      <c r="D111" s="17">
        <f t="shared" si="7"/>
        <v>15.003131110283416</v>
      </c>
      <c r="E111" s="17">
        <f t="shared" si="6"/>
        <v>16.503444221311756</v>
      </c>
      <c r="F111" s="2">
        <v>15.3096</v>
      </c>
      <c r="G111" s="2" t="str">
        <f t="shared" si="4"/>
        <v>Pass</v>
      </c>
      <c r="Y111" s="2">
        <v>96</v>
      </c>
      <c r="Z111" s="2">
        <v>0.33539999999999998</v>
      </c>
      <c r="AA111" s="2">
        <v>0.34899999999999998</v>
      </c>
      <c r="AB111" s="2">
        <v>15.8744</v>
      </c>
    </row>
    <row r="112" spans="2:28" x14ac:dyDescent="0.4">
      <c r="B112" s="11">
        <v>95</v>
      </c>
      <c r="C112" s="16">
        <f t="shared" si="5"/>
        <v>13.878494444796965</v>
      </c>
      <c r="D112" s="17">
        <f t="shared" si="7"/>
        <v>15.420549383107739</v>
      </c>
      <c r="E112" s="17">
        <f t="shared" si="6"/>
        <v>16.962604321418514</v>
      </c>
      <c r="F112" s="2">
        <v>15.824999999999999</v>
      </c>
      <c r="G112" s="2" t="str">
        <f t="shared" si="4"/>
        <v>Pass</v>
      </c>
      <c r="Y112" s="2">
        <v>97</v>
      </c>
      <c r="Z112" s="2">
        <v>0.33510000000000001</v>
      </c>
      <c r="AA112" s="2">
        <v>0.3488</v>
      </c>
      <c r="AB112" s="2">
        <v>16.424900000000001</v>
      </c>
    </row>
    <row r="113" spans="2:28" x14ac:dyDescent="0.4">
      <c r="B113" s="11">
        <v>96</v>
      </c>
      <c r="C113" s="16">
        <f t="shared" si="5"/>
        <v>14.260535065866701</v>
      </c>
      <c r="D113" s="17">
        <f t="shared" si="7"/>
        <v>15.845038962074112</v>
      </c>
      <c r="E113" s="17">
        <f t="shared" si="6"/>
        <v>17.429542858281522</v>
      </c>
      <c r="F113" s="2">
        <v>15.8744</v>
      </c>
      <c r="G113" s="2" t="str">
        <f t="shared" si="4"/>
        <v>Pass</v>
      </c>
      <c r="Y113" s="2">
        <v>98</v>
      </c>
      <c r="Z113" s="2">
        <v>0.33450000000000002</v>
      </c>
      <c r="AA113" s="2">
        <v>0.34849999999999998</v>
      </c>
      <c r="AB113" s="2">
        <v>16.891999999999999</v>
      </c>
    </row>
    <row r="114" spans="2:28" x14ac:dyDescent="0.4">
      <c r="B114" s="11">
        <v>97</v>
      </c>
      <c r="C114" s="16">
        <f t="shared" si="5"/>
        <v>14.648979870002162</v>
      </c>
      <c r="D114" s="17">
        <f t="shared" si="7"/>
        <v>16.276644300002403</v>
      </c>
      <c r="E114" s="17">
        <f t="shared" si="6"/>
        <v>17.904308730002644</v>
      </c>
      <c r="F114" s="2">
        <v>16.424900000000001</v>
      </c>
      <c r="G114" s="2" t="str">
        <f t="shared" si="4"/>
        <v>Pass</v>
      </c>
      <c r="Y114" s="2">
        <v>99</v>
      </c>
      <c r="Z114" s="2">
        <v>0.33410000000000001</v>
      </c>
      <c r="AA114" s="2">
        <v>0.34810000000000002</v>
      </c>
      <c r="AB114" s="2">
        <v>17.459599999999998</v>
      </c>
    </row>
    <row r="115" spans="2:28" x14ac:dyDescent="0.4">
      <c r="B115" s="11">
        <v>98</v>
      </c>
      <c r="C115" s="16">
        <f t="shared" si="5"/>
        <v>15.043868698806362</v>
      </c>
      <c r="D115" s="17">
        <f t="shared" si="7"/>
        <v>16.715409665340403</v>
      </c>
      <c r="E115" s="17">
        <f t="shared" si="6"/>
        <v>18.386950631874441</v>
      </c>
      <c r="F115" s="2">
        <v>16.891999999999999</v>
      </c>
      <c r="G115" s="2" t="str">
        <f t="shared" si="4"/>
        <v>Pass</v>
      </c>
      <c r="Y115" s="2">
        <v>100</v>
      </c>
      <c r="Z115" s="2">
        <v>0.33529999999999999</v>
      </c>
      <c r="AA115" s="2">
        <v>0.35210000000000002</v>
      </c>
      <c r="AB115" s="2">
        <v>17.901700000000002</v>
      </c>
    </row>
    <row r="116" spans="2:28" x14ac:dyDescent="0.4">
      <c r="B116" s="11">
        <v>99</v>
      </c>
      <c r="C116" s="16">
        <f t="shared" si="5"/>
        <v>15.445241230331566</v>
      </c>
      <c r="D116" s="17">
        <f t="shared" si="7"/>
        <v>17.161379144812852</v>
      </c>
      <c r="E116" s="17">
        <f t="shared" si="6"/>
        <v>18.877517059294135</v>
      </c>
      <c r="F116" s="2">
        <v>17.459599999999998</v>
      </c>
      <c r="G116" s="2" t="str">
        <f t="shared" si="4"/>
        <v>Pass</v>
      </c>
      <c r="Y116" s="2">
        <v>101</v>
      </c>
      <c r="Z116" s="2">
        <v>0.33289999999999997</v>
      </c>
      <c r="AA116" s="2">
        <v>0.35060000000000002</v>
      </c>
      <c r="AB116" s="2">
        <v>18.396599999999999</v>
      </c>
    </row>
    <row r="117" spans="2:28" x14ac:dyDescent="0.4">
      <c r="B117" s="11">
        <v>100</v>
      </c>
      <c r="C117" s="16">
        <f t="shared" si="5"/>
        <v>15.853136981405358</v>
      </c>
      <c r="D117" s="17">
        <f t="shared" si="7"/>
        <v>17.614596646005953</v>
      </c>
      <c r="E117" s="17">
        <f t="shared" si="6"/>
        <v>19.37605631060655</v>
      </c>
      <c r="F117" s="2">
        <v>17.901700000000002</v>
      </c>
      <c r="G117" s="2" t="str">
        <f t="shared" si="4"/>
        <v>Pass</v>
      </c>
      <c r="Y117" s="2">
        <v>102</v>
      </c>
      <c r="Z117" s="2">
        <v>0.33260000000000001</v>
      </c>
      <c r="AA117" s="2">
        <v>0.35020000000000001</v>
      </c>
      <c r="AB117" s="2">
        <v>18.814299999999999</v>
      </c>
    </row>
    <row r="118" spans="2:28" x14ac:dyDescent="0.4">
      <c r="B118" s="11">
        <v>101</v>
      </c>
      <c r="C118" s="16">
        <f t="shared" si="5"/>
        <v>16.267595309900511</v>
      </c>
      <c r="D118" s="17">
        <f t="shared" si="7"/>
        <v>18.075105899889458</v>
      </c>
      <c r="E118" s="17">
        <f t="shared" si="6"/>
        <v>19.882616489878405</v>
      </c>
      <c r="F118" s="2">
        <v>18.396599999999999</v>
      </c>
      <c r="G118" s="2" t="str">
        <f t="shared" si="4"/>
        <v>Pass</v>
      </c>
      <c r="Y118" s="2">
        <v>103</v>
      </c>
      <c r="Z118" s="2">
        <v>0.33229999999999998</v>
      </c>
      <c r="AA118" s="2">
        <v>0.34970000000000001</v>
      </c>
      <c r="AB118" s="2">
        <v>19.211099999999998</v>
      </c>
    </row>
    <row r="119" spans="2:28" x14ac:dyDescent="0.4">
      <c r="B119" s="11">
        <v>102</v>
      </c>
      <c r="C119" s="16">
        <f t="shared" si="5"/>
        <v>16.68865541695066</v>
      </c>
      <c r="D119" s="17">
        <f t="shared" si="7"/>
        <v>18.542950463278512</v>
      </c>
      <c r="E119" s="17">
        <f t="shared" si="6"/>
        <v>20.397245509606364</v>
      </c>
      <c r="F119" s="2">
        <v>18.814299999999999</v>
      </c>
      <c r="G119" s="2" t="str">
        <f t="shared" si="4"/>
        <v>Pass</v>
      </c>
      <c r="Y119" s="2">
        <v>104</v>
      </c>
      <c r="Z119" s="2">
        <v>0.33350000000000002</v>
      </c>
      <c r="AA119" s="2">
        <v>0.35110000000000002</v>
      </c>
      <c r="AB119" s="2">
        <v>19.4148</v>
      </c>
    </row>
    <row r="120" spans="2:28" x14ac:dyDescent="0.4">
      <c r="B120" s="11">
        <v>103</v>
      </c>
      <c r="C120" s="16">
        <f t="shared" si="5"/>
        <v>17.116356349113477</v>
      </c>
      <c r="D120" s="17">
        <f t="shared" si="7"/>
        <v>19.018173721237197</v>
      </c>
      <c r="E120" s="17">
        <f t="shared" si="6"/>
        <v>20.919991093360917</v>
      </c>
      <c r="F120" s="2">
        <v>19.211099999999998</v>
      </c>
      <c r="G120" s="2" t="str">
        <f t="shared" si="4"/>
        <v>Pass</v>
      </c>
      <c r="Y120" s="2">
        <v>105</v>
      </c>
      <c r="Z120" s="2">
        <v>0.3337</v>
      </c>
      <c r="AA120" s="2">
        <v>0.35020000000000001</v>
      </c>
      <c r="AB120" s="2">
        <v>20.005199999999999</v>
      </c>
    </row>
    <row r="121" spans="2:28" x14ac:dyDescent="0.4">
      <c r="B121" s="11">
        <v>104</v>
      </c>
      <c r="C121" s="16">
        <f t="shared" si="5"/>
        <v>17.550737000483252</v>
      </c>
      <c r="D121" s="17">
        <f t="shared" si="7"/>
        <v>19.500818889425837</v>
      </c>
      <c r="E121" s="17">
        <f t="shared" si="6"/>
        <v>21.450900778368421</v>
      </c>
      <c r="F121" s="2">
        <v>19.4148</v>
      </c>
      <c r="G121" s="2" t="str">
        <f t="shared" si="4"/>
        <v>Pass</v>
      </c>
      <c r="Y121" s="2">
        <v>106</v>
      </c>
      <c r="Z121" s="2">
        <v>0.33260000000000001</v>
      </c>
      <c r="AA121" s="2">
        <v>0.34849999999999998</v>
      </c>
      <c r="AB121" s="2">
        <v>20.423200000000001</v>
      </c>
    </row>
    <row r="122" spans="2:28" x14ac:dyDescent="0.4">
      <c r="B122" s="11">
        <v>105</v>
      </c>
      <c r="C122" s="16">
        <f t="shared" si="5"/>
        <v>17.991836114754413</v>
      </c>
      <c r="D122" s="17">
        <f t="shared" si="7"/>
        <v>19.990929016393792</v>
      </c>
      <c r="E122" s="17">
        <f t="shared" si="6"/>
        <v>21.990021918033172</v>
      </c>
      <c r="F122" s="2">
        <v>20.005199999999999</v>
      </c>
      <c r="G122" s="2" t="str">
        <f t="shared" si="4"/>
        <v>Pass</v>
      </c>
      <c r="Y122" s="2">
        <v>107</v>
      </c>
      <c r="Z122" s="2">
        <v>0.33200000000000002</v>
      </c>
      <c r="AA122" s="2">
        <v>0.34820000000000001</v>
      </c>
      <c r="AB122" s="2">
        <v>20.9559</v>
      </c>
    </row>
    <row r="123" spans="2:28" x14ac:dyDescent="0.4">
      <c r="B123" s="11">
        <v>106</v>
      </c>
      <c r="C123" s="16">
        <f t="shared" si="5"/>
        <v>18.439692287237616</v>
      </c>
      <c r="D123" s="17">
        <f t="shared" si="7"/>
        <v>20.488546985819575</v>
      </c>
      <c r="E123" s="17">
        <f t="shared" si="6"/>
        <v>22.537401684401534</v>
      </c>
      <c r="F123" s="2">
        <v>20.423200000000001</v>
      </c>
      <c r="G123" s="2" t="str">
        <f t="shared" si="4"/>
        <v>Pass</v>
      </c>
      <c r="Y123" s="2">
        <v>108</v>
      </c>
      <c r="Z123" s="2">
        <v>0.33229999999999998</v>
      </c>
      <c r="AA123" s="2">
        <v>0.34760000000000002</v>
      </c>
      <c r="AB123" s="2">
        <v>21.643000000000001</v>
      </c>
    </row>
    <row r="124" spans="2:28" x14ac:dyDescent="0.4">
      <c r="B124" s="11">
        <v>107</v>
      </c>
      <c r="C124" s="16">
        <f t="shared" si="5"/>
        <v>18.894343966829986</v>
      </c>
      <c r="D124" s="17">
        <f t="shared" si="7"/>
        <v>20.993715518699986</v>
      </c>
      <c r="E124" s="17">
        <f t="shared" si="6"/>
        <v>23.093087070569986</v>
      </c>
      <c r="F124" s="2">
        <v>20.9559</v>
      </c>
      <c r="G124" s="2" t="str">
        <f t="shared" si="4"/>
        <v>Pass</v>
      </c>
      <c r="Y124" s="2">
        <v>109</v>
      </c>
      <c r="Z124" s="2">
        <v>0.33400000000000002</v>
      </c>
      <c r="AA124" s="2">
        <v>0.34860000000000002</v>
      </c>
      <c r="AB124" s="2">
        <v>22.136500000000002</v>
      </c>
    </row>
    <row r="125" spans="2:28" x14ac:dyDescent="0.4">
      <c r="B125" s="11">
        <v>108</v>
      </c>
      <c r="C125" s="16">
        <f t="shared" si="5"/>
        <v>19.355829457940871</v>
      </c>
      <c r="D125" s="17">
        <f t="shared" si="7"/>
        <v>21.506477175489856</v>
      </c>
      <c r="E125" s="17">
        <f t="shared" si="6"/>
        <v>23.657124893038841</v>
      </c>
      <c r="F125" s="2">
        <v>21.643000000000001</v>
      </c>
      <c r="G125" s="2" t="str">
        <f t="shared" si="4"/>
        <v>Pass</v>
      </c>
      <c r="Y125" s="2">
        <v>110</v>
      </c>
      <c r="Z125" s="2">
        <v>0.33310000000000001</v>
      </c>
      <c r="AA125" s="2">
        <v>0.34889999999999999</v>
      </c>
      <c r="AB125" s="2">
        <v>22.876100000000001</v>
      </c>
    </row>
    <row r="126" spans="2:28" x14ac:dyDescent="0.4">
      <c r="B126" s="11">
        <v>109</v>
      </c>
      <c r="C126" s="16">
        <f t="shared" si="5"/>
        <v>19.824186922374608</v>
      </c>
      <c r="D126" s="17">
        <f t="shared" si="7"/>
        <v>22.026874358194007</v>
      </c>
      <c r="E126" s="17">
        <f t="shared" si="6"/>
        <v>24.229561794013406</v>
      </c>
      <c r="F126" s="2">
        <v>22.136500000000002</v>
      </c>
      <c r="G126" s="2" t="str">
        <f t="shared" si="4"/>
        <v>Pass</v>
      </c>
      <c r="Y126" s="2">
        <v>111</v>
      </c>
      <c r="Z126" s="2">
        <v>0.33300000000000002</v>
      </c>
      <c r="AA126" s="2">
        <v>0.34870000000000001</v>
      </c>
      <c r="AB126" s="2">
        <v>23.400500000000001</v>
      </c>
    </row>
    <row r="127" spans="2:28" x14ac:dyDescent="0.4">
      <c r="B127" s="11">
        <v>110</v>
      </c>
      <c r="C127" s="16">
        <f t="shared" si="5"/>
        <v>20.299454381171667</v>
      </c>
      <c r="D127" s="17">
        <f t="shared" si="7"/>
        <v>22.554949312412965</v>
      </c>
      <c r="E127" s="17">
        <f t="shared" si="6"/>
        <v>24.810444243654263</v>
      </c>
      <c r="F127" s="2">
        <v>22.876100000000001</v>
      </c>
      <c r="G127" s="2" t="str">
        <f t="shared" si="4"/>
        <v>Pass</v>
      </c>
      <c r="Y127" s="2">
        <v>112</v>
      </c>
      <c r="Z127" s="2">
        <v>0.33300000000000002</v>
      </c>
      <c r="AA127" s="2">
        <v>0.34860000000000002</v>
      </c>
      <c r="AB127" s="2">
        <v>23.8263</v>
      </c>
    </row>
    <row r="128" spans="2:28" x14ac:dyDescent="0.4">
      <c r="B128" s="11">
        <v>111</v>
      </c>
      <c r="C128" s="16">
        <f t="shared" si="5"/>
        <v>20.781669716409297</v>
      </c>
      <c r="D128" s="17">
        <f t="shared" si="7"/>
        <v>23.090744129343662</v>
      </c>
      <c r="E128" s="17">
        <f t="shared" si="6"/>
        <v>25.399818542278027</v>
      </c>
      <c r="F128" s="2">
        <v>23.400500000000001</v>
      </c>
      <c r="G128" s="2" t="str">
        <f t="shared" si="4"/>
        <v>Pass</v>
      </c>
      <c r="Y128" s="2">
        <v>113</v>
      </c>
      <c r="Z128" s="2">
        <v>0.33310000000000001</v>
      </c>
      <c r="AA128" s="2">
        <v>0.34610000000000002</v>
      </c>
      <c r="AB128" s="2">
        <v>24.019200000000001</v>
      </c>
    </row>
    <row r="129" spans="2:28" x14ac:dyDescent="0.4">
      <c r="B129" s="11">
        <v>112</v>
      </c>
      <c r="C129" s="16">
        <f t="shared" si="5"/>
        <v>21.270870672963184</v>
      </c>
      <c r="D129" s="17">
        <f t="shared" si="7"/>
        <v>23.634300747736869</v>
      </c>
      <c r="E129" s="17">
        <f t="shared" si="6"/>
        <v>25.997730822510555</v>
      </c>
      <c r="F129" s="2">
        <v>23.8263</v>
      </c>
      <c r="G129" s="2" t="str">
        <f t="shared" si="4"/>
        <v>Pass</v>
      </c>
      <c r="Y129" s="2">
        <v>114</v>
      </c>
      <c r="Z129" s="2">
        <v>0.33429999999999999</v>
      </c>
      <c r="AA129" s="2">
        <v>0.34910000000000002</v>
      </c>
      <c r="AB129" s="2">
        <v>24.742100000000001</v>
      </c>
    </row>
    <row r="130" spans="2:28" x14ac:dyDescent="0.4">
      <c r="B130" s="11">
        <v>113</v>
      </c>
      <c r="C130" s="16">
        <f t="shared" si="5"/>
        <v>21.767094860231051</v>
      </c>
      <c r="D130" s="17">
        <f t="shared" si="7"/>
        <v>24.185660955812278</v>
      </c>
      <c r="E130" s="17">
        <f t="shared" si="6"/>
        <v>26.604227051393504</v>
      </c>
      <c r="F130" s="2">
        <v>24.019200000000001</v>
      </c>
      <c r="G130" s="2" t="str">
        <f t="shared" si="4"/>
        <v>Pass</v>
      </c>
      <c r="Y130" s="2">
        <v>115</v>
      </c>
      <c r="Z130" s="2">
        <v>0.33410000000000001</v>
      </c>
      <c r="AA130" s="2">
        <v>0.34910000000000002</v>
      </c>
      <c r="AB130" s="2">
        <v>25.288599999999999</v>
      </c>
    </row>
    <row r="131" spans="2:28" x14ac:dyDescent="0.4">
      <c r="B131" s="11">
        <v>114</v>
      </c>
      <c r="C131" s="16">
        <f t="shared" si="5"/>
        <v>22.270379753819547</v>
      </c>
      <c r="D131" s="17">
        <f t="shared" si="7"/>
        <v>24.744866393132831</v>
      </c>
      <c r="E131" s="17">
        <f t="shared" si="6"/>
        <v>27.219353032446115</v>
      </c>
      <c r="F131" s="2">
        <v>24.742100000000001</v>
      </c>
      <c r="G131" s="2" t="str">
        <f t="shared" si="4"/>
        <v>Pass</v>
      </c>
      <c r="Y131" s="2">
        <v>116</v>
      </c>
      <c r="Z131" s="2">
        <v>0.33360000000000001</v>
      </c>
      <c r="AA131" s="2">
        <v>0.34910000000000002</v>
      </c>
      <c r="AB131" s="2">
        <v>25.756399999999999</v>
      </c>
    </row>
    <row r="132" spans="2:28" x14ac:dyDescent="0.4">
      <c r="B132" s="11">
        <v>115</v>
      </c>
      <c r="C132" s="16">
        <f t="shared" si="5"/>
        <v>22.780762697195364</v>
      </c>
      <c r="D132" s="17">
        <f t="shared" si="7"/>
        <v>25.311958552439293</v>
      </c>
      <c r="E132" s="17">
        <f t="shared" si="6"/>
        <v>27.843154407683222</v>
      </c>
      <c r="F132" s="2">
        <v>25.288599999999999</v>
      </c>
      <c r="G132" s="2" t="str">
        <f t="shared" si="4"/>
        <v>Pass</v>
      </c>
      <c r="Y132" s="2">
        <v>117</v>
      </c>
      <c r="Z132" s="2">
        <v>0.33339999999999997</v>
      </c>
      <c r="AA132" s="2">
        <v>0.34889999999999999</v>
      </c>
      <c r="AB132" s="2">
        <v>26.537500000000001</v>
      </c>
    </row>
    <row r="133" spans="2:28" x14ac:dyDescent="0.4">
      <c r="B133" s="11">
        <v>116</v>
      </c>
      <c r="C133" s="16">
        <f t="shared" si="5"/>
        <v>23.298280903301819</v>
      </c>
      <c r="D133" s="17">
        <f t="shared" si="7"/>
        <v>25.886978781446466</v>
      </c>
      <c r="E133" s="17">
        <f t="shared" si="6"/>
        <v>28.475676659591112</v>
      </c>
      <c r="F133" s="2">
        <v>25.756399999999999</v>
      </c>
      <c r="G133" s="2" t="str">
        <f t="shared" si="4"/>
        <v>Pass</v>
      </c>
      <c r="Y133" s="2">
        <v>118</v>
      </c>
      <c r="Z133" s="2">
        <v>0.3332</v>
      </c>
      <c r="AA133" s="2">
        <v>0.34849999999999998</v>
      </c>
      <c r="AB133" s="2">
        <v>27.129000000000001</v>
      </c>
    </row>
    <row r="134" spans="2:28" x14ac:dyDescent="0.4">
      <c r="B134" s="11">
        <v>117</v>
      </c>
      <c r="C134" s="16">
        <f t="shared" si="5"/>
        <v>23.822971456141783</v>
      </c>
      <c r="D134" s="17">
        <f t="shared" si="7"/>
        <v>26.469968284601983</v>
      </c>
      <c r="E134" s="17">
        <f t="shared" si="6"/>
        <v>29.116965113062182</v>
      </c>
      <c r="F134" s="2">
        <v>26.537500000000001</v>
      </c>
      <c r="G134" s="2" t="str">
        <f t="shared" si="4"/>
        <v>Pass</v>
      </c>
      <c r="Y134" s="2">
        <v>119</v>
      </c>
      <c r="Z134" s="2">
        <v>0.33439999999999998</v>
      </c>
      <c r="AA134" s="2">
        <v>0.35149999999999998</v>
      </c>
      <c r="AB134" s="2">
        <v>27.710799999999999</v>
      </c>
    </row>
    <row r="135" spans="2:28" x14ac:dyDescent="0.4">
      <c r="B135" s="11">
        <v>118</v>
      </c>
      <c r="C135" s="16">
        <f t="shared" si="5"/>
        <v>24.354871312327994</v>
      </c>
      <c r="D135" s="17">
        <f t="shared" si="7"/>
        <v>27.06096812480888</v>
      </c>
      <c r="E135" s="17">
        <f t="shared" si="6"/>
        <v>29.767064937289767</v>
      </c>
      <c r="F135" s="2">
        <v>27.129000000000001</v>
      </c>
      <c r="G135" s="2" t="str">
        <f t="shared" si="4"/>
        <v>Pass</v>
      </c>
      <c r="Y135" s="2">
        <v>120</v>
      </c>
      <c r="Z135" s="2">
        <v>0.3342</v>
      </c>
      <c r="AA135" s="2">
        <v>0.35139999999999999</v>
      </c>
      <c r="AB135" s="2">
        <v>28.454999999999998</v>
      </c>
    </row>
    <row r="136" spans="2:28" x14ac:dyDescent="0.4">
      <c r="B136" s="11">
        <v>119</v>
      </c>
      <c r="C136" s="16">
        <f t="shared" si="5"/>
        <v>24.894017302601569</v>
      </c>
      <c r="D136" s="17">
        <f t="shared" si="7"/>
        <v>27.660019225112855</v>
      </c>
      <c r="E136" s="17">
        <f t="shared" si="6"/>
        <v>30.426021147624141</v>
      </c>
      <c r="F136" s="2">
        <v>27.710799999999999</v>
      </c>
      <c r="G136" s="2" t="str">
        <f t="shared" si="4"/>
        <v>Pass</v>
      </c>
      <c r="Y136" s="2">
        <v>121</v>
      </c>
      <c r="Z136" s="2">
        <v>0.33389999999999997</v>
      </c>
      <c r="AA136" s="2">
        <v>0.35099999999999998</v>
      </c>
      <c r="AB136" s="2">
        <v>28.9754</v>
      </c>
    </row>
    <row r="137" spans="2:28" x14ac:dyDescent="0.4">
      <c r="B137" s="11">
        <v>120</v>
      </c>
      <c r="C137" s="16">
        <f t="shared" si="5"/>
        <v>25.440446133320027</v>
      </c>
      <c r="D137" s="17">
        <f t="shared" si="7"/>
        <v>28.267162370355585</v>
      </c>
      <c r="E137" s="17">
        <f t="shared" si="6"/>
        <v>31.093878607391144</v>
      </c>
      <c r="F137" s="2">
        <v>28.454999999999998</v>
      </c>
      <c r="G137" s="2" t="str">
        <f t="shared" si="4"/>
        <v>Pass</v>
      </c>
      <c r="Y137" s="2">
        <v>122</v>
      </c>
      <c r="Z137" s="2">
        <v>0.3337</v>
      </c>
      <c r="AA137" s="2">
        <v>0.3508</v>
      </c>
      <c r="AB137" s="2">
        <v>29.756399999999999</v>
      </c>
    </row>
    <row r="138" spans="2:28" x14ac:dyDescent="0.4">
      <c r="B138" s="11">
        <v>121</v>
      </c>
      <c r="C138" s="16">
        <f t="shared" si="5"/>
        <v>25.994194387915076</v>
      </c>
      <c r="D138" s="17">
        <f t="shared" si="7"/>
        <v>28.882438208794529</v>
      </c>
      <c r="E138" s="17">
        <f t="shared" si="6"/>
        <v>31.770682029673981</v>
      </c>
      <c r="F138" s="2">
        <v>28.9754</v>
      </c>
      <c r="G138" s="2" t="str">
        <f t="shared" si="4"/>
        <v>Pass</v>
      </c>
      <c r="Y138" s="2">
        <v>123</v>
      </c>
      <c r="Z138" s="2">
        <v>0.33350000000000002</v>
      </c>
      <c r="AA138" s="2">
        <v>0.35049999999999998</v>
      </c>
      <c r="AB138" s="2">
        <v>30.371600000000001</v>
      </c>
    </row>
    <row r="139" spans="2:28" x14ac:dyDescent="0.4">
      <c r="B139" s="11">
        <v>122</v>
      </c>
      <c r="C139" s="16">
        <f t="shared" si="5"/>
        <v>26.555298528321625</v>
      </c>
      <c r="D139" s="17">
        <f t="shared" si="7"/>
        <v>29.505887253690695</v>
      </c>
      <c r="E139" s="17">
        <f t="shared" si="6"/>
        <v>32.456475979059761</v>
      </c>
      <c r="F139" s="2">
        <v>29.756399999999999</v>
      </c>
      <c r="G139" s="2" t="str">
        <f t="shared" si="4"/>
        <v>Pass</v>
      </c>
      <c r="Y139" s="2">
        <v>124</v>
      </c>
      <c r="Z139" s="2">
        <v>0.33389999999999997</v>
      </c>
      <c r="AA139" s="2">
        <v>0.3518</v>
      </c>
      <c r="AB139" s="2">
        <v>31.023399999999999</v>
      </c>
    </row>
    <row r="140" spans="2:28" x14ac:dyDescent="0.4">
      <c r="B140" s="11">
        <v>123</v>
      </c>
      <c r="C140" s="16">
        <f t="shared" si="5"/>
        <v>27.123794896378357</v>
      </c>
      <c r="D140" s="17">
        <f t="shared" si="7"/>
        <v>30.137549884864843</v>
      </c>
      <c r="E140" s="17">
        <f t="shared" si="6"/>
        <v>33.151304873351329</v>
      </c>
      <c r="F140" s="2">
        <v>30.371600000000001</v>
      </c>
      <c r="G140" s="2" t="str">
        <f t="shared" si="4"/>
        <v>Pass</v>
      </c>
      <c r="Y140" s="2">
        <v>125</v>
      </c>
      <c r="Z140" s="2">
        <v>0.33460000000000001</v>
      </c>
      <c r="AA140" s="2">
        <v>0.3493</v>
      </c>
      <c r="AB140" s="2">
        <v>31.1907</v>
      </c>
    </row>
    <row r="141" spans="2:28" x14ac:dyDescent="0.4">
      <c r="B141" s="11">
        <v>124</v>
      </c>
      <c r="C141" s="16">
        <f t="shared" si="5"/>
        <v>27.699719715200992</v>
      </c>
      <c r="D141" s="17">
        <f t="shared" si="7"/>
        <v>30.777466350223325</v>
      </c>
      <c r="E141" s="17">
        <f t="shared" si="6"/>
        <v>33.855212985245657</v>
      </c>
      <c r="F141" s="2">
        <v>31.023399999999999</v>
      </c>
      <c r="G141" s="2" t="str">
        <f t="shared" si="4"/>
        <v>Pass</v>
      </c>
      <c r="Y141" s="2">
        <v>126</v>
      </c>
      <c r="Z141" s="2">
        <v>0.33439999999999998</v>
      </c>
      <c r="AA141" s="2">
        <v>0.3488</v>
      </c>
      <c r="AB141" s="2">
        <v>32.0242</v>
      </c>
    </row>
    <row r="142" spans="2:28" x14ac:dyDescent="0.4">
      <c r="B142" s="11">
        <v>125</v>
      </c>
      <c r="C142" s="16">
        <f t="shared" si="5"/>
        <v>28.283109090528729</v>
      </c>
      <c r="D142" s="17">
        <f t="shared" si="7"/>
        <v>31.425676767254142</v>
      </c>
      <c r="E142" s="17">
        <f t="shared" si="6"/>
        <v>34.568244443979559</v>
      </c>
      <c r="F142" s="2">
        <v>31.1907</v>
      </c>
      <c r="G142" s="2" t="str">
        <f t="shared" si="4"/>
        <v>Pass</v>
      </c>
      <c r="Y142" s="2">
        <v>127</v>
      </c>
      <c r="Z142" s="2">
        <v>0.33429999999999999</v>
      </c>
      <c r="AA142" s="2">
        <v>0.34849999999999998</v>
      </c>
      <c r="AB142" s="2">
        <v>32.601300000000002</v>
      </c>
    </row>
    <row r="143" spans="2:28" x14ac:dyDescent="0.4">
      <c r="B143" s="11">
        <v>126</v>
      </c>
      <c r="C143" s="16">
        <f t="shared" si="5"/>
        <v>28.873999012044859</v>
      </c>
      <c r="D143" s="17">
        <f t="shared" si="7"/>
        <v>32.082221124494289</v>
      </c>
      <c r="E143" s="17">
        <f t="shared" si="6"/>
        <v>35.290443236943716</v>
      </c>
      <c r="F143" s="2">
        <v>32.0242</v>
      </c>
      <c r="G143" s="2" t="str">
        <f t="shared" si="4"/>
        <v>Pass</v>
      </c>
      <c r="Y143" s="2">
        <v>128</v>
      </c>
      <c r="Z143" s="2">
        <v>0.3342</v>
      </c>
      <c r="AA143" s="2">
        <v>0.34839999999999999</v>
      </c>
      <c r="AB143" s="2">
        <v>33.4191</v>
      </c>
    </row>
    <row r="144" spans="2:28" x14ac:dyDescent="0.4">
      <c r="B144" s="11">
        <v>127</v>
      </c>
      <c r="C144" s="16">
        <f t="shared" si="5"/>
        <v>29.472425354671923</v>
      </c>
      <c r="D144" s="17">
        <f t="shared" si="7"/>
        <v>32.747139282968803</v>
      </c>
      <c r="E144" s="17">
        <f t="shared" si="6"/>
        <v>36.021853211265686</v>
      </c>
      <c r="F144" s="2">
        <v>32.601300000000002</v>
      </c>
      <c r="G144" s="2" t="str">
        <f t="shared" si="4"/>
        <v>Pass</v>
      </c>
      <c r="Y144" s="2">
        <v>129</v>
      </c>
      <c r="Z144" s="2">
        <v>0.33389999999999997</v>
      </c>
      <c r="AA144" s="2">
        <v>0.34799999999999998</v>
      </c>
      <c r="AB144" s="2">
        <v>34.016100000000002</v>
      </c>
    </row>
    <row r="145" spans="2:28" x14ac:dyDescent="0.4">
      <c r="B145" s="11">
        <v>128</v>
      </c>
      <c r="C145" s="16">
        <f t="shared" si="5"/>
        <v>30.078423879842504</v>
      </c>
      <c r="D145" s="17">
        <f t="shared" si="7"/>
        <v>33.420470977602783</v>
      </c>
      <c r="E145" s="17">
        <f t="shared" si="6"/>
        <v>36.762518075363062</v>
      </c>
      <c r="F145" s="2">
        <v>33.4191</v>
      </c>
      <c r="G145" s="2" t="str">
        <f t="shared" ref="G145:G208" si="8">IF(F145&lt;=C145,"Fail",IF(AND(C145&lt;F145,F145&lt;E145),"Pass",IF(E145&lt;=F145,"Fail")))</f>
        <v>Pass</v>
      </c>
      <c r="Y145" s="2">
        <v>130</v>
      </c>
      <c r="Z145" s="2">
        <v>0.33500000000000002</v>
      </c>
      <c r="AA145" s="2">
        <v>0.3508</v>
      </c>
      <c r="AB145" s="2">
        <v>34.636099999999999</v>
      </c>
    </row>
    <row r="146" spans="2:28" x14ac:dyDescent="0.4">
      <c r="B146" s="11">
        <v>129</v>
      </c>
      <c r="C146" s="16">
        <f t="shared" ref="C146:C209" si="9">D146-D146*(C$14/100)</f>
        <v>30.692030236745882</v>
      </c>
      <c r="D146" s="17">
        <f t="shared" si="7"/>
        <v>34.102255818606537</v>
      </c>
      <c r="E146" s="17">
        <f t="shared" ref="E146:E209" si="10">D146+D146*(C$14/100)</f>
        <v>37.512481400467188</v>
      </c>
      <c r="F146" s="2">
        <v>34.016100000000002</v>
      </c>
      <c r="G146" s="2" t="str">
        <f t="shared" si="8"/>
        <v>Pass</v>
      </c>
      <c r="Y146" s="2">
        <v>131</v>
      </c>
      <c r="Z146" s="2">
        <v>0.33460000000000001</v>
      </c>
      <c r="AA146" s="2">
        <v>0.35070000000000001</v>
      </c>
      <c r="AB146" s="2">
        <v>35.585900000000002</v>
      </c>
    </row>
    <row r="147" spans="2:28" x14ac:dyDescent="0.4">
      <c r="B147" s="11">
        <v>130</v>
      </c>
      <c r="C147" s="16">
        <f t="shared" si="9"/>
        <v>31.313279963551555</v>
      </c>
      <c r="D147" s="17">
        <f t="shared" ref="D147:D210" si="11">D$272*((B147+F$17)/B$272)^C$13</f>
        <v>34.79253329283506</v>
      </c>
      <c r="E147" s="17">
        <f t="shared" si="10"/>
        <v>38.271786622118569</v>
      </c>
      <c r="F147" s="2">
        <v>34.636099999999999</v>
      </c>
      <c r="G147" s="2" t="str">
        <f t="shared" si="8"/>
        <v>Pass</v>
      </c>
      <c r="Y147" s="2">
        <v>132</v>
      </c>
      <c r="Z147" s="2">
        <v>0.33439999999999998</v>
      </c>
      <c r="AA147" s="2">
        <v>0.35049999999999998</v>
      </c>
      <c r="AB147" s="2">
        <v>36.268500000000003</v>
      </c>
    </row>
    <row r="148" spans="2:28" x14ac:dyDescent="0.4">
      <c r="B148" s="11">
        <v>131</v>
      </c>
      <c r="C148" s="16">
        <f t="shared" si="9"/>
        <v>31.942208488609946</v>
      </c>
      <c r="D148" s="17">
        <f t="shared" si="11"/>
        <v>35.491342765122162</v>
      </c>
      <c r="E148" s="17">
        <f t="shared" si="10"/>
        <v>39.040477041634375</v>
      </c>
      <c r="F148" s="2">
        <v>35.585900000000002</v>
      </c>
      <c r="G148" s="2" t="str">
        <f t="shared" si="8"/>
        <v>Pass</v>
      </c>
      <c r="Y148" s="2">
        <v>133</v>
      </c>
      <c r="Z148" s="2">
        <v>0.33389999999999997</v>
      </c>
      <c r="AA148" s="2">
        <v>0.35010000000000002</v>
      </c>
      <c r="AB148" s="2">
        <v>37.213200000000001</v>
      </c>
    </row>
    <row r="149" spans="2:28" x14ac:dyDescent="0.4">
      <c r="B149" s="11">
        <v>132</v>
      </c>
      <c r="C149" s="16">
        <f t="shared" si="9"/>
        <v>32.578851131631204</v>
      </c>
      <c r="D149" s="17">
        <f t="shared" si="11"/>
        <v>36.198723479590228</v>
      </c>
      <c r="E149" s="17">
        <f t="shared" si="10"/>
        <v>39.818595827549252</v>
      </c>
      <c r="F149" s="2">
        <v>36.268500000000003</v>
      </c>
      <c r="G149" s="2" t="str">
        <f t="shared" si="8"/>
        <v>Pass</v>
      </c>
      <c r="Y149" s="2">
        <v>134</v>
      </c>
      <c r="Z149" s="2">
        <v>0.33339999999999997</v>
      </c>
      <c r="AA149" s="2">
        <v>0.34889999999999999</v>
      </c>
      <c r="AB149" s="2">
        <v>37.892000000000003</v>
      </c>
    </row>
    <row r="150" spans="2:28" x14ac:dyDescent="0.4">
      <c r="B150" s="11">
        <v>133</v>
      </c>
      <c r="C150" s="16">
        <f t="shared" si="9"/>
        <v>33.223243104842112</v>
      </c>
      <c r="D150" s="17">
        <f t="shared" si="11"/>
        <v>36.914714560935678</v>
      </c>
      <c r="E150" s="17">
        <f t="shared" si="10"/>
        <v>40.606186017029245</v>
      </c>
      <c r="F150" s="2">
        <v>37.213200000000001</v>
      </c>
      <c r="G150" s="2" t="str">
        <f t="shared" si="8"/>
        <v>Pass</v>
      </c>
      <c r="Y150" s="2">
        <v>135</v>
      </c>
      <c r="Z150" s="2">
        <v>0.33400000000000002</v>
      </c>
      <c r="AA150" s="2">
        <v>0.35010000000000002</v>
      </c>
      <c r="AB150" s="2">
        <v>38.569400000000002</v>
      </c>
    </row>
    <row r="151" spans="2:28" x14ac:dyDescent="0.4">
      <c r="B151" s="11">
        <v>134</v>
      </c>
      <c r="C151" s="16">
        <f t="shared" si="9"/>
        <v>33.875419514122527</v>
      </c>
      <c r="D151" s="17">
        <f t="shared" si="11"/>
        <v>37.639355015691699</v>
      </c>
      <c r="E151" s="17">
        <f t="shared" si="10"/>
        <v>41.403290517260871</v>
      </c>
      <c r="F151" s="2">
        <v>37.892000000000003</v>
      </c>
      <c r="G151" s="2" t="str">
        <f t="shared" si="8"/>
        <v>Pass</v>
      </c>
      <c r="Y151" s="2">
        <v>136</v>
      </c>
      <c r="Z151" s="2">
        <v>0.33400000000000002</v>
      </c>
      <c r="AA151" s="2">
        <v>0.34970000000000001</v>
      </c>
      <c r="AB151" s="2">
        <v>39.411499999999997</v>
      </c>
    </row>
    <row r="152" spans="2:28" x14ac:dyDescent="0.4">
      <c r="B152" s="11">
        <v>135</v>
      </c>
      <c r="C152" s="16">
        <f t="shared" si="9"/>
        <v>34.535415360121</v>
      </c>
      <c r="D152" s="17">
        <f t="shared" si="11"/>
        <v>38.372683733467781</v>
      </c>
      <c r="E152" s="17">
        <f t="shared" si="10"/>
        <v>42.209952106814562</v>
      </c>
      <c r="F152" s="2">
        <v>38.569400000000002</v>
      </c>
      <c r="G152" s="2" t="str">
        <f t="shared" si="8"/>
        <v>Pass</v>
      </c>
      <c r="Y152" s="2">
        <v>137</v>
      </c>
      <c r="Z152" s="2">
        <v>0.33439999999999998</v>
      </c>
      <c r="AA152" s="2">
        <v>0.34899999999999998</v>
      </c>
      <c r="AB152" s="2">
        <v>39.963200000000001</v>
      </c>
    </row>
    <row r="153" spans="2:28" x14ac:dyDescent="0.4">
      <c r="B153" s="11">
        <v>136</v>
      </c>
      <c r="C153" s="16">
        <f t="shared" si="9"/>
        <v>35.203265539350632</v>
      </c>
      <c r="D153" s="17">
        <f t="shared" si="11"/>
        <v>39.114739488167366</v>
      </c>
      <c r="E153" s="17">
        <f t="shared" si="10"/>
        <v>43.026213436984101</v>
      </c>
      <c r="F153" s="2">
        <v>39.411499999999997</v>
      </c>
      <c r="G153" s="2" t="str">
        <f t="shared" si="8"/>
        <v>Pass</v>
      </c>
      <c r="Y153" s="2">
        <v>138</v>
      </c>
      <c r="Z153" s="2">
        <v>0.3332</v>
      </c>
      <c r="AA153" s="2">
        <v>0.34939999999999999</v>
      </c>
      <c r="AB153" s="2">
        <v>40.972700000000003</v>
      </c>
    </row>
    <row r="154" spans="2:28" x14ac:dyDescent="0.4">
      <c r="B154" s="11">
        <v>137</v>
      </c>
      <c r="C154" s="16">
        <f t="shared" si="9"/>
        <v>35.879004845265449</v>
      </c>
      <c r="D154" s="17">
        <f t="shared" si="11"/>
        <v>39.86556093918383</v>
      </c>
      <c r="E154" s="17">
        <f t="shared" si="10"/>
        <v>43.852117033102211</v>
      </c>
      <c r="F154" s="2">
        <v>39.963200000000001</v>
      </c>
      <c r="G154" s="2" t="str">
        <f t="shared" si="8"/>
        <v>Pass</v>
      </c>
      <c r="Y154" s="2">
        <v>139</v>
      </c>
      <c r="Z154" s="2">
        <v>0.33300000000000002</v>
      </c>
      <c r="AA154" s="2">
        <v>0.34939999999999999</v>
      </c>
      <c r="AB154" s="2">
        <v>41.743600000000001</v>
      </c>
    </row>
    <row r="155" spans="2:28" x14ac:dyDescent="0.4">
      <c r="B155" s="11">
        <v>138</v>
      </c>
      <c r="C155" s="16">
        <f t="shared" si="9"/>
        <v>36.562667969317914</v>
      </c>
      <c r="D155" s="17">
        <f t="shared" si="11"/>
        <v>40.625186632575456</v>
      </c>
      <c r="E155" s="17">
        <f t="shared" si="10"/>
        <v>44.687705295832998</v>
      </c>
      <c r="F155" s="2">
        <v>40.972700000000003</v>
      </c>
      <c r="G155" s="2" t="str">
        <f t="shared" si="8"/>
        <v>Pass</v>
      </c>
      <c r="Y155" s="2">
        <v>140</v>
      </c>
      <c r="Z155" s="2">
        <v>0.33489999999999998</v>
      </c>
      <c r="AA155" s="2">
        <v>0.34989999999999999</v>
      </c>
      <c r="AB155" s="2">
        <v>41.962400000000002</v>
      </c>
    </row>
    <row r="156" spans="2:28" x14ac:dyDescent="0.4">
      <c r="B156" s="11">
        <v>139</v>
      </c>
      <c r="C156" s="16">
        <f t="shared" si="9"/>
        <v>37.254289501997938</v>
      </c>
      <c r="D156" s="17">
        <f t="shared" si="11"/>
        <v>41.39365500221993</v>
      </c>
      <c r="E156" s="17">
        <f t="shared" si="10"/>
        <v>45.533020502441921</v>
      </c>
      <c r="F156" s="2">
        <v>41.743600000000001</v>
      </c>
      <c r="G156" s="2" t="str">
        <f t="shared" si="8"/>
        <v>Pass</v>
      </c>
      <c r="Y156" s="2">
        <v>141</v>
      </c>
      <c r="Z156" s="2">
        <v>0.33460000000000001</v>
      </c>
      <c r="AA156" s="2">
        <v>0.34970000000000001</v>
      </c>
      <c r="AB156" s="2">
        <v>42.667000000000002</v>
      </c>
    </row>
    <row r="157" spans="2:28" x14ac:dyDescent="0.4">
      <c r="B157" s="11">
        <v>140</v>
      </c>
      <c r="C157" s="16">
        <f t="shared" si="9"/>
        <v>37.953903933853908</v>
      </c>
      <c r="D157" s="17">
        <f t="shared" si="11"/>
        <v>42.171004370948786</v>
      </c>
      <c r="E157" s="17">
        <f t="shared" si="10"/>
        <v>46.388104808043664</v>
      </c>
      <c r="F157" s="2">
        <v>41.962400000000002</v>
      </c>
      <c r="G157" s="2" t="str">
        <f t="shared" si="8"/>
        <v>Pass</v>
      </c>
      <c r="Y157" s="2">
        <v>142</v>
      </c>
      <c r="Z157" s="2">
        <v>0.3342</v>
      </c>
      <c r="AA157" s="2">
        <v>0.34939999999999999</v>
      </c>
      <c r="AB157" s="2">
        <v>43.682400000000001</v>
      </c>
    </row>
    <row r="158" spans="2:28" x14ac:dyDescent="0.4">
      <c r="B158" s="11">
        <v>141</v>
      </c>
      <c r="C158" s="16">
        <f t="shared" si="9"/>
        <v>38.661545656495981</v>
      </c>
      <c r="D158" s="17">
        <f t="shared" si="11"/>
        <v>42.957272951662205</v>
      </c>
      <c r="E158" s="17">
        <f t="shared" si="10"/>
        <v>47.253000246828428</v>
      </c>
      <c r="F158" s="2">
        <v>42.667000000000002</v>
      </c>
      <c r="G158" s="2" t="str">
        <f t="shared" si="8"/>
        <v>Pass</v>
      </c>
      <c r="Y158" s="2">
        <v>143</v>
      </c>
      <c r="Z158" s="2">
        <v>0.33400000000000002</v>
      </c>
      <c r="AA158" s="2">
        <v>0.34899999999999998</v>
      </c>
      <c r="AB158" s="2">
        <v>44.408299999999997</v>
      </c>
    </row>
    <row r="159" spans="2:28" x14ac:dyDescent="0.4">
      <c r="B159" s="11">
        <v>142</v>
      </c>
      <c r="C159" s="16">
        <f t="shared" si="9"/>
        <v>39.377248963582531</v>
      </c>
      <c r="D159" s="17">
        <f t="shared" si="11"/>
        <v>43.752498848425034</v>
      </c>
      <c r="E159" s="17">
        <f t="shared" si="10"/>
        <v>48.127748733267538</v>
      </c>
      <c r="F159" s="2">
        <v>43.682400000000001</v>
      </c>
      <c r="G159" s="2" t="str">
        <f t="shared" si="8"/>
        <v>Pass</v>
      </c>
      <c r="Y159" s="2">
        <v>144</v>
      </c>
      <c r="Z159" s="2">
        <v>0.3337</v>
      </c>
      <c r="AA159" s="2">
        <v>0.34870000000000001</v>
      </c>
      <c r="AB159" s="2">
        <v>45.104700000000001</v>
      </c>
    </row>
    <row r="160" spans="2:28" x14ac:dyDescent="0.4">
      <c r="B160" s="11">
        <v>143</v>
      </c>
      <c r="C160" s="16">
        <f t="shared" si="9"/>
        <v>40.101048051789576</v>
      </c>
      <c r="D160" s="17">
        <f t="shared" si="11"/>
        <v>44.556720057543977</v>
      </c>
      <c r="E160" s="17">
        <f t="shared" si="10"/>
        <v>49.012392063298378</v>
      </c>
      <c r="F160" s="2">
        <v>44.408299999999997</v>
      </c>
      <c r="G160" s="2" t="str">
        <f t="shared" si="8"/>
        <v>Pass</v>
      </c>
      <c r="Y160" s="2">
        <v>145</v>
      </c>
      <c r="Z160" s="2">
        <v>0.33329999999999999</v>
      </c>
      <c r="AA160" s="2">
        <v>0.34839999999999999</v>
      </c>
      <c r="AB160" s="2">
        <v>46.135599999999997</v>
      </c>
    </row>
    <row r="161" spans="2:28" x14ac:dyDescent="0.4">
      <c r="B161" s="11">
        <v>144</v>
      </c>
      <c r="C161" s="16">
        <f t="shared" si="9"/>
        <v>40.832977021764037</v>
      </c>
      <c r="D161" s="17">
        <f t="shared" si="11"/>
        <v>45.369974468626708</v>
      </c>
      <c r="E161" s="17">
        <f t="shared" si="10"/>
        <v>49.906971915489379</v>
      </c>
      <c r="F161" s="2">
        <v>45.104700000000001</v>
      </c>
      <c r="G161" s="2" t="str">
        <f t="shared" si="8"/>
        <v>Pass</v>
      </c>
      <c r="Y161" s="2">
        <v>146</v>
      </c>
      <c r="Z161" s="2">
        <v>0.3332</v>
      </c>
      <c r="AA161" s="2">
        <v>0.34799999999999998</v>
      </c>
      <c r="AB161" s="2">
        <v>46.830300000000001</v>
      </c>
    </row>
    <row r="162" spans="2:28" x14ac:dyDescent="0.4">
      <c r="B162" s="11">
        <v>145</v>
      </c>
      <c r="C162" s="16">
        <f t="shared" si="9"/>
        <v>41.573069879060959</v>
      </c>
      <c r="D162" s="17">
        <f t="shared" si="11"/>
        <v>46.192299865623291</v>
      </c>
      <c r="E162" s="17">
        <f t="shared" si="10"/>
        <v>50.811529852185622</v>
      </c>
      <c r="F162" s="2">
        <v>46.135599999999997</v>
      </c>
      <c r="G162" s="2" t="str">
        <f t="shared" si="8"/>
        <v>Pass</v>
      </c>
      <c r="Y162" s="2">
        <v>147</v>
      </c>
      <c r="Z162" s="2">
        <v>0.3342</v>
      </c>
      <c r="AA162" s="2">
        <v>0.35049999999999998</v>
      </c>
      <c r="AB162" s="2">
        <v>47.541699999999999</v>
      </c>
    </row>
    <row r="163" spans="2:28" x14ac:dyDescent="0.4">
      <c r="B163" s="11">
        <v>146</v>
      </c>
      <c r="C163" s="16">
        <f t="shared" si="9"/>
        <v>42.321360535065203</v>
      </c>
      <c r="D163" s="17">
        <f t="shared" si="11"/>
        <v>47.023733927850223</v>
      </c>
      <c r="E163" s="17">
        <f t="shared" si="10"/>
        <v>51.726107320635244</v>
      </c>
      <c r="F163" s="2">
        <v>46.830300000000001</v>
      </c>
      <c r="G163" s="2" t="str">
        <f t="shared" si="8"/>
        <v>Pass</v>
      </c>
      <c r="Y163" s="2">
        <v>148</v>
      </c>
      <c r="Z163" s="2">
        <v>0.33400000000000002</v>
      </c>
      <c r="AA163" s="2">
        <v>0.35020000000000001</v>
      </c>
      <c r="AB163" s="2">
        <v>48.523299999999999</v>
      </c>
    </row>
    <row r="164" spans="2:28" x14ac:dyDescent="0.4">
      <c r="B164" s="11">
        <v>147</v>
      </c>
      <c r="C164" s="16">
        <f t="shared" si="9"/>
        <v>43.077882807897922</v>
      </c>
      <c r="D164" s="17">
        <f t="shared" si="11"/>
        <v>47.864314230997692</v>
      </c>
      <c r="E164" s="17">
        <f t="shared" si="10"/>
        <v>52.650745654097463</v>
      </c>
      <c r="F164" s="2">
        <v>47.541699999999999</v>
      </c>
      <c r="G164" s="2" t="str">
        <f t="shared" si="8"/>
        <v>Pass</v>
      </c>
      <c r="Y164" s="2">
        <v>149</v>
      </c>
      <c r="Z164" s="2">
        <v>0.3337</v>
      </c>
      <c r="AA164" s="2">
        <v>0.35</v>
      </c>
      <c r="AB164" s="2">
        <v>49.381500000000003</v>
      </c>
    </row>
    <row r="165" spans="2:28" x14ac:dyDescent="0.4">
      <c r="B165" s="11">
        <v>148</v>
      </c>
      <c r="C165" s="16">
        <f t="shared" si="9"/>
        <v>43.842670423308242</v>
      </c>
      <c r="D165" s="17">
        <f t="shared" si="11"/>
        <v>48.714078248120266</v>
      </c>
      <c r="E165" s="17">
        <f t="shared" si="10"/>
        <v>53.585486072932291</v>
      </c>
      <c r="F165" s="2">
        <v>48.523299999999999</v>
      </c>
      <c r="G165" s="2" t="str">
        <f t="shared" si="8"/>
        <v>Pass</v>
      </c>
      <c r="Y165" s="2">
        <v>150</v>
      </c>
      <c r="Z165" s="2">
        <v>0.33460000000000001</v>
      </c>
      <c r="AA165" s="2">
        <v>0.34920000000000001</v>
      </c>
      <c r="AB165" s="2">
        <v>50.428100000000001</v>
      </c>
    </row>
    <row r="166" spans="2:28" x14ac:dyDescent="0.4">
      <c r="B166" s="11">
        <v>149</v>
      </c>
      <c r="C166" s="16">
        <f t="shared" si="9"/>
        <v>44.615757015550194</v>
      </c>
      <c r="D166" s="17">
        <f t="shared" si="11"/>
        <v>49.573063350611328</v>
      </c>
      <c r="E166" s="17">
        <f t="shared" si="10"/>
        <v>54.530369685672461</v>
      </c>
      <c r="F166" s="2">
        <v>49.381500000000003</v>
      </c>
      <c r="G166" s="2" t="str">
        <f t="shared" si="8"/>
        <v>Pass</v>
      </c>
      <c r="Y166" s="2">
        <v>151</v>
      </c>
      <c r="Z166" s="2">
        <v>0.33439999999999998</v>
      </c>
      <c r="AA166" s="2">
        <v>0.34860000000000002</v>
      </c>
      <c r="AB166" s="2">
        <v>51.425600000000003</v>
      </c>
    </row>
    <row r="167" spans="2:28" x14ac:dyDescent="0.4">
      <c r="B167" s="11">
        <v>150</v>
      </c>
      <c r="C167" s="16">
        <f t="shared" si="9"/>
        <v>45.397176128245803</v>
      </c>
      <c r="D167" s="17">
        <f t="shared" si="11"/>
        <v>50.441306809162008</v>
      </c>
      <c r="E167" s="17">
        <f t="shared" si="10"/>
        <v>55.485437490078212</v>
      </c>
      <c r="F167" s="2">
        <v>50.428100000000001</v>
      </c>
      <c r="G167" s="2" t="str">
        <f t="shared" si="8"/>
        <v>Pass</v>
      </c>
      <c r="Y167" s="2">
        <v>152</v>
      </c>
      <c r="Z167" s="2">
        <v>0.3342</v>
      </c>
      <c r="AA167" s="2">
        <v>0.34849999999999998</v>
      </c>
      <c r="AB167" s="2">
        <v>52.241</v>
      </c>
    </row>
    <row r="168" spans="2:28" x14ac:dyDescent="0.4">
      <c r="B168" s="11">
        <v>151</v>
      </c>
      <c r="C168" s="16">
        <f t="shared" si="9"/>
        <v>46.186961215234135</v>
      </c>
      <c r="D168" s="17">
        <f t="shared" si="11"/>
        <v>51.318845794704593</v>
      </c>
      <c r="E168" s="17">
        <f t="shared" si="10"/>
        <v>56.450730374175052</v>
      </c>
      <c r="F168" s="2">
        <v>51.425600000000003</v>
      </c>
      <c r="G168" s="2" t="str">
        <f t="shared" si="8"/>
        <v>Pass</v>
      </c>
      <c r="Y168" s="2">
        <v>153</v>
      </c>
      <c r="Z168" s="2">
        <v>0.3352</v>
      </c>
      <c r="AA168" s="2">
        <v>0.35089999999999999</v>
      </c>
      <c r="AB168" s="2">
        <v>53.342399999999998</v>
      </c>
    </row>
    <row r="169" spans="2:28" x14ac:dyDescent="0.4">
      <c r="B169" s="11">
        <v>152</v>
      </c>
      <c r="C169" s="16">
        <f t="shared" si="9"/>
        <v>46.985145641406689</v>
      </c>
      <c r="D169" s="17">
        <f t="shared" si="11"/>
        <v>52.205717379340769</v>
      </c>
      <c r="E169" s="17">
        <f t="shared" si="10"/>
        <v>57.426289117274848</v>
      </c>
      <c r="F169" s="2">
        <v>52.241</v>
      </c>
      <c r="G169" s="2" t="str">
        <f t="shared" si="8"/>
        <v>Pass</v>
      </c>
      <c r="Y169" s="2">
        <v>154</v>
      </c>
      <c r="Z169" s="2">
        <v>0.33510000000000001</v>
      </c>
      <c r="AA169" s="2">
        <v>0.35060000000000002</v>
      </c>
      <c r="AB169" s="2">
        <v>54.061900000000001</v>
      </c>
    </row>
    <row r="170" spans="2:28" x14ac:dyDescent="0.4">
      <c r="B170" s="11">
        <v>153</v>
      </c>
      <c r="C170" s="16">
        <f t="shared" si="9"/>
        <v>47.791762683529811</v>
      </c>
      <c r="D170" s="17">
        <f t="shared" si="11"/>
        <v>53.101958537255342</v>
      </c>
      <c r="E170" s="17">
        <f t="shared" si="10"/>
        <v>58.412154390980874</v>
      </c>
      <c r="F170" s="2">
        <v>53.342399999999998</v>
      </c>
      <c r="G170" s="2" t="str">
        <f t="shared" si="8"/>
        <v>Pass</v>
      </c>
      <c r="Y170" s="2">
        <v>155</v>
      </c>
      <c r="Z170" s="2">
        <v>0.33489999999999998</v>
      </c>
      <c r="AA170" s="2">
        <v>0.35039999999999999</v>
      </c>
      <c r="AB170" s="2">
        <v>54.814700000000002</v>
      </c>
    </row>
    <row r="171" spans="2:28" x14ac:dyDescent="0.4">
      <c r="B171" s="11">
        <v>154</v>
      </c>
      <c r="C171" s="16">
        <f t="shared" si="9"/>
        <v>48.606845531053942</v>
      </c>
      <c r="D171" s="17">
        <f t="shared" si="11"/>
        <v>54.00760614561549</v>
      </c>
      <c r="E171" s="17">
        <f t="shared" si="10"/>
        <v>59.408366760177039</v>
      </c>
      <c r="F171" s="2">
        <v>54.061900000000001</v>
      </c>
      <c r="G171" s="2" t="str">
        <f t="shared" si="8"/>
        <v>Pass</v>
      </c>
      <c r="Y171" s="2">
        <v>156</v>
      </c>
      <c r="Z171" s="2">
        <v>0.3347</v>
      </c>
      <c r="AA171" s="2">
        <v>0.35</v>
      </c>
      <c r="AB171" s="2">
        <v>55.882599999999996</v>
      </c>
    </row>
    <row r="172" spans="2:28" x14ac:dyDescent="0.4">
      <c r="B172" s="11">
        <v>155</v>
      </c>
      <c r="C172" s="16">
        <f t="shared" si="9"/>
        <v>49.430427286910344</v>
      </c>
      <c r="D172" s="17">
        <f t="shared" si="11"/>
        <v>54.922696985455943</v>
      </c>
      <c r="E172" s="17">
        <f t="shared" si="10"/>
        <v>60.414966684001541</v>
      </c>
      <c r="F172" s="2">
        <v>54.814700000000002</v>
      </c>
      <c r="G172" s="2" t="str">
        <f t="shared" si="8"/>
        <v>Pass</v>
      </c>
      <c r="Y172" s="2">
        <v>157</v>
      </c>
      <c r="Z172" s="2">
        <v>0.33479999999999999</v>
      </c>
      <c r="AA172" s="2">
        <v>0.34970000000000001</v>
      </c>
      <c r="AB172" s="2">
        <v>56.6815</v>
      </c>
    </row>
    <row r="173" spans="2:28" x14ac:dyDescent="0.4">
      <c r="B173" s="11">
        <v>156</v>
      </c>
      <c r="C173" s="16">
        <f t="shared" si="9"/>
        <v>50.262540968295383</v>
      </c>
      <c r="D173" s="17">
        <f t="shared" si="11"/>
        <v>55.847267742550429</v>
      </c>
      <c r="E173" s="17">
        <f t="shared" si="10"/>
        <v>61.431994516805474</v>
      </c>
      <c r="F173" s="2">
        <v>55.882599999999996</v>
      </c>
      <c r="G173" s="2" t="str">
        <f t="shared" si="8"/>
        <v>Pass</v>
      </c>
      <c r="Y173" s="2">
        <v>158</v>
      </c>
      <c r="Z173" s="2">
        <v>0.33429999999999999</v>
      </c>
      <c r="AA173" s="2">
        <v>0.34970000000000001</v>
      </c>
      <c r="AB173" s="2">
        <v>57.960099999999997</v>
      </c>
    </row>
    <row r="174" spans="2:28" x14ac:dyDescent="0.4">
      <c r="B174" s="11">
        <v>157</v>
      </c>
      <c r="C174" s="16">
        <f t="shared" si="9"/>
        <v>51.10321950744261</v>
      </c>
      <c r="D174" s="17">
        <f t="shared" si="11"/>
        <v>56.781355008269564</v>
      </c>
      <c r="E174" s="17">
        <f t="shared" si="10"/>
        <v>62.459490509096518</v>
      </c>
      <c r="F174" s="2">
        <v>56.6815</v>
      </c>
      <c r="G174" s="2" t="str">
        <f t="shared" si="8"/>
        <v>Pass</v>
      </c>
      <c r="Y174" s="2">
        <v>159</v>
      </c>
      <c r="Z174" s="2">
        <v>0.33429999999999999</v>
      </c>
      <c r="AA174" s="2">
        <v>0.34939999999999999</v>
      </c>
      <c r="AB174" s="2">
        <v>58.798900000000003</v>
      </c>
    </row>
    <row r="175" spans="2:28" x14ac:dyDescent="0.4">
      <c r="B175" s="11">
        <v>158</v>
      </c>
      <c r="C175" s="16">
        <f t="shared" si="9"/>
        <v>51.952495752383221</v>
      </c>
      <c r="D175" s="17">
        <f t="shared" si="11"/>
        <v>57.724995280425802</v>
      </c>
      <c r="E175" s="17">
        <f t="shared" si="10"/>
        <v>63.497494808468382</v>
      </c>
      <c r="F175" s="2">
        <v>57.960099999999997</v>
      </c>
      <c r="G175" s="2" t="str">
        <f t="shared" si="8"/>
        <v>Pass</v>
      </c>
      <c r="Y175" s="2">
        <v>160</v>
      </c>
      <c r="Z175" s="2">
        <v>0.3347</v>
      </c>
      <c r="AA175" s="2">
        <v>0.35049999999999998</v>
      </c>
      <c r="AB175" s="2">
        <v>59.6721</v>
      </c>
    </row>
    <row r="176" spans="2:28" x14ac:dyDescent="0.4">
      <c r="B176" s="11">
        <v>159</v>
      </c>
      <c r="C176" s="16">
        <f t="shared" si="9"/>
        <v>52.810402467694814</v>
      </c>
      <c r="D176" s="17">
        <f t="shared" si="11"/>
        <v>58.678224964105347</v>
      </c>
      <c r="E176" s="17">
        <f t="shared" si="10"/>
        <v>64.546047460515879</v>
      </c>
      <c r="F176" s="2">
        <v>58.798900000000003</v>
      </c>
      <c r="G176" s="2" t="str">
        <f t="shared" si="8"/>
        <v>Pass</v>
      </c>
      <c r="Y176" s="2">
        <v>161</v>
      </c>
      <c r="Z176" s="2">
        <v>0.33410000000000001</v>
      </c>
      <c r="AA176" s="2">
        <v>0.3498</v>
      </c>
      <c r="AB176" s="2">
        <v>60.774000000000001</v>
      </c>
    </row>
    <row r="177" spans="2:28" x14ac:dyDescent="0.4">
      <c r="B177" s="11">
        <v>160</v>
      </c>
      <c r="C177" s="16">
        <f t="shared" si="9"/>
        <v>53.676972335238652</v>
      </c>
      <c r="D177" s="17">
        <f t="shared" si="11"/>
        <v>59.641080372487394</v>
      </c>
      <c r="E177" s="17">
        <f t="shared" si="10"/>
        <v>65.60518840973613</v>
      </c>
      <c r="F177" s="2">
        <v>59.6721</v>
      </c>
      <c r="G177" s="2" t="str">
        <f t="shared" si="8"/>
        <v>Pass</v>
      </c>
      <c r="Y177" s="2">
        <v>162</v>
      </c>
      <c r="Z177" s="2">
        <v>0.3337</v>
      </c>
      <c r="AA177" s="2">
        <v>0.34910000000000002</v>
      </c>
      <c r="AB177" s="2">
        <v>61.779899999999998</v>
      </c>
    </row>
    <row r="178" spans="2:28" x14ac:dyDescent="0.4">
      <c r="B178" s="11">
        <v>161</v>
      </c>
      <c r="C178" s="16">
        <f t="shared" si="9"/>
        <v>54.552237954886138</v>
      </c>
      <c r="D178" s="17">
        <f t="shared" si="11"/>
        <v>60.613597727651261</v>
      </c>
      <c r="E178" s="17">
        <f t="shared" si="10"/>
        <v>66.674957500416383</v>
      </c>
      <c r="F178" s="2">
        <v>60.774000000000001</v>
      </c>
      <c r="G178" s="2" t="str">
        <f t="shared" si="8"/>
        <v>Pass</v>
      </c>
      <c r="Y178" s="2">
        <v>163</v>
      </c>
      <c r="Z178" s="2">
        <v>0.3337</v>
      </c>
      <c r="AA178" s="2">
        <v>0.34889999999999999</v>
      </c>
      <c r="AB178" s="2">
        <v>62.958500000000001</v>
      </c>
    </row>
    <row r="179" spans="2:28" x14ac:dyDescent="0.4">
      <c r="B179" s="11">
        <v>162</v>
      </c>
      <c r="C179" s="16">
        <f t="shared" si="9"/>
        <v>55.436231845234069</v>
      </c>
      <c r="D179" s="17">
        <f t="shared" si="11"/>
        <v>61.59581316137119</v>
      </c>
      <c r="E179" s="17">
        <f t="shared" si="10"/>
        <v>67.755394477508304</v>
      </c>
      <c r="F179" s="2">
        <v>61.779899999999998</v>
      </c>
      <c r="G179" s="2" t="str">
        <f t="shared" si="8"/>
        <v>Pass</v>
      </c>
      <c r="Y179" s="2">
        <v>164</v>
      </c>
      <c r="Z179" s="2">
        <v>0.33350000000000002</v>
      </c>
      <c r="AA179" s="2">
        <v>0.3488</v>
      </c>
      <c r="AB179" s="2">
        <v>63.808799999999998</v>
      </c>
    </row>
    <row r="180" spans="2:28" x14ac:dyDescent="0.4">
      <c r="B180" s="11">
        <v>163</v>
      </c>
      <c r="C180" s="16">
        <f t="shared" si="9"/>
        <v>56.328986444309628</v>
      </c>
      <c r="D180" s="17">
        <f t="shared" si="11"/>
        <v>62.587762715899586</v>
      </c>
      <c r="E180" s="17">
        <f t="shared" si="10"/>
        <v>68.846538987489538</v>
      </c>
      <c r="F180" s="2">
        <v>62.958500000000001</v>
      </c>
      <c r="G180" s="2" t="str">
        <f t="shared" si="8"/>
        <v>Pass</v>
      </c>
      <c r="Y180" s="2">
        <v>165</v>
      </c>
      <c r="Z180" s="2">
        <v>0.33329999999999999</v>
      </c>
      <c r="AA180" s="2">
        <v>0.34870000000000001</v>
      </c>
      <c r="AB180" s="2">
        <v>64.989500000000007</v>
      </c>
    </row>
    <row r="181" spans="2:28" x14ac:dyDescent="0.4">
      <c r="B181" s="11">
        <v>164</v>
      </c>
      <c r="C181" s="16">
        <f t="shared" si="9"/>
        <v>57.230534110264657</v>
      </c>
      <c r="D181" s="17">
        <f t="shared" si="11"/>
        <v>63.589482344738506</v>
      </c>
      <c r="E181" s="17">
        <f t="shared" si="10"/>
        <v>69.948430579212356</v>
      </c>
      <c r="F181" s="2">
        <v>63.808799999999998</v>
      </c>
      <c r="G181" s="2" t="str">
        <f t="shared" si="8"/>
        <v>Pass</v>
      </c>
      <c r="Y181" s="2">
        <v>166</v>
      </c>
      <c r="Z181" s="2">
        <v>0.33300000000000002</v>
      </c>
      <c r="AA181" s="2">
        <v>0.34860000000000002</v>
      </c>
      <c r="AB181" s="2">
        <v>65.835700000000003</v>
      </c>
    </row>
    <row r="182" spans="2:28" x14ac:dyDescent="0.4">
      <c r="B182" s="11">
        <v>165</v>
      </c>
      <c r="C182" s="16">
        <f t="shared" si="9"/>
        <v>58.140907122059801</v>
      </c>
      <c r="D182" s="17">
        <f t="shared" si="11"/>
        <v>64.601007913399783</v>
      </c>
      <c r="E182" s="17">
        <f t="shared" si="10"/>
        <v>71.061108704739766</v>
      </c>
      <c r="F182" s="2">
        <v>64.989500000000007</v>
      </c>
      <c r="G182" s="2" t="str">
        <f t="shared" si="8"/>
        <v>Pass</v>
      </c>
      <c r="Y182" s="2">
        <v>167</v>
      </c>
      <c r="Z182" s="2">
        <v>0.33300000000000002</v>
      </c>
      <c r="AA182" s="2">
        <v>0.34849999999999998</v>
      </c>
      <c r="AB182" s="2">
        <v>66.811899999999994</v>
      </c>
    </row>
    <row r="183" spans="2:28" x14ac:dyDescent="0.4">
      <c r="B183" s="11">
        <v>166</v>
      </c>
      <c r="C183" s="16">
        <f t="shared" si="9"/>
        <v>59.060137680138894</v>
      </c>
      <c r="D183" s="17">
        <f t="shared" si="11"/>
        <v>65.622375200154323</v>
      </c>
      <c r="E183" s="17">
        <f t="shared" si="10"/>
        <v>72.184612720169753</v>
      </c>
      <c r="F183" s="2">
        <v>65.835700000000003</v>
      </c>
      <c r="G183" s="2" t="str">
        <f t="shared" si="8"/>
        <v>Pass</v>
      </c>
      <c r="Y183" s="2">
        <v>168</v>
      </c>
      <c r="Z183" s="2">
        <v>0.33389999999999997</v>
      </c>
      <c r="AA183" s="2">
        <v>0.35060000000000002</v>
      </c>
      <c r="AB183" s="2">
        <v>68.102000000000004</v>
      </c>
    </row>
    <row r="184" spans="2:28" x14ac:dyDescent="0.4">
      <c r="B184" s="11">
        <v>167</v>
      </c>
      <c r="C184" s="16">
        <f t="shared" si="9"/>
        <v>59.988257907093214</v>
      </c>
      <c r="D184" s="17">
        <f t="shared" si="11"/>
        <v>66.653619896770238</v>
      </c>
      <c r="E184" s="17">
        <f t="shared" si="10"/>
        <v>73.318981886447261</v>
      </c>
      <c r="F184" s="2">
        <v>66.811899999999994</v>
      </c>
      <c r="G184" s="2" t="str">
        <f t="shared" si="8"/>
        <v>Pass</v>
      </c>
      <c r="Y184" s="2">
        <v>169</v>
      </c>
      <c r="Z184" s="2">
        <v>0.33439999999999998</v>
      </c>
      <c r="AA184" s="2">
        <v>0.34899999999999998</v>
      </c>
      <c r="AB184" s="2">
        <v>68.348699999999994</v>
      </c>
    </row>
    <row r="185" spans="2:28" x14ac:dyDescent="0.4">
      <c r="B185" s="11">
        <v>168</v>
      </c>
      <c r="C185" s="16">
        <f t="shared" si="9"/>
        <v>60.925299848316413</v>
      </c>
      <c r="D185" s="17">
        <f t="shared" si="11"/>
        <v>67.694777609240461</v>
      </c>
      <c r="E185" s="17">
        <f t="shared" si="10"/>
        <v>74.464255370164508</v>
      </c>
      <c r="F185" s="2">
        <v>68.102000000000004</v>
      </c>
      <c r="G185" s="2" t="str">
        <f t="shared" si="8"/>
        <v>Pass</v>
      </c>
      <c r="Y185" s="2">
        <v>170</v>
      </c>
      <c r="Z185" s="2">
        <v>0.3347</v>
      </c>
      <c r="AA185" s="2">
        <v>0.34910000000000002</v>
      </c>
      <c r="AB185" s="2">
        <v>69.353899999999996</v>
      </c>
    </row>
    <row r="186" spans="2:28" x14ac:dyDescent="0.4">
      <c r="B186" s="11">
        <v>169</v>
      </c>
      <c r="C186" s="16">
        <f t="shared" si="9"/>
        <v>61.87129547264994</v>
      </c>
      <c r="D186" s="17">
        <f t="shared" si="11"/>
        <v>68.745883858499937</v>
      </c>
      <c r="E186" s="17">
        <f t="shared" si="10"/>
        <v>75.620472244349926</v>
      </c>
      <c r="F186" s="2">
        <v>68.348699999999994</v>
      </c>
      <c r="G186" s="2" t="str">
        <f t="shared" si="8"/>
        <v>Pass</v>
      </c>
      <c r="Y186" s="2">
        <v>171</v>
      </c>
      <c r="Z186" s="2">
        <v>0.33510000000000001</v>
      </c>
      <c r="AA186" s="2">
        <v>0.34960000000000002</v>
      </c>
      <c r="AB186" s="2">
        <v>70.450299999999999</v>
      </c>
    </row>
    <row r="187" spans="2:28" x14ac:dyDescent="0.4">
      <c r="B187" s="11">
        <v>170</v>
      </c>
      <c r="C187" s="16">
        <f t="shared" si="9"/>
        <v>62.826276673019372</v>
      </c>
      <c r="D187" s="17">
        <f t="shared" si="11"/>
        <v>69.806974081132637</v>
      </c>
      <c r="E187" s="17">
        <f t="shared" si="10"/>
        <v>76.787671489245895</v>
      </c>
      <c r="F187" s="2">
        <v>69.353899999999996</v>
      </c>
      <c r="G187" s="2" t="str">
        <f t="shared" si="8"/>
        <v>Pass</v>
      </c>
      <c r="Y187" s="2">
        <v>172</v>
      </c>
      <c r="Z187" s="2">
        <v>0.33489999999999998</v>
      </c>
      <c r="AA187" s="2">
        <v>0.34949999999999998</v>
      </c>
      <c r="AB187" s="2">
        <v>71.753</v>
      </c>
    </row>
    <row r="188" spans="2:28" x14ac:dyDescent="0.4">
      <c r="B188" s="11">
        <v>171</v>
      </c>
      <c r="C188" s="16">
        <f t="shared" si="9"/>
        <v>63.79027526706156</v>
      </c>
      <c r="D188" s="17">
        <f t="shared" si="11"/>
        <v>70.878083630068403</v>
      </c>
      <c r="E188" s="17">
        <f t="shared" si="10"/>
        <v>77.965891993075246</v>
      </c>
      <c r="F188" s="2">
        <v>70.450299999999999</v>
      </c>
      <c r="G188" s="2" t="str">
        <f t="shared" si="8"/>
        <v>Pass</v>
      </c>
      <c r="Y188" s="2">
        <v>173</v>
      </c>
      <c r="Z188" s="2">
        <v>0.33460000000000001</v>
      </c>
      <c r="AA188" s="2">
        <v>0.34939999999999999</v>
      </c>
      <c r="AB188" s="2">
        <v>72.765900000000002</v>
      </c>
    </row>
    <row r="189" spans="2:28" x14ac:dyDescent="0.4">
      <c r="B189" s="11">
        <v>172</v>
      </c>
      <c r="C189" s="16">
        <f t="shared" si="9"/>
        <v>64.76332299774316</v>
      </c>
      <c r="D189" s="17">
        <f t="shared" si="11"/>
        <v>71.959247775270171</v>
      </c>
      <c r="E189" s="17">
        <f t="shared" si="10"/>
        <v>79.155172552797183</v>
      </c>
      <c r="F189" s="2">
        <v>71.753</v>
      </c>
      <c r="G189" s="2" t="str">
        <f t="shared" si="8"/>
        <v>Pass</v>
      </c>
      <c r="Y189" s="2">
        <v>174</v>
      </c>
      <c r="Z189" s="2">
        <v>0.33439999999999998</v>
      </c>
      <c r="AA189" s="2">
        <v>0.34889999999999999</v>
      </c>
      <c r="AB189" s="2">
        <v>73.971500000000006</v>
      </c>
    </row>
    <row r="190" spans="2:28" x14ac:dyDescent="0.4">
      <c r="B190" s="11">
        <v>173</v>
      </c>
      <c r="C190" s="16">
        <f t="shared" si="9"/>
        <v>65.745451533970183</v>
      </c>
      <c r="D190" s="17">
        <f t="shared" si="11"/>
        <v>73.050501704411317</v>
      </c>
      <c r="E190" s="17">
        <f t="shared" si="10"/>
        <v>80.355551874852452</v>
      </c>
      <c r="F190" s="2">
        <v>72.765900000000002</v>
      </c>
      <c r="G190" s="2" t="str">
        <f t="shared" si="8"/>
        <v>Pass</v>
      </c>
      <c r="Y190" s="2">
        <v>175</v>
      </c>
      <c r="Z190" s="2">
        <v>0.33389999999999997</v>
      </c>
      <c r="AA190" s="2">
        <v>0.3488</v>
      </c>
      <c r="AB190" s="2">
        <v>74.792000000000002</v>
      </c>
    </row>
    <row r="191" spans="2:28" x14ac:dyDescent="0.4">
      <c r="B191" s="11">
        <v>174</v>
      </c>
      <c r="C191" s="16">
        <f t="shared" si="9"/>
        <v>66.736692471189613</v>
      </c>
      <c r="D191" s="17">
        <f t="shared" si="11"/>
        <v>74.151880523544008</v>
      </c>
      <c r="E191" s="17">
        <f t="shared" si="10"/>
        <v>81.567068575898404</v>
      </c>
      <c r="F191" s="2">
        <v>73.971500000000006</v>
      </c>
      <c r="G191" s="2" t="str">
        <f t="shared" si="8"/>
        <v>Pass</v>
      </c>
      <c r="Y191" s="2">
        <v>176</v>
      </c>
      <c r="Z191" s="2">
        <v>0.33460000000000001</v>
      </c>
      <c r="AA191" s="2">
        <v>0.35070000000000001</v>
      </c>
      <c r="AB191" s="2">
        <v>75.851799999999997</v>
      </c>
    </row>
    <row r="192" spans="2:28" x14ac:dyDescent="0.4">
      <c r="B192" s="11">
        <v>175</v>
      </c>
      <c r="C192" s="16">
        <f t="shared" si="9"/>
        <v>67.737077331982007</v>
      </c>
      <c r="D192" s="17">
        <f t="shared" si="11"/>
        <v>75.263419257757789</v>
      </c>
      <c r="E192" s="17">
        <f t="shared" si="10"/>
        <v>82.789761183533571</v>
      </c>
      <c r="F192" s="2">
        <v>74.792000000000002</v>
      </c>
      <c r="G192" s="2" t="str">
        <f t="shared" si="8"/>
        <v>Pass</v>
      </c>
      <c r="Y192" s="2">
        <v>177</v>
      </c>
      <c r="Z192" s="2">
        <v>0.3352</v>
      </c>
      <c r="AA192" s="2">
        <v>0.35</v>
      </c>
      <c r="AB192" s="2">
        <v>77.156400000000005</v>
      </c>
    </row>
    <row r="193" spans="2:28" x14ac:dyDescent="0.4">
      <c r="B193" s="11">
        <v>176</v>
      </c>
      <c r="C193" s="16">
        <f t="shared" si="9"/>
        <v>68.746637566646612</v>
      </c>
      <c r="D193" s="17">
        <f t="shared" si="11"/>
        <v>76.385152851829574</v>
      </c>
      <c r="E193" s="17">
        <f t="shared" si="10"/>
        <v>84.023668137012535</v>
      </c>
      <c r="F193" s="2">
        <v>75.851799999999997</v>
      </c>
      <c r="G193" s="2" t="str">
        <f t="shared" si="8"/>
        <v>Pass</v>
      </c>
      <c r="Y193" s="2">
        <v>178</v>
      </c>
      <c r="Z193" s="2">
        <v>0.33500000000000002</v>
      </c>
      <c r="AA193" s="2">
        <v>0.34949999999999998</v>
      </c>
      <c r="AB193" s="2">
        <v>78.390100000000004</v>
      </c>
    </row>
    <row r="194" spans="2:28" x14ac:dyDescent="0.4">
      <c r="B194" s="11">
        <v>177</v>
      </c>
      <c r="C194" s="16">
        <f t="shared" si="9"/>
        <v>69.765404553777799</v>
      </c>
      <c r="D194" s="17">
        <f t="shared" si="11"/>
        <v>77.517116170864227</v>
      </c>
      <c r="E194" s="17">
        <f t="shared" si="10"/>
        <v>85.268827787950656</v>
      </c>
      <c r="F194" s="2">
        <v>77.156400000000005</v>
      </c>
      <c r="G194" s="2" t="str">
        <f t="shared" si="8"/>
        <v>Pass</v>
      </c>
      <c r="Y194" s="2">
        <v>179</v>
      </c>
      <c r="Z194" s="2">
        <v>0.33479999999999999</v>
      </c>
      <c r="AA194" s="2">
        <v>0.34860000000000002</v>
      </c>
      <c r="AB194" s="2">
        <v>79.533299999999997</v>
      </c>
    </row>
    <row r="195" spans="2:28" x14ac:dyDescent="0.4">
      <c r="B195" s="11">
        <v>178</v>
      </c>
      <c r="C195" s="16">
        <f t="shared" si="9"/>
        <v>70.793409600834423</v>
      </c>
      <c r="D195" s="17">
        <f t="shared" si="11"/>
        <v>78.659344000927135</v>
      </c>
      <c r="E195" s="17">
        <f t="shared" si="10"/>
        <v>86.525278401019847</v>
      </c>
      <c r="F195" s="2">
        <v>78.390100000000004</v>
      </c>
      <c r="G195" s="2" t="str">
        <f t="shared" si="8"/>
        <v>Pass</v>
      </c>
      <c r="Y195" s="2">
        <v>180</v>
      </c>
      <c r="Z195" s="2">
        <v>0.3347</v>
      </c>
      <c r="AA195" s="2">
        <v>0.34860000000000002</v>
      </c>
      <c r="AB195" s="2">
        <v>80.984899999999996</v>
      </c>
    </row>
    <row r="196" spans="2:28" x14ac:dyDescent="0.4">
      <c r="B196" s="11">
        <v>179</v>
      </c>
      <c r="C196" s="16">
        <f t="shared" si="9"/>
        <v>71.830683944700695</v>
      </c>
      <c r="D196" s="17">
        <f t="shared" si="11"/>
        <v>79.811871049667445</v>
      </c>
      <c r="E196" s="17">
        <f t="shared" si="10"/>
        <v>87.793058154634195</v>
      </c>
      <c r="F196" s="2">
        <v>79.533299999999997</v>
      </c>
      <c r="G196" s="2" t="str">
        <f t="shared" si="8"/>
        <v>Pass</v>
      </c>
      <c r="Y196" s="2">
        <v>181</v>
      </c>
      <c r="Z196" s="2">
        <v>0.33539999999999998</v>
      </c>
      <c r="AA196" s="2">
        <v>0.35049999999999998</v>
      </c>
      <c r="AB196" s="2">
        <v>82.0672</v>
      </c>
    </row>
    <row r="197" spans="2:28" x14ac:dyDescent="0.4">
      <c r="B197" s="11">
        <v>180</v>
      </c>
      <c r="C197" s="16">
        <f t="shared" si="9"/>
        <v>72.877258752240181</v>
      </c>
      <c r="D197" s="17">
        <f t="shared" si="11"/>
        <v>80.974731946933531</v>
      </c>
      <c r="E197" s="17">
        <f t="shared" si="10"/>
        <v>89.072205141626881</v>
      </c>
      <c r="F197" s="2">
        <v>80.984899999999996</v>
      </c>
      <c r="G197" s="2" t="str">
        <f t="shared" si="8"/>
        <v>Pass</v>
      </c>
      <c r="Y197" s="2">
        <v>182</v>
      </c>
      <c r="Z197" s="2">
        <v>0.33539999999999998</v>
      </c>
      <c r="AA197" s="2">
        <v>0.3503</v>
      </c>
      <c r="AB197" s="2">
        <v>83.083100000000002</v>
      </c>
    </row>
    <row r="198" spans="2:28" x14ac:dyDescent="0.4">
      <c r="B198" s="11">
        <v>181</v>
      </c>
      <c r="C198" s="16">
        <f t="shared" si="9"/>
        <v>73.933165120841863</v>
      </c>
      <c r="D198" s="17">
        <f t="shared" si="11"/>
        <v>82.147961245379847</v>
      </c>
      <c r="E198" s="17">
        <f t="shared" si="10"/>
        <v>90.36275736991783</v>
      </c>
      <c r="F198" s="2">
        <v>82.0672</v>
      </c>
      <c r="G198" s="2" t="str">
        <f t="shared" si="8"/>
        <v>Pass</v>
      </c>
      <c r="Y198" s="2">
        <v>183</v>
      </c>
      <c r="Z198" s="2">
        <v>0.33510000000000001</v>
      </c>
      <c r="AA198" s="2">
        <v>0.34989999999999999</v>
      </c>
      <c r="AB198" s="2">
        <v>84.454899999999995</v>
      </c>
    </row>
    <row r="199" spans="2:28" x14ac:dyDescent="0.4">
      <c r="B199" s="11">
        <v>182</v>
      </c>
      <c r="C199" s="16">
        <f t="shared" si="9"/>
        <v>74.998434078959377</v>
      </c>
      <c r="D199" s="17">
        <f t="shared" si="11"/>
        <v>83.331593421065975</v>
      </c>
      <c r="E199" s="17">
        <f t="shared" si="10"/>
        <v>91.664752763172572</v>
      </c>
      <c r="F199" s="2">
        <v>83.083100000000002</v>
      </c>
      <c r="G199" s="2" t="str">
        <f t="shared" si="8"/>
        <v>Pass</v>
      </c>
      <c r="Y199" s="2">
        <v>184</v>
      </c>
      <c r="Z199" s="2">
        <v>0.33479999999999999</v>
      </c>
      <c r="AA199" s="2">
        <v>0.34970000000000001</v>
      </c>
      <c r="AB199" s="2">
        <v>85.628299999999996</v>
      </c>
    </row>
    <row r="200" spans="2:28" x14ac:dyDescent="0.4">
      <c r="B200" s="11">
        <v>183</v>
      </c>
      <c r="C200" s="16">
        <f t="shared" si="9"/>
        <v>76.073096586642819</v>
      </c>
      <c r="D200" s="17">
        <f t="shared" si="11"/>
        <v>84.525662874047583</v>
      </c>
      <c r="E200" s="17">
        <f t="shared" si="10"/>
        <v>92.978229161452347</v>
      </c>
      <c r="F200" s="2">
        <v>84.454899999999995</v>
      </c>
      <c r="G200" s="2" t="str">
        <f t="shared" si="8"/>
        <v>Pass</v>
      </c>
      <c r="Y200" s="2">
        <v>185</v>
      </c>
      <c r="Z200" s="2">
        <v>0.3347</v>
      </c>
      <c r="AA200" s="2">
        <v>0.34960000000000002</v>
      </c>
      <c r="AB200" s="2">
        <v>87.040700000000001</v>
      </c>
    </row>
    <row r="201" spans="2:28" x14ac:dyDescent="0.4">
      <c r="B201" s="11">
        <v>184</v>
      </c>
      <c r="C201" s="16">
        <f t="shared" si="9"/>
        <v>77.157183536063656</v>
      </c>
      <c r="D201" s="17">
        <f t="shared" si="11"/>
        <v>85.730203928959625</v>
      </c>
      <c r="E201" s="17">
        <f t="shared" si="10"/>
        <v>94.303224321855595</v>
      </c>
      <c r="F201" s="2">
        <v>85.628299999999996</v>
      </c>
      <c r="G201" s="2" t="str">
        <f t="shared" si="8"/>
        <v>Pass</v>
      </c>
      <c r="Y201" s="2">
        <v>186</v>
      </c>
      <c r="Z201" s="2">
        <v>0.33450000000000002</v>
      </c>
      <c r="AA201" s="2">
        <v>0.34910000000000002</v>
      </c>
      <c r="AB201" s="2">
        <v>88.103399999999993</v>
      </c>
    </row>
    <row r="202" spans="2:28" x14ac:dyDescent="0.4">
      <c r="B202" s="11">
        <v>185</v>
      </c>
      <c r="C202" s="16">
        <f t="shared" si="9"/>
        <v>78.250725752032736</v>
      </c>
      <c r="D202" s="17">
        <f t="shared" si="11"/>
        <v>86.945250835591935</v>
      </c>
      <c r="E202" s="17">
        <f t="shared" si="10"/>
        <v>95.639775919151134</v>
      </c>
      <c r="F202" s="2">
        <v>87.040700000000001</v>
      </c>
      <c r="G202" s="2" t="str">
        <f t="shared" si="8"/>
        <v>Pass</v>
      </c>
      <c r="Y202" s="2">
        <v>187</v>
      </c>
      <c r="Z202" s="2">
        <v>0.33529999999999999</v>
      </c>
      <c r="AA202" s="2">
        <v>0.35110000000000002</v>
      </c>
      <c r="AB202" s="2">
        <v>89.251900000000006</v>
      </c>
    </row>
    <row r="203" spans="2:28" x14ac:dyDescent="0.4">
      <c r="B203" s="11">
        <v>186</v>
      </c>
      <c r="C203" s="16">
        <f t="shared" si="9"/>
        <v>79.353753992511685</v>
      </c>
      <c r="D203" s="17">
        <f t="shared" si="11"/>
        <v>88.170837769457421</v>
      </c>
      <c r="E203" s="17">
        <f t="shared" si="10"/>
        <v>96.987921546403157</v>
      </c>
      <c r="F203" s="2">
        <v>88.103399999999993</v>
      </c>
      <c r="G203" s="2" t="str">
        <f t="shared" si="8"/>
        <v>Pass</v>
      </c>
      <c r="Y203" s="2">
        <v>188</v>
      </c>
      <c r="Z203" s="2">
        <v>0.33510000000000001</v>
      </c>
      <c r="AA203" s="2">
        <v>0.35089999999999999</v>
      </c>
      <c r="AB203" s="2">
        <v>90.732399999999998</v>
      </c>
    </row>
    <row r="204" spans="2:28" x14ac:dyDescent="0.4">
      <c r="B204" s="11">
        <v>187</v>
      </c>
      <c r="C204" s="16">
        <f t="shared" si="9"/>
        <v>80.466298949117444</v>
      </c>
      <c r="D204" s="17">
        <f t="shared" si="11"/>
        <v>89.406998832352713</v>
      </c>
      <c r="E204" s="17">
        <f t="shared" si="10"/>
        <v>98.347698715587981</v>
      </c>
      <c r="F204" s="2">
        <v>89.251900000000006</v>
      </c>
      <c r="G204" s="2" t="str">
        <f t="shared" si="8"/>
        <v>Pass</v>
      </c>
      <c r="Y204" s="2">
        <v>189</v>
      </c>
      <c r="Z204" s="2">
        <v>0.33489999999999998</v>
      </c>
      <c r="AA204" s="2">
        <v>0.35070000000000001</v>
      </c>
      <c r="AB204" s="2">
        <v>91.756500000000003</v>
      </c>
    </row>
    <row r="205" spans="2:28" x14ac:dyDescent="0.4">
      <c r="B205" s="11">
        <v>188</v>
      </c>
      <c r="C205" s="16">
        <f t="shared" si="9"/>
        <v>81.588391247620649</v>
      </c>
      <c r="D205" s="17">
        <f t="shared" si="11"/>
        <v>90.653768052911829</v>
      </c>
      <c r="E205" s="17">
        <f t="shared" si="10"/>
        <v>99.719144858203009</v>
      </c>
      <c r="F205" s="2">
        <v>90.732399999999998</v>
      </c>
      <c r="G205" s="2" t="str">
        <f t="shared" si="8"/>
        <v>Pass</v>
      </c>
      <c r="Y205" s="2">
        <v>190</v>
      </c>
      <c r="Z205" s="2">
        <v>0.33460000000000001</v>
      </c>
      <c r="AA205" s="2">
        <v>0.35039999999999999</v>
      </c>
      <c r="AB205" s="2">
        <v>93.1738</v>
      </c>
    </row>
    <row r="206" spans="2:28" x14ac:dyDescent="0.4">
      <c r="B206" s="11">
        <v>189</v>
      </c>
      <c r="C206" s="16">
        <f t="shared" si="9"/>
        <v>82.720061448437164</v>
      </c>
      <c r="D206" s="17">
        <f t="shared" si="11"/>
        <v>91.911179387152401</v>
      </c>
      <c r="E206" s="17">
        <f t="shared" si="10"/>
        <v>101.10229732586764</v>
      </c>
      <c r="F206" s="2">
        <v>91.756500000000003</v>
      </c>
      <c r="G206" s="2" t="str">
        <f t="shared" si="8"/>
        <v>Pass</v>
      </c>
      <c r="Y206" s="2">
        <v>191</v>
      </c>
      <c r="Z206" s="2">
        <v>0.33439999999999998</v>
      </c>
      <c r="AA206" s="2">
        <v>0.3503</v>
      </c>
      <c r="AB206" s="2">
        <v>94.293899999999994</v>
      </c>
    </row>
    <row r="207" spans="2:28" x14ac:dyDescent="0.4">
      <c r="B207" s="11">
        <v>190</v>
      </c>
      <c r="C207" s="16">
        <f t="shared" si="9"/>
        <v>83.861340047113899</v>
      </c>
      <c r="D207" s="17">
        <f t="shared" si="11"/>
        <v>93.179266719015445</v>
      </c>
      <c r="E207" s="17">
        <f t="shared" si="10"/>
        <v>102.49719339091699</v>
      </c>
      <c r="F207" s="2">
        <v>93.1738</v>
      </c>
      <c r="G207" s="2" t="str">
        <f t="shared" si="8"/>
        <v>Pass</v>
      </c>
      <c r="Y207" s="2">
        <v>192</v>
      </c>
      <c r="Z207" s="2">
        <v>0.33500000000000002</v>
      </c>
      <c r="AA207" s="2">
        <v>0.34970000000000001</v>
      </c>
      <c r="AB207" s="2">
        <v>95.820499999999996</v>
      </c>
    </row>
    <row r="208" spans="2:28" x14ac:dyDescent="0.4">
      <c r="B208" s="11">
        <v>191</v>
      </c>
      <c r="C208" s="16">
        <f t="shared" si="9"/>
        <v>85.012257474808038</v>
      </c>
      <c r="D208" s="17">
        <f t="shared" si="11"/>
        <v>94.458063860897823</v>
      </c>
      <c r="E208" s="17">
        <f t="shared" si="10"/>
        <v>103.90387024698761</v>
      </c>
      <c r="F208" s="2">
        <v>94.293899999999994</v>
      </c>
      <c r="G208" s="2" t="str">
        <f t="shared" si="8"/>
        <v>Pass</v>
      </c>
      <c r="Y208" s="2">
        <v>193</v>
      </c>
      <c r="Z208" s="2">
        <v>0.33489999999999998</v>
      </c>
      <c r="AA208" s="2">
        <v>0.34939999999999999</v>
      </c>
      <c r="AB208" s="2">
        <v>97.270899999999997</v>
      </c>
    </row>
    <row r="209" spans="2:28" x14ac:dyDescent="0.4">
      <c r="B209" s="11">
        <v>192</v>
      </c>
      <c r="C209" s="16">
        <f t="shared" si="9"/>
        <v>86.172844098760436</v>
      </c>
      <c r="D209" s="17">
        <f t="shared" si="11"/>
        <v>95.747604554178267</v>
      </c>
      <c r="E209" s="17">
        <f t="shared" si="10"/>
        <v>105.3223650095961</v>
      </c>
      <c r="F209" s="2">
        <v>95.820499999999996</v>
      </c>
      <c r="G209" s="2" t="str">
        <f t="shared" ref="G209:G272" si="12">IF(F209&lt;=C209,"Fail",IF(AND(C209&lt;F209,F209&lt;E209),"Pass",IF(E209&lt;=F209,"Fail")))</f>
        <v>Pass</v>
      </c>
      <c r="Y209" s="2">
        <v>194</v>
      </c>
      <c r="Z209" s="2">
        <v>0.33460000000000001</v>
      </c>
      <c r="AA209" s="2">
        <v>0.3493</v>
      </c>
      <c r="AB209" s="2">
        <v>98.442899999999995</v>
      </c>
    </row>
    <row r="210" spans="2:28" x14ac:dyDescent="0.4">
      <c r="B210" s="11">
        <v>193</v>
      </c>
      <c r="C210" s="16">
        <f t="shared" ref="C210:C272" si="13">D210-D210*(C$14/100)</f>
        <v>87.343130222763051</v>
      </c>
      <c r="D210" s="17">
        <f t="shared" si="11"/>
        <v>97.047922469736719</v>
      </c>
      <c r="E210" s="17">
        <f t="shared" ref="E210:E272" si="14">D210+D210*(C$14/100)</f>
        <v>106.75271471671039</v>
      </c>
      <c r="F210" s="2">
        <v>97.270899999999997</v>
      </c>
      <c r="G210" s="2" t="str">
        <f t="shared" si="12"/>
        <v>Pass</v>
      </c>
      <c r="Y210" s="2">
        <v>195</v>
      </c>
      <c r="Z210" s="2">
        <v>0.33450000000000002</v>
      </c>
      <c r="AA210" s="2">
        <v>0.34889999999999999</v>
      </c>
      <c r="AB210" s="2">
        <v>99.921300000000002</v>
      </c>
    </row>
    <row r="211" spans="2:28" x14ac:dyDescent="0.4">
      <c r="B211" s="11">
        <v>194</v>
      </c>
      <c r="C211" s="16">
        <f t="shared" si="13"/>
        <v>88.523146087620432</v>
      </c>
      <c r="D211" s="17">
        <f t="shared" ref="D211:D271" si="15">D$272*((B211+F$17)/B$272)^C$13</f>
        <v>98.35905120846715</v>
      </c>
      <c r="E211" s="17">
        <f t="shared" si="14"/>
        <v>108.19495632931387</v>
      </c>
      <c r="F211" s="2">
        <v>98.442899999999995</v>
      </c>
      <c r="G211" s="2" t="str">
        <f t="shared" si="12"/>
        <v>Pass</v>
      </c>
      <c r="Y211" s="2">
        <v>196</v>
      </c>
      <c r="Z211" s="2">
        <v>0.3352</v>
      </c>
      <c r="AA211" s="2">
        <v>0.35070000000000001</v>
      </c>
      <c r="AB211" s="2">
        <v>101.0789</v>
      </c>
    </row>
    <row r="212" spans="2:28" x14ac:dyDescent="0.4">
      <c r="B212" s="11">
        <v>195</v>
      </c>
      <c r="C212" s="16">
        <f t="shared" si="13"/>
        <v>89.71292187160573</v>
      </c>
      <c r="D212" s="17">
        <f t="shared" si="15"/>
        <v>99.681024301784149</v>
      </c>
      <c r="E212" s="17">
        <f t="shared" si="14"/>
        <v>109.64912673196257</v>
      </c>
      <c r="F212" s="2">
        <v>99.921300000000002</v>
      </c>
      <c r="G212" s="2" t="str">
        <f t="shared" si="12"/>
        <v>Pass</v>
      </c>
      <c r="Y212" s="2">
        <v>197</v>
      </c>
      <c r="Z212" s="2">
        <v>0.33500000000000002</v>
      </c>
      <c r="AA212" s="2">
        <v>0.35049999999999998</v>
      </c>
      <c r="AB212" s="2">
        <v>102.2787</v>
      </c>
    </row>
    <row r="213" spans="2:28" x14ac:dyDescent="0.4">
      <c r="B213" s="11">
        <v>196</v>
      </c>
      <c r="C213" s="16">
        <f t="shared" si="13"/>
        <v>90.912487690910865</v>
      </c>
      <c r="D213" s="17">
        <f t="shared" si="15"/>
        <v>101.01387521212318</v>
      </c>
      <c r="E213" s="17">
        <f t="shared" si="14"/>
        <v>111.1152627333355</v>
      </c>
      <c r="F213" s="2">
        <v>101.0789</v>
      </c>
      <c r="G213" s="2" t="str">
        <f t="shared" si="12"/>
        <v>Pass</v>
      </c>
      <c r="Y213" s="2">
        <v>198</v>
      </c>
      <c r="Z213" s="2">
        <v>0.33479999999999999</v>
      </c>
      <c r="AA213" s="2">
        <v>0.35020000000000001</v>
      </c>
      <c r="AB213" s="2">
        <v>103.7201</v>
      </c>
    </row>
    <row r="214" spans="2:28" x14ac:dyDescent="0.4">
      <c r="B214" s="11">
        <v>197</v>
      </c>
      <c r="C214" s="16">
        <f t="shared" si="13"/>
        <v>92.121873600091078</v>
      </c>
      <c r="D214" s="17">
        <f t="shared" si="15"/>
        <v>102.35763733343454</v>
      </c>
      <c r="E214" s="17">
        <f t="shared" si="14"/>
        <v>112.593401066778</v>
      </c>
      <c r="F214" s="2">
        <v>102.2787</v>
      </c>
      <c r="G214" s="2" t="str">
        <f t="shared" si="12"/>
        <v>Pass</v>
      </c>
      <c r="Y214" s="2">
        <v>199</v>
      </c>
      <c r="Z214" s="2">
        <v>0.33460000000000001</v>
      </c>
      <c r="AA214" s="2">
        <v>0.35</v>
      </c>
      <c r="AB214" s="2">
        <v>104.88679999999999</v>
      </c>
    </row>
    <row r="215" spans="2:28" x14ac:dyDescent="0.4">
      <c r="B215" s="11">
        <v>198</v>
      </c>
      <c r="C215" s="16">
        <f t="shared" si="13"/>
        <v>93.341109592504509</v>
      </c>
      <c r="D215" s="17">
        <f t="shared" si="15"/>
        <v>103.71234399167167</v>
      </c>
      <c r="E215" s="17">
        <f t="shared" si="14"/>
        <v>114.08357839083884</v>
      </c>
      <c r="F215" s="2">
        <v>103.7201</v>
      </c>
      <c r="G215" s="2" t="str">
        <f t="shared" si="12"/>
        <v>Pass</v>
      </c>
      <c r="Y215" s="2">
        <v>200</v>
      </c>
      <c r="Z215" s="2">
        <v>0.33529999999999999</v>
      </c>
      <c r="AA215" s="2">
        <v>0.34939999999999999</v>
      </c>
      <c r="AB215" s="2">
        <v>106.36190000000001</v>
      </c>
    </row>
    <row r="216" spans="2:28" x14ac:dyDescent="0.4">
      <c r="B216" s="11">
        <v>199</v>
      </c>
      <c r="C216" s="16">
        <f t="shared" si="13"/>
        <v>94.570225600745829</v>
      </c>
      <c r="D216" s="17">
        <f t="shared" si="15"/>
        <v>105.07802844527315</v>
      </c>
      <c r="E216" s="17">
        <f t="shared" si="14"/>
        <v>115.58583128980047</v>
      </c>
      <c r="F216" s="2">
        <v>104.88679999999999</v>
      </c>
      <c r="G216" s="2" t="str">
        <f t="shared" si="12"/>
        <v>Pass</v>
      </c>
      <c r="Y216" s="2">
        <v>201</v>
      </c>
      <c r="Z216" s="2">
        <v>0.33500000000000002</v>
      </c>
      <c r="AA216" s="2">
        <v>0.3493</v>
      </c>
      <c r="AB216" s="2">
        <v>107.9021</v>
      </c>
    </row>
    <row r="217" spans="2:28" x14ac:dyDescent="0.4">
      <c r="B217" s="11">
        <v>200</v>
      </c>
      <c r="C217" s="16">
        <f t="shared" si="13"/>
        <v>95.809251497075138</v>
      </c>
      <c r="D217" s="17">
        <f t="shared" si="15"/>
        <v>106.45472388563904</v>
      </c>
      <c r="E217" s="17">
        <f t="shared" si="14"/>
        <v>117.10019627420294</v>
      </c>
      <c r="F217" s="2">
        <v>106.36190000000001</v>
      </c>
      <c r="G217" s="2" t="str">
        <f t="shared" si="12"/>
        <v>Pass</v>
      </c>
      <c r="Y217" s="2">
        <v>202</v>
      </c>
      <c r="Z217" s="2">
        <v>0.33479999999999999</v>
      </c>
      <c r="AA217" s="2">
        <v>0.34910000000000002</v>
      </c>
      <c r="AB217" s="2">
        <v>109.08580000000001</v>
      </c>
    </row>
    <row r="218" spans="2:28" x14ac:dyDescent="0.4">
      <c r="B218" s="11">
        <v>201</v>
      </c>
      <c r="C218" s="16">
        <f t="shared" si="13"/>
        <v>97.058217093841364</v>
      </c>
      <c r="D218" s="17">
        <f t="shared" si="15"/>
        <v>107.84246343760151</v>
      </c>
      <c r="E218" s="17">
        <f t="shared" si="14"/>
        <v>118.62670978136165</v>
      </c>
      <c r="F218" s="2">
        <v>107.9021</v>
      </c>
      <c r="G218" s="2" t="str">
        <f t="shared" si="12"/>
        <v>Pass</v>
      </c>
      <c r="Y218" s="2">
        <v>203</v>
      </c>
      <c r="Z218" s="2">
        <v>0.33450000000000002</v>
      </c>
      <c r="AA218" s="2">
        <v>0.34889999999999999</v>
      </c>
      <c r="AB218" s="2">
        <v>110.4259</v>
      </c>
    </row>
    <row r="219" spans="2:28" x14ac:dyDescent="0.4">
      <c r="B219" s="11">
        <v>202</v>
      </c>
      <c r="C219" s="16">
        <f t="shared" si="13"/>
        <v>98.317152143900714</v>
      </c>
      <c r="D219" s="17">
        <f t="shared" si="15"/>
        <v>109.24128015988968</v>
      </c>
      <c r="E219" s="17">
        <f t="shared" si="14"/>
        <v>120.16540817587865</v>
      </c>
      <c r="F219" s="2">
        <v>109.08580000000001</v>
      </c>
      <c r="G219" s="2" t="str">
        <f t="shared" si="12"/>
        <v>Pass</v>
      </c>
      <c r="Y219" s="2">
        <v>204</v>
      </c>
      <c r="Z219" s="2">
        <v>0.33510000000000001</v>
      </c>
      <c r="AA219" s="2">
        <v>0.3503</v>
      </c>
      <c r="AB219" s="2">
        <v>112.0536</v>
      </c>
    </row>
    <row r="220" spans="2:28" x14ac:dyDescent="0.4">
      <c r="B220" s="11">
        <v>203</v>
      </c>
      <c r="C220" s="16">
        <f t="shared" si="13"/>
        <v>99.586086341030253</v>
      </c>
      <c r="D220" s="17">
        <f t="shared" si="15"/>
        <v>110.65120704558917</v>
      </c>
      <c r="E220" s="17">
        <f t="shared" si="14"/>
        <v>121.7163277501481</v>
      </c>
      <c r="F220" s="2">
        <v>110.4259</v>
      </c>
      <c r="G220" s="2" t="str">
        <f t="shared" si="12"/>
        <v>Pass</v>
      </c>
      <c r="Y220" s="2">
        <v>205</v>
      </c>
      <c r="Z220" s="2">
        <v>0.33489999999999998</v>
      </c>
      <c r="AA220" s="2">
        <v>0.3503</v>
      </c>
      <c r="AB220" s="2">
        <v>113.2525</v>
      </c>
    </row>
    <row r="221" spans="2:28" x14ac:dyDescent="0.4">
      <c r="B221" s="11">
        <v>204</v>
      </c>
      <c r="C221" s="16">
        <f t="shared" si="13"/>
        <v>100.8650493203364</v>
      </c>
      <c r="D221" s="17">
        <f t="shared" si="15"/>
        <v>112.072277022596</v>
      </c>
      <c r="E221" s="17">
        <f t="shared" si="14"/>
        <v>123.2795047248556</v>
      </c>
      <c r="F221" s="2">
        <v>112.0536</v>
      </c>
      <c r="G221" s="2" t="str">
        <f t="shared" si="12"/>
        <v>Pass</v>
      </c>
      <c r="Y221" s="2">
        <v>206</v>
      </c>
      <c r="Z221" s="2">
        <v>0.33489999999999998</v>
      </c>
      <c r="AA221" s="2">
        <v>0.3498</v>
      </c>
      <c r="AB221" s="2">
        <v>114.8152</v>
      </c>
    </row>
    <row r="222" spans="2:28" x14ac:dyDescent="0.4">
      <c r="B222" s="11">
        <v>205</v>
      </c>
      <c r="C222" s="16">
        <f t="shared" si="13"/>
        <v>102.15407065865853</v>
      </c>
      <c r="D222" s="17">
        <f t="shared" si="15"/>
        <v>113.50452295406504</v>
      </c>
      <c r="E222" s="17">
        <f t="shared" si="14"/>
        <v>124.85497524947155</v>
      </c>
      <c r="F222" s="2">
        <v>113.2525</v>
      </c>
      <c r="G222" s="2" t="str">
        <f t="shared" si="12"/>
        <v>Pass</v>
      </c>
      <c r="Y222" s="2">
        <v>207</v>
      </c>
      <c r="Z222" s="2">
        <v>0.33450000000000002</v>
      </c>
      <c r="AA222" s="2">
        <v>0.34920000000000001</v>
      </c>
      <c r="AB222" s="2">
        <v>116.43640000000001</v>
      </c>
    </row>
    <row r="223" spans="2:28" x14ac:dyDescent="0.4">
      <c r="B223" s="11">
        <v>206</v>
      </c>
      <c r="C223" s="16">
        <f t="shared" si="13"/>
        <v>103.45317987496827</v>
      </c>
      <c r="D223" s="17">
        <f t="shared" si="15"/>
        <v>114.94797763885363</v>
      </c>
      <c r="E223" s="17">
        <f t="shared" si="14"/>
        <v>126.44277540273899</v>
      </c>
      <c r="F223" s="2">
        <v>114.8152</v>
      </c>
      <c r="G223" s="2" t="str">
        <f t="shared" si="12"/>
        <v>Pass</v>
      </c>
      <c r="Y223" s="2">
        <v>208</v>
      </c>
      <c r="Z223" s="2">
        <v>0.33389999999999997</v>
      </c>
      <c r="AA223" s="2">
        <v>0.3488</v>
      </c>
      <c r="AB223" s="2">
        <v>117.55889999999999</v>
      </c>
    </row>
    <row r="224" spans="2:28" x14ac:dyDescent="0.4">
      <c r="B224" s="11">
        <v>207</v>
      </c>
      <c r="C224" s="16">
        <f t="shared" si="13"/>
        <v>104.76240643076363</v>
      </c>
      <c r="D224" s="17">
        <f t="shared" si="15"/>
        <v>116.4026738119596</v>
      </c>
      <c r="E224" s="17">
        <f t="shared" si="14"/>
        <v>128.04294119315557</v>
      </c>
      <c r="F224" s="2">
        <v>116.43640000000001</v>
      </c>
      <c r="G224" s="2" t="str">
        <f t="shared" si="12"/>
        <v>Pass</v>
      </c>
      <c r="Y224" s="2">
        <v>209</v>
      </c>
      <c r="Z224" s="2">
        <v>0.33400000000000002</v>
      </c>
      <c r="AA224" s="2">
        <v>0.34860000000000002</v>
      </c>
      <c r="AB224" s="2">
        <v>119.2227</v>
      </c>
    </row>
    <row r="225" spans="2:28" x14ac:dyDescent="0.4">
      <c r="B225" s="11">
        <v>208</v>
      </c>
      <c r="C225" s="16">
        <f t="shared" si="13"/>
        <v>106.08177973045886</v>
      </c>
      <c r="D225" s="17">
        <f t="shared" si="15"/>
        <v>117.86864414495429</v>
      </c>
      <c r="E225" s="17">
        <f t="shared" si="14"/>
        <v>129.65550855944971</v>
      </c>
      <c r="F225" s="2">
        <v>117.55889999999999</v>
      </c>
      <c r="G225" s="2" t="str">
        <f t="shared" si="12"/>
        <v>Pass</v>
      </c>
      <c r="Y225" s="2">
        <v>210</v>
      </c>
      <c r="Z225" s="2">
        <v>0.33379999999999999</v>
      </c>
      <c r="AA225" s="2">
        <v>0.3483</v>
      </c>
      <c r="AB225" s="2">
        <v>120.3927</v>
      </c>
    </row>
    <row r="226" spans="2:28" x14ac:dyDescent="0.4">
      <c r="B226" s="11">
        <v>209</v>
      </c>
      <c r="C226" s="16">
        <f t="shared" si="13"/>
        <v>107.41132912176963</v>
      </c>
      <c r="D226" s="17">
        <f t="shared" si="15"/>
        <v>119.3459212464107</v>
      </c>
      <c r="E226" s="17">
        <f t="shared" si="14"/>
        <v>131.28051337105177</v>
      </c>
      <c r="F226" s="2">
        <v>119.2227</v>
      </c>
      <c r="G226" s="2" t="str">
        <f t="shared" si="12"/>
        <v>Pass</v>
      </c>
      <c r="Y226" s="2">
        <v>211</v>
      </c>
      <c r="Z226" s="2">
        <v>0.33500000000000002</v>
      </c>
      <c r="AA226" s="2">
        <v>0.34949999999999998</v>
      </c>
      <c r="AB226" s="2">
        <v>121.8142</v>
      </c>
    </row>
    <row r="227" spans="2:28" x14ac:dyDescent="0.4">
      <c r="B227" s="11">
        <v>210</v>
      </c>
      <c r="C227" s="16">
        <f t="shared" si="13"/>
        <v>108.75108389609383</v>
      </c>
      <c r="D227" s="17">
        <f t="shared" si="15"/>
        <v>120.83453766232648</v>
      </c>
      <c r="E227" s="17">
        <f t="shared" si="14"/>
        <v>132.91799142855913</v>
      </c>
      <c r="F227" s="2">
        <v>120.3927</v>
      </c>
      <c r="G227" s="2" t="str">
        <f t="shared" si="12"/>
        <v>Pass</v>
      </c>
      <c r="Y227" s="2">
        <v>212</v>
      </c>
      <c r="Z227" s="2">
        <v>0.33429999999999999</v>
      </c>
      <c r="AA227" s="2">
        <v>0.35020000000000001</v>
      </c>
      <c r="AB227" s="2">
        <v>124.28230000000001</v>
      </c>
    </row>
    <row r="228" spans="2:28" x14ac:dyDescent="0.4">
      <c r="B228" s="11">
        <v>211</v>
      </c>
      <c r="C228" s="16">
        <f t="shared" si="13"/>
        <v>110.10107328888822</v>
      </c>
      <c r="D228" s="17">
        <f t="shared" si="15"/>
        <v>122.33452587654247</v>
      </c>
      <c r="E228" s="17">
        <f t="shared" si="14"/>
        <v>134.56797846419673</v>
      </c>
      <c r="F228" s="2">
        <v>121.8142</v>
      </c>
      <c r="G228" s="2" t="str">
        <f t="shared" si="12"/>
        <v>Pass</v>
      </c>
      <c r="Y228" s="2">
        <v>213</v>
      </c>
      <c r="Z228" s="2">
        <v>0.3352</v>
      </c>
      <c r="AA228" s="2">
        <v>0.35039999999999999</v>
      </c>
      <c r="AB228" s="2">
        <v>125.9032</v>
      </c>
    </row>
    <row r="229" spans="2:28" x14ac:dyDescent="0.4">
      <c r="B229" s="11">
        <v>212</v>
      </c>
      <c r="C229" s="16">
        <f t="shared" si="13"/>
        <v>111.46132648004034</v>
      </c>
      <c r="D229" s="17">
        <f t="shared" si="15"/>
        <v>123.84591831115594</v>
      </c>
      <c r="E229" s="17">
        <f t="shared" si="14"/>
        <v>136.23051014227153</v>
      </c>
      <c r="F229" s="2">
        <v>124.28230000000001</v>
      </c>
      <c r="G229" s="2" t="str">
        <f t="shared" si="12"/>
        <v>Pass</v>
      </c>
      <c r="Y229" s="2">
        <v>214</v>
      </c>
      <c r="Z229" s="2">
        <v>0.33500000000000002</v>
      </c>
      <c r="AA229" s="2">
        <v>0.35010000000000002</v>
      </c>
      <c r="AB229" s="2">
        <v>127.5975</v>
      </c>
    </row>
    <row r="230" spans="2:28" x14ac:dyDescent="0.4">
      <c r="B230" s="11">
        <v>213</v>
      </c>
      <c r="C230" s="16">
        <f t="shared" si="13"/>
        <v>112.83187259423647</v>
      </c>
      <c r="D230" s="17">
        <f t="shared" si="15"/>
        <v>125.36874732692942</v>
      </c>
      <c r="E230" s="17">
        <f t="shared" si="14"/>
        <v>137.90562205962237</v>
      </c>
      <c r="F230" s="2">
        <v>125.9032</v>
      </c>
      <c r="G230" s="2" t="str">
        <f t="shared" si="12"/>
        <v>Pass</v>
      </c>
      <c r="Y230" s="2">
        <v>215</v>
      </c>
      <c r="Z230" s="2">
        <v>0.33479999999999999</v>
      </c>
      <c r="AA230" s="2">
        <v>0.34989999999999999</v>
      </c>
      <c r="AB230" s="2">
        <v>128.8451</v>
      </c>
    </row>
    <row r="231" spans="2:28" x14ac:dyDescent="0.4">
      <c r="B231" s="11">
        <v>214</v>
      </c>
      <c r="C231" s="16">
        <f t="shared" si="13"/>
        <v>114.21274070132564</v>
      </c>
      <c r="D231" s="17">
        <f t="shared" si="15"/>
        <v>126.90304522369516</v>
      </c>
      <c r="E231" s="17">
        <f t="shared" si="14"/>
        <v>139.59334974606469</v>
      </c>
      <c r="F231" s="2">
        <v>127.5975</v>
      </c>
      <c r="G231" s="2" t="str">
        <f t="shared" si="12"/>
        <v>Pass</v>
      </c>
      <c r="Y231" s="2">
        <v>216</v>
      </c>
      <c r="Z231" s="2">
        <v>0.33460000000000001</v>
      </c>
      <c r="AA231" s="2">
        <v>0.34960000000000002</v>
      </c>
      <c r="AB231" s="2">
        <v>130.4616</v>
      </c>
    </row>
    <row r="232" spans="2:28" x14ac:dyDescent="0.4">
      <c r="B232" s="11">
        <v>215</v>
      </c>
      <c r="C232" s="16">
        <f t="shared" si="13"/>
        <v>115.60395981667907</v>
      </c>
      <c r="D232" s="17">
        <f t="shared" si="15"/>
        <v>128.44884424075451</v>
      </c>
      <c r="E232" s="17">
        <f t="shared" si="14"/>
        <v>141.29372866482996</v>
      </c>
      <c r="F232" s="2">
        <v>128.8451</v>
      </c>
      <c r="G232" s="2" t="str">
        <f t="shared" si="12"/>
        <v>Pass</v>
      </c>
      <c r="Y232" s="2">
        <v>217</v>
      </c>
      <c r="Z232" s="2">
        <v>0.33450000000000002</v>
      </c>
      <c r="AA232" s="2">
        <v>0.34949999999999998</v>
      </c>
      <c r="AB232" s="2">
        <v>131.73390000000001</v>
      </c>
    </row>
    <row r="233" spans="2:28" x14ac:dyDescent="0.4">
      <c r="B233" s="11">
        <v>216</v>
      </c>
      <c r="C233" s="16">
        <f t="shared" si="13"/>
        <v>117.0055589015459</v>
      </c>
      <c r="D233" s="17">
        <f t="shared" si="15"/>
        <v>130.00617655727322</v>
      </c>
      <c r="E233" s="17">
        <f t="shared" si="14"/>
        <v>143.00679421300055</v>
      </c>
      <c r="F233" s="2">
        <v>130.4616</v>
      </c>
      <c r="G233" s="2" t="str">
        <f t="shared" si="12"/>
        <v>Pass</v>
      </c>
      <c r="Y233" s="2">
        <v>218</v>
      </c>
      <c r="Z233" s="2">
        <v>0.33489999999999998</v>
      </c>
      <c r="AA233" s="2">
        <v>0.34889999999999999</v>
      </c>
      <c r="AB233" s="2">
        <v>133.4588</v>
      </c>
    </row>
    <row r="234" spans="2:28" x14ac:dyDescent="0.4">
      <c r="B234" s="11">
        <v>217</v>
      </c>
      <c r="C234" s="16">
        <f t="shared" si="13"/>
        <v>118.41756686340489</v>
      </c>
      <c r="D234" s="17">
        <f t="shared" si="15"/>
        <v>131.5750742926721</v>
      </c>
      <c r="E234" s="17">
        <f t="shared" si="14"/>
        <v>144.73258172193931</v>
      </c>
      <c r="F234" s="2">
        <v>131.73390000000001</v>
      </c>
      <c r="G234" s="2" t="str">
        <f t="shared" si="12"/>
        <v>Pass</v>
      </c>
      <c r="Y234" s="2">
        <v>219</v>
      </c>
      <c r="Z234" s="2">
        <v>0.33460000000000001</v>
      </c>
      <c r="AA234" s="2">
        <v>0.34860000000000002</v>
      </c>
      <c r="AB234" s="2">
        <v>135.1112</v>
      </c>
    </row>
    <row r="235" spans="2:28" x14ac:dyDescent="0.4">
      <c r="B235" s="11">
        <v>218</v>
      </c>
      <c r="C235" s="16">
        <f t="shared" si="13"/>
        <v>119.84001255631237</v>
      </c>
      <c r="D235" s="17">
        <f t="shared" si="15"/>
        <v>133.15556950701375</v>
      </c>
      <c r="E235" s="17">
        <f t="shared" si="14"/>
        <v>146.47112645771512</v>
      </c>
      <c r="F235" s="2">
        <v>133.4588</v>
      </c>
      <c r="G235" s="2" t="str">
        <f t="shared" si="12"/>
        <v>Pass</v>
      </c>
      <c r="Y235" s="2">
        <v>220</v>
      </c>
      <c r="Z235" s="2">
        <v>0.33529999999999999</v>
      </c>
      <c r="AA235" s="2">
        <v>0.34989999999999999</v>
      </c>
      <c r="AB235" s="2">
        <v>136.37459999999999</v>
      </c>
    </row>
    <row r="236" spans="2:28" x14ac:dyDescent="0.4">
      <c r="B236" s="11">
        <v>219</v>
      </c>
      <c r="C236" s="16">
        <f t="shared" si="13"/>
        <v>121.27292478124591</v>
      </c>
      <c r="D236" s="17">
        <f t="shared" si="15"/>
        <v>134.74769420138435</v>
      </c>
      <c r="E236" s="17">
        <f t="shared" si="14"/>
        <v>148.22246362152279</v>
      </c>
      <c r="F236" s="2">
        <v>135.1112</v>
      </c>
      <c r="G236" s="2" t="str">
        <f t="shared" si="12"/>
        <v>Pass</v>
      </c>
      <c r="Y236" s="2">
        <v>221</v>
      </c>
      <c r="Z236" s="2">
        <v>0.33510000000000001</v>
      </c>
      <c r="AA236" s="2">
        <v>0.3498</v>
      </c>
      <c r="AB236" s="2">
        <v>137.72069999999999</v>
      </c>
    </row>
    <row r="237" spans="2:28" x14ac:dyDescent="0.4">
      <c r="B237" s="11">
        <v>220</v>
      </c>
      <c r="C237" s="16">
        <f t="shared" si="13"/>
        <v>122.71633228644477</v>
      </c>
      <c r="D237" s="17">
        <f t="shared" si="15"/>
        <v>136.35148031827197</v>
      </c>
      <c r="E237" s="17">
        <f t="shared" si="14"/>
        <v>149.98662835009915</v>
      </c>
      <c r="F237" s="2">
        <v>136.37459999999999</v>
      </c>
      <c r="G237" s="2" t="str">
        <f t="shared" si="12"/>
        <v>Pass</v>
      </c>
      <c r="Y237" s="2">
        <v>222</v>
      </c>
      <c r="Z237" s="2">
        <v>0.3352</v>
      </c>
      <c r="AA237" s="2">
        <v>0.34939999999999999</v>
      </c>
      <c r="AB237" s="2">
        <v>139.53200000000001</v>
      </c>
    </row>
    <row r="238" spans="2:28" x14ac:dyDescent="0.4">
      <c r="B238" s="11">
        <v>221</v>
      </c>
      <c r="C238" s="16">
        <f t="shared" si="13"/>
        <v>124.17026376774611</v>
      </c>
      <c r="D238" s="17">
        <f t="shared" si="15"/>
        <v>137.96695974194012</v>
      </c>
      <c r="E238" s="17">
        <f t="shared" si="14"/>
        <v>151.76365571613414</v>
      </c>
      <c r="F238" s="2">
        <v>137.72069999999999</v>
      </c>
      <c r="G238" s="2" t="str">
        <f t="shared" si="12"/>
        <v>Pass</v>
      </c>
      <c r="Y238" s="2">
        <v>223</v>
      </c>
      <c r="Z238" s="2">
        <v>0.33500000000000002</v>
      </c>
      <c r="AA238" s="2">
        <v>0.34920000000000001</v>
      </c>
      <c r="AB238" s="2">
        <v>141.24279999999999</v>
      </c>
    </row>
    <row r="239" spans="2:28" x14ac:dyDescent="0.4">
      <c r="B239" s="11">
        <v>222</v>
      </c>
      <c r="C239" s="16">
        <f t="shared" si="13"/>
        <v>125.63474786891803</v>
      </c>
      <c r="D239" s="17">
        <f t="shared" si="15"/>
        <v>139.59416429879781</v>
      </c>
      <c r="E239" s="17">
        <f t="shared" si="14"/>
        <v>153.55358072867759</v>
      </c>
      <c r="F239" s="2">
        <v>139.53200000000001</v>
      </c>
      <c r="G239" s="2" t="str">
        <f t="shared" si="12"/>
        <v>Pass</v>
      </c>
      <c r="Y239" s="2">
        <v>224</v>
      </c>
      <c r="Z239" s="2">
        <v>0.3347</v>
      </c>
      <c r="AA239" s="2">
        <v>0.34910000000000002</v>
      </c>
      <c r="AB239" s="2">
        <v>142.59389999999999</v>
      </c>
    </row>
    <row r="240" spans="2:28" x14ac:dyDescent="0.4">
      <c r="B240" s="11">
        <v>223</v>
      </c>
      <c r="C240" s="16">
        <f t="shared" si="13"/>
        <v>127.10981318198864</v>
      </c>
      <c r="D240" s="17">
        <f t="shared" si="15"/>
        <v>141.23312575776515</v>
      </c>
      <c r="E240" s="17">
        <f t="shared" si="14"/>
        <v>155.35643833354166</v>
      </c>
      <c r="F240" s="2">
        <v>141.24279999999999</v>
      </c>
      <c r="G240" s="2" t="str">
        <f t="shared" si="12"/>
        <v>Pass</v>
      </c>
      <c r="Y240" s="2">
        <v>225</v>
      </c>
      <c r="Z240" s="2">
        <v>0.3342</v>
      </c>
      <c r="AA240" s="2">
        <v>0.3488</v>
      </c>
      <c r="AB240" s="2">
        <v>144.2201</v>
      </c>
    </row>
    <row r="241" spans="2:28" x14ac:dyDescent="0.4">
      <c r="B241" s="11">
        <v>224</v>
      </c>
      <c r="C241" s="16">
        <f t="shared" si="13"/>
        <v>128.59548824757172</v>
      </c>
      <c r="D241" s="17">
        <f t="shared" si="15"/>
        <v>142.88387583063525</v>
      </c>
      <c r="E241" s="17">
        <f t="shared" si="14"/>
        <v>157.17226341369877</v>
      </c>
      <c r="F241" s="2">
        <v>142.59389999999999</v>
      </c>
      <c r="G241" s="2" t="str">
        <f t="shared" si="12"/>
        <v>Pass</v>
      </c>
      <c r="Y241" s="2">
        <v>226</v>
      </c>
      <c r="Z241" s="2">
        <v>0.33510000000000001</v>
      </c>
      <c r="AA241" s="2">
        <v>0.34899999999999998</v>
      </c>
      <c r="AB241" s="2">
        <v>145.96369999999999</v>
      </c>
    </row>
    <row r="242" spans="2:28" x14ac:dyDescent="0.4">
      <c r="B242" s="11">
        <v>225</v>
      </c>
      <c r="C242" s="16">
        <f t="shared" si="13"/>
        <v>130.09180155518885</v>
      </c>
      <c r="D242" s="17">
        <f t="shared" si="15"/>
        <v>144.54644617243204</v>
      </c>
      <c r="E242" s="17">
        <f t="shared" si="14"/>
        <v>159.00109078967523</v>
      </c>
      <c r="F242" s="2">
        <v>144.2201</v>
      </c>
      <c r="G242" s="2" t="str">
        <f t="shared" si="12"/>
        <v>Pass</v>
      </c>
      <c r="Y242" s="2">
        <v>227</v>
      </c>
      <c r="Z242" s="2">
        <v>0.33489999999999998</v>
      </c>
      <c r="AA242" s="2">
        <v>0.34889999999999999</v>
      </c>
      <c r="AB242" s="2">
        <v>147.2938</v>
      </c>
    </row>
    <row r="243" spans="2:28" x14ac:dyDescent="0.4">
      <c r="B243" s="11">
        <v>226</v>
      </c>
      <c r="C243" s="16">
        <f t="shared" si="13"/>
        <v>131.59878154358802</v>
      </c>
      <c r="D243" s="17">
        <f t="shared" si="15"/>
        <v>146.22086838176446</v>
      </c>
      <c r="E243" s="17">
        <f t="shared" si="14"/>
        <v>160.8429552199409</v>
      </c>
      <c r="F243" s="2">
        <v>145.96369999999999</v>
      </c>
      <c r="G243" s="2" t="str">
        <f t="shared" si="12"/>
        <v>Pass</v>
      </c>
      <c r="Y243" s="2">
        <v>228</v>
      </c>
      <c r="Z243" s="2">
        <v>0.33460000000000001</v>
      </c>
      <c r="AA243" s="2">
        <v>0.34949999999999998</v>
      </c>
      <c r="AB243" s="2">
        <v>150.0857</v>
      </c>
    </row>
    <row r="244" spans="2:28" x14ac:dyDescent="0.4">
      <c r="B244" s="11">
        <v>227</v>
      </c>
      <c r="C244" s="16">
        <f t="shared" si="13"/>
        <v>133.11645660105918</v>
      </c>
      <c r="D244" s="17">
        <f t="shared" si="15"/>
        <v>147.90717400117688</v>
      </c>
      <c r="E244" s="17">
        <f t="shared" si="14"/>
        <v>162.69789140129458</v>
      </c>
      <c r="F244" s="2">
        <v>147.2938</v>
      </c>
      <c r="G244" s="2" t="str">
        <f t="shared" si="12"/>
        <v>Pass</v>
      </c>
      <c r="Y244" s="2">
        <v>229</v>
      </c>
      <c r="Z244" s="2">
        <v>0.33439999999999998</v>
      </c>
      <c r="AA244" s="2">
        <v>0.3493</v>
      </c>
      <c r="AB244" s="2">
        <v>151.86689999999999</v>
      </c>
    </row>
    <row r="245" spans="2:28" x14ac:dyDescent="0.4">
      <c r="B245" s="11">
        <v>228</v>
      </c>
      <c r="C245" s="16">
        <f t="shared" si="13"/>
        <v>134.64485506574596</v>
      </c>
      <c r="D245" s="17">
        <f t="shared" si="15"/>
        <v>149.60539451749551</v>
      </c>
      <c r="E245" s="17">
        <f t="shared" si="14"/>
        <v>164.56593396924507</v>
      </c>
      <c r="F245" s="2">
        <v>150.0857</v>
      </c>
      <c r="G245" s="2" t="str">
        <f t="shared" si="12"/>
        <v>Pass</v>
      </c>
      <c r="Y245" s="2">
        <v>230</v>
      </c>
      <c r="Z245" s="2">
        <v>0.33439999999999998</v>
      </c>
      <c r="AA245" s="2">
        <v>0.34889999999999999</v>
      </c>
      <c r="AB245" s="2">
        <v>153.70009999999999</v>
      </c>
    </row>
    <row r="246" spans="2:28" x14ac:dyDescent="0.4">
      <c r="B246" s="11">
        <v>229</v>
      </c>
      <c r="C246" s="16">
        <f t="shared" si="13"/>
        <v>136.18400522595437</v>
      </c>
      <c r="D246" s="17">
        <f t="shared" si="15"/>
        <v>151.31556136217151</v>
      </c>
      <c r="E246" s="17">
        <f t="shared" si="14"/>
        <v>166.44711749838865</v>
      </c>
      <c r="F246" s="2">
        <v>151.86689999999999</v>
      </c>
      <c r="G246" s="2" t="str">
        <f t="shared" si="12"/>
        <v>Pass</v>
      </c>
      <c r="Y246" s="2">
        <v>231</v>
      </c>
      <c r="Z246" s="2">
        <v>0.33529999999999999</v>
      </c>
      <c r="AA246" s="2">
        <v>0.35010000000000002</v>
      </c>
      <c r="AB246" s="2">
        <v>155.0548</v>
      </c>
    </row>
    <row r="247" spans="2:28" x14ac:dyDescent="0.4">
      <c r="B247" s="11">
        <v>230</v>
      </c>
      <c r="C247" s="16">
        <f t="shared" si="13"/>
        <v>137.73393532045841</v>
      </c>
      <c r="D247" s="17">
        <f t="shared" si="15"/>
        <v>153.03770591162046</v>
      </c>
      <c r="E247" s="17">
        <f t="shared" si="14"/>
        <v>168.34147650278251</v>
      </c>
      <c r="F247" s="2">
        <v>153.70009999999999</v>
      </c>
      <c r="G247" s="2" t="str">
        <f t="shared" si="12"/>
        <v>Pass</v>
      </c>
      <c r="Y247" s="2">
        <v>232</v>
      </c>
      <c r="Z247" s="2">
        <v>0.33510000000000001</v>
      </c>
      <c r="AA247" s="2">
        <v>0.34989999999999999</v>
      </c>
      <c r="AB247" s="2">
        <v>156.42240000000001</v>
      </c>
    </row>
    <row r="248" spans="2:28" x14ac:dyDescent="0.4">
      <c r="B248" s="11">
        <v>231</v>
      </c>
      <c r="C248" s="16">
        <f t="shared" si="13"/>
        <v>139.2946735388021</v>
      </c>
      <c r="D248" s="17">
        <f t="shared" si="15"/>
        <v>154.77185948755789</v>
      </c>
      <c r="E248" s="17">
        <f t="shared" si="14"/>
        <v>170.24904543631368</v>
      </c>
      <c r="F248" s="2">
        <v>155.0548</v>
      </c>
      <c r="G248" s="2" t="str">
        <f t="shared" si="12"/>
        <v>Pass</v>
      </c>
      <c r="Y248" s="2">
        <v>233</v>
      </c>
      <c r="Z248" s="2">
        <v>0.33489999999999998</v>
      </c>
      <c r="AA248" s="2">
        <v>0.34970000000000001</v>
      </c>
      <c r="AB248" s="2">
        <v>158.28989999999999</v>
      </c>
    </row>
    <row r="249" spans="2:28" x14ac:dyDescent="0.4">
      <c r="B249" s="11">
        <v>232</v>
      </c>
      <c r="C249" s="16">
        <f t="shared" si="13"/>
        <v>140.86624802159866</v>
      </c>
      <c r="D249" s="17">
        <f t="shared" si="15"/>
        <v>156.51805335733184</v>
      </c>
      <c r="E249" s="17">
        <f t="shared" si="14"/>
        <v>172.16985869306501</v>
      </c>
      <c r="F249" s="2">
        <v>156.42240000000001</v>
      </c>
      <c r="G249" s="2" t="str">
        <f t="shared" si="12"/>
        <v>Pass</v>
      </c>
      <c r="Y249" s="2">
        <v>234</v>
      </c>
      <c r="Z249" s="2">
        <v>0.33529999999999999</v>
      </c>
      <c r="AA249" s="2">
        <v>0.35010000000000002</v>
      </c>
      <c r="AB249" s="2">
        <v>160.03720000000001</v>
      </c>
    </row>
    <row r="250" spans="2:28" x14ac:dyDescent="0.4">
      <c r="B250" s="11">
        <v>233</v>
      </c>
      <c r="C250" s="16">
        <f t="shared" si="13"/>
        <v>142.44868686082643</v>
      </c>
      <c r="D250" s="17">
        <f t="shared" si="15"/>
        <v>158.27631873425159</v>
      </c>
      <c r="E250" s="17">
        <f t="shared" si="14"/>
        <v>174.10395060767675</v>
      </c>
      <c r="F250" s="2">
        <v>158.28989999999999</v>
      </c>
      <c r="G250" s="2" t="str">
        <f t="shared" si="12"/>
        <v>Pass</v>
      </c>
      <c r="Y250" s="2">
        <v>235</v>
      </c>
      <c r="Z250" s="2">
        <v>0.33489999999999998</v>
      </c>
      <c r="AA250" s="2">
        <v>0.35</v>
      </c>
      <c r="AB250" s="2">
        <v>161.3289</v>
      </c>
    </row>
    <row r="251" spans="2:28" x14ac:dyDescent="0.4">
      <c r="B251" s="11">
        <v>234</v>
      </c>
      <c r="C251" s="16">
        <f t="shared" si="13"/>
        <v>144.04201810012191</v>
      </c>
      <c r="D251" s="17">
        <f t="shared" si="15"/>
        <v>160.04668677791324</v>
      </c>
      <c r="E251" s="17">
        <f t="shared" si="14"/>
        <v>176.05135545570457</v>
      </c>
      <c r="F251" s="2">
        <v>160.03720000000001</v>
      </c>
      <c r="G251" s="2" t="str">
        <f t="shared" si="12"/>
        <v>Pass</v>
      </c>
      <c r="Y251" s="2">
        <v>236</v>
      </c>
      <c r="Z251" s="2">
        <v>0.33479999999999999</v>
      </c>
      <c r="AA251" s="2">
        <v>0.3498</v>
      </c>
      <c r="AB251" s="2">
        <v>163.24539999999999</v>
      </c>
    </row>
    <row r="252" spans="2:28" x14ac:dyDescent="0.4">
      <c r="B252" s="11">
        <v>235</v>
      </c>
      <c r="C252" s="16">
        <f t="shared" si="13"/>
        <v>145.64626973506964</v>
      </c>
      <c r="D252" s="17">
        <f t="shared" si="15"/>
        <v>161.82918859452181</v>
      </c>
      <c r="E252" s="17">
        <f t="shared" si="14"/>
        <v>178.01210745397398</v>
      </c>
      <c r="F252" s="2">
        <v>161.3289</v>
      </c>
      <c r="G252" s="2" t="str">
        <f t="shared" si="12"/>
        <v>Pass</v>
      </c>
      <c r="Y252" s="2">
        <v>237</v>
      </c>
      <c r="Z252" s="2">
        <v>0.3352</v>
      </c>
      <c r="AA252" s="2">
        <v>0.34939999999999999</v>
      </c>
      <c r="AB252" s="2">
        <v>165.17169999999999</v>
      </c>
    </row>
    <row r="253" spans="2:28" x14ac:dyDescent="0.4">
      <c r="B253" s="11">
        <v>236</v>
      </c>
      <c r="C253" s="16">
        <f t="shared" si="13"/>
        <v>147.26146971348888</v>
      </c>
      <c r="D253" s="17">
        <f t="shared" si="15"/>
        <v>163.62385523720985</v>
      </c>
      <c r="E253" s="17">
        <f t="shared" si="14"/>
        <v>179.98624076093083</v>
      </c>
      <c r="F253" s="2">
        <v>163.24539999999999</v>
      </c>
      <c r="G253" s="2" t="str">
        <f t="shared" si="12"/>
        <v>Pass</v>
      </c>
      <c r="Y253" s="2">
        <v>238</v>
      </c>
      <c r="Z253" s="2">
        <v>0.33510000000000001</v>
      </c>
      <c r="AA253" s="2">
        <v>0.3493</v>
      </c>
      <c r="AB253" s="2">
        <v>166.57230000000001</v>
      </c>
    </row>
    <row r="254" spans="2:28" x14ac:dyDescent="0.4">
      <c r="B254" s="11">
        <v>237</v>
      </c>
      <c r="C254" s="16">
        <f t="shared" si="13"/>
        <v>148.88764593571813</v>
      </c>
      <c r="D254" s="17">
        <f t="shared" si="15"/>
        <v>165.43071770635348</v>
      </c>
      <c r="E254" s="17">
        <f t="shared" si="14"/>
        <v>181.97378947698883</v>
      </c>
      <c r="F254" s="2">
        <v>165.17169999999999</v>
      </c>
      <c r="G254" s="2" t="str">
        <f t="shared" si="12"/>
        <v>Pass</v>
      </c>
      <c r="Y254" s="2">
        <v>239</v>
      </c>
      <c r="Z254" s="2">
        <v>0.33460000000000001</v>
      </c>
      <c r="AA254" s="2">
        <v>0.34989999999999999</v>
      </c>
      <c r="AB254" s="2">
        <v>169.3997</v>
      </c>
    </row>
    <row r="255" spans="2:28" x14ac:dyDescent="0.4">
      <c r="B255" s="11">
        <v>238</v>
      </c>
      <c r="C255" s="16">
        <f t="shared" si="13"/>
        <v>150.52482625489591</v>
      </c>
      <c r="D255" s="17">
        <f t="shared" si="15"/>
        <v>167.24980694988434</v>
      </c>
      <c r="E255" s="17">
        <f t="shared" si="14"/>
        <v>183.97478764487278</v>
      </c>
      <c r="F255" s="2">
        <v>166.57230000000001</v>
      </c>
      <c r="G255" s="2" t="str">
        <f t="shared" si="12"/>
        <v>Pass</v>
      </c>
      <c r="Y255" s="2">
        <v>240</v>
      </c>
      <c r="Z255" s="2">
        <v>0.33539999999999998</v>
      </c>
      <c r="AA255" s="2">
        <v>0.35010000000000002</v>
      </c>
      <c r="AB255" s="2">
        <v>171.3186</v>
      </c>
    </row>
    <row r="256" spans="2:28" x14ac:dyDescent="0.4">
      <c r="B256" s="11">
        <v>239</v>
      </c>
      <c r="C256" s="16">
        <f t="shared" si="13"/>
        <v>152.17303847723915</v>
      </c>
      <c r="D256" s="17">
        <f t="shared" si="15"/>
        <v>169.08115386359904</v>
      </c>
      <c r="E256" s="17">
        <f t="shared" si="14"/>
        <v>185.98926924995894</v>
      </c>
      <c r="F256" s="2">
        <v>169.3997</v>
      </c>
      <c r="G256" s="2" t="str">
        <f t="shared" si="12"/>
        <v>Pass</v>
      </c>
      <c r="Y256" s="2">
        <v>241</v>
      </c>
      <c r="Z256" s="2">
        <v>0.33510000000000001</v>
      </c>
      <c r="AA256" s="2">
        <v>0.34989999999999999</v>
      </c>
      <c r="AB256" s="2">
        <v>173.21809999999999</v>
      </c>
    </row>
    <row r="257" spans="2:28" x14ac:dyDescent="0.4">
      <c r="B257" s="11">
        <v>240</v>
      </c>
      <c r="C257" s="16">
        <f t="shared" si="13"/>
        <v>153.83231036231862</v>
      </c>
      <c r="D257" s="17">
        <f t="shared" si="15"/>
        <v>170.92478929146515</v>
      </c>
      <c r="E257" s="17">
        <f t="shared" si="14"/>
        <v>188.01726822061167</v>
      </c>
      <c r="F257" s="2">
        <v>171.3186</v>
      </c>
      <c r="G257" s="2" t="str">
        <f t="shared" si="12"/>
        <v>Pass</v>
      </c>
      <c r="Y257" s="2">
        <v>242</v>
      </c>
      <c r="Z257" s="2">
        <v>0.33539999999999998</v>
      </c>
      <c r="AA257" s="2">
        <v>0.3493</v>
      </c>
      <c r="AB257" s="2">
        <v>175.0488</v>
      </c>
    </row>
    <row r="258" spans="2:28" x14ac:dyDescent="0.4">
      <c r="B258" s="11">
        <v>241</v>
      </c>
      <c r="C258" s="16">
        <f t="shared" si="13"/>
        <v>155.50266962333188</v>
      </c>
      <c r="D258" s="17">
        <f t="shared" si="15"/>
        <v>172.78074402592432</v>
      </c>
      <c r="E258" s="17">
        <f t="shared" si="14"/>
        <v>190.05881842851676</v>
      </c>
      <c r="F258" s="2">
        <v>173.21809999999999</v>
      </c>
      <c r="G258" s="2" t="str">
        <f t="shared" si="12"/>
        <v>Pass</v>
      </c>
      <c r="Y258" s="2">
        <v>243</v>
      </c>
      <c r="Z258" s="2">
        <v>0.33510000000000001</v>
      </c>
      <c r="AA258" s="2">
        <v>0.34920000000000001</v>
      </c>
      <c r="AB258" s="2">
        <v>176.95529999999999</v>
      </c>
    </row>
    <row r="259" spans="2:28" x14ac:dyDescent="0.4">
      <c r="B259" s="11">
        <v>242</v>
      </c>
      <c r="C259" s="16">
        <f t="shared" si="13"/>
        <v>157.18414392737304</v>
      </c>
      <c r="D259" s="17">
        <f t="shared" si="15"/>
        <v>174.64904880819228</v>
      </c>
      <c r="E259" s="17">
        <f t="shared" si="14"/>
        <v>192.11395368901151</v>
      </c>
      <c r="F259" s="2">
        <v>175.0488</v>
      </c>
      <c r="G259" s="2" t="str">
        <f t="shared" si="12"/>
        <v>Pass</v>
      </c>
      <c r="Y259" s="2">
        <v>244</v>
      </c>
      <c r="Z259" s="2">
        <v>0.33510000000000001</v>
      </c>
      <c r="AA259" s="2">
        <v>0.34899999999999998</v>
      </c>
      <c r="AB259" s="2">
        <v>178.4736</v>
      </c>
    </row>
    <row r="260" spans="2:28" x14ac:dyDescent="0.4">
      <c r="B260" s="11">
        <v>243</v>
      </c>
      <c r="C260" s="16">
        <f t="shared" si="13"/>
        <v>158.8767608957003</v>
      </c>
      <c r="D260" s="17">
        <f t="shared" si="15"/>
        <v>176.52973432855589</v>
      </c>
      <c r="E260" s="17">
        <f t="shared" si="14"/>
        <v>194.18270776141148</v>
      </c>
      <c r="F260" s="2">
        <v>176.95529999999999</v>
      </c>
      <c r="G260" s="2" t="str">
        <f t="shared" si="12"/>
        <v>Pass</v>
      </c>
      <c r="Y260" s="2">
        <v>245</v>
      </c>
      <c r="Z260" s="2">
        <v>0.3362</v>
      </c>
      <c r="AA260" s="2">
        <v>0.34970000000000001</v>
      </c>
      <c r="AB260" s="2">
        <v>180.39519999999999</v>
      </c>
    </row>
    <row r="261" spans="2:28" x14ac:dyDescent="0.4">
      <c r="B261" s="11">
        <v>244</v>
      </c>
      <c r="C261" s="16">
        <f t="shared" si="13"/>
        <v>160.58054810400029</v>
      </c>
      <c r="D261" s="17">
        <f t="shared" si="15"/>
        <v>178.422831226667</v>
      </c>
      <c r="E261" s="17">
        <f t="shared" si="14"/>
        <v>196.26511434933371</v>
      </c>
      <c r="F261" s="2">
        <v>178.4736</v>
      </c>
      <c r="G261" s="2" t="str">
        <f t="shared" si="12"/>
        <v>Pass</v>
      </c>
      <c r="Y261" s="2">
        <v>246</v>
      </c>
      <c r="Z261" s="2">
        <v>0.33579999999999999</v>
      </c>
      <c r="AA261" s="2">
        <v>0.34960000000000002</v>
      </c>
      <c r="AB261" s="2">
        <v>181.73740000000001</v>
      </c>
    </row>
    <row r="262" spans="2:28" x14ac:dyDescent="0.4">
      <c r="B262" s="11">
        <v>245</v>
      </c>
      <c r="C262" s="16">
        <f t="shared" si="13"/>
        <v>162.29553308265071</v>
      </c>
      <c r="D262" s="17">
        <f t="shared" si="15"/>
        <v>180.3283700918341</v>
      </c>
      <c r="E262" s="17">
        <f t="shared" si="14"/>
        <v>198.3612071010175</v>
      </c>
      <c r="F262" s="2">
        <v>180.39519999999999</v>
      </c>
      <c r="G262" s="2" t="str">
        <f t="shared" si="12"/>
        <v>Pass</v>
      </c>
      <c r="Y262" s="2">
        <v>247</v>
      </c>
      <c r="Z262" s="2">
        <v>0.33589999999999998</v>
      </c>
      <c r="AA262" s="2">
        <v>0.3498</v>
      </c>
      <c r="AB262" s="2">
        <v>183.25729999999999</v>
      </c>
    </row>
    <row r="263" spans="2:28" x14ac:dyDescent="0.4">
      <c r="B263" s="11">
        <v>246</v>
      </c>
      <c r="C263" s="16">
        <f t="shared" si="13"/>
        <v>164.02174331697924</v>
      </c>
      <c r="D263" s="17">
        <f t="shared" si="15"/>
        <v>182.24638146331026</v>
      </c>
      <c r="E263" s="17">
        <f t="shared" si="14"/>
        <v>200.47101960964127</v>
      </c>
      <c r="F263" s="2">
        <v>181.73740000000001</v>
      </c>
      <c r="G263" s="2" t="str">
        <f t="shared" si="12"/>
        <v>Pass</v>
      </c>
      <c r="Y263" s="2">
        <v>248</v>
      </c>
      <c r="Z263" s="2">
        <v>0.33510000000000001</v>
      </c>
      <c r="AA263" s="2">
        <v>0.3503</v>
      </c>
      <c r="AB263" s="2">
        <v>185.9812</v>
      </c>
    </row>
    <row r="264" spans="2:28" x14ac:dyDescent="0.4">
      <c r="B264" s="11">
        <v>247</v>
      </c>
      <c r="C264" s="16">
        <f t="shared" si="13"/>
        <v>165.75920624752092</v>
      </c>
      <c r="D264" s="17">
        <f t="shared" si="15"/>
        <v>184.17689583057879</v>
      </c>
      <c r="E264" s="17">
        <f t="shared" si="14"/>
        <v>202.59458541363665</v>
      </c>
      <c r="F264" s="2">
        <v>183.25729999999999</v>
      </c>
      <c r="G264" s="2" t="str">
        <f t="shared" si="12"/>
        <v>Pass</v>
      </c>
      <c r="Y264" s="2">
        <v>249</v>
      </c>
      <c r="Z264" s="2">
        <v>0.33450000000000002</v>
      </c>
      <c r="AA264" s="2">
        <v>0.35010000000000002</v>
      </c>
      <c r="AB264" s="2">
        <v>187.76509999999999</v>
      </c>
    </row>
    <row r="265" spans="2:28" x14ac:dyDescent="0.4">
      <c r="B265" s="11">
        <v>248</v>
      </c>
      <c r="C265" s="16">
        <f t="shared" si="13"/>
        <v>167.50794927027235</v>
      </c>
      <c r="D265" s="17">
        <f t="shared" si="15"/>
        <v>186.11994363363596</v>
      </c>
      <c r="E265" s="17">
        <f t="shared" si="14"/>
        <v>204.73193799699956</v>
      </c>
      <c r="F265" s="2">
        <v>185.9812</v>
      </c>
      <c r="G265" s="2" t="str">
        <f t="shared" si="12"/>
        <v>Pass</v>
      </c>
      <c r="Y265" s="2">
        <v>250</v>
      </c>
      <c r="Z265" s="2">
        <v>0.3352</v>
      </c>
      <c r="AA265" s="2">
        <v>0.3503</v>
      </c>
      <c r="AB265" s="2">
        <v>189.79089999999999</v>
      </c>
    </row>
    <row r="266" spans="2:28" x14ac:dyDescent="0.4">
      <c r="B266" s="11">
        <v>249</v>
      </c>
      <c r="C266" s="16">
        <f t="shared" si="13"/>
        <v>169.26799973694395</v>
      </c>
      <c r="D266" s="17">
        <f t="shared" si="15"/>
        <v>188.07555526327104</v>
      </c>
      <c r="E266" s="17">
        <f t="shared" si="14"/>
        <v>206.88311078959813</v>
      </c>
      <c r="F266" s="2">
        <v>187.76509999999999</v>
      </c>
      <c r="G266" s="2" t="str">
        <f t="shared" si="12"/>
        <v>Pass</v>
      </c>
      <c r="Y266" s="2">
        <v>251</v>
      </c>
      <c r="Z266" s="2">
        <v>0.3352</v>
      </c>
      <c r="AA266" s="2">
        <v>0.35010000000000002</v>
      </c>
      <c r="AB266" s="2">
        <v>191.46789999999999</v>
      </c>
    </row>
    <row r="267" spans="2:28" x14ac:dyDescent="0.4">
      <c r="B267" s="11">
        <v>250</v>
      </c>
      <c r="C267" s="16">
        <f t="shared" si="13"/>
        <v>171.03938495520913</v>
      </c>
      <c r="D267" s="17">
        <f t="shared" si="15"/>
        <v>190.04376106134347</v>
      </c>
      <c r="E267" s="17">
        <f t="shared" si="14"/>
        <v>209.04813716747782</v>
      </c>
      <c r="F267" s="2">
        <v>189.79089999999999</v>
      </c>
      <c r="G267" s="2" t="str">
        <f t="shared" si="12"/>
        <v>Pass</v>
      </c>
      <c r="Y267" s="2">
        <v>252</v>
      </c>
      <c r="Z267" s="2">
        <v>0.3362</v>
      </c>
      <c r="AA267" s="2">
        <v>0.34949999999999998</v>
      </c>
      <c r="AB267" s="2">
        <v>194.58879999999999</v>
      </c>
    </row>
    <row r="268" spans="2:28" x14ac:dyDescent="0.4">
      <c r="B268" s="11">
        <v>251</v>
      </c>
      <c r="C268" s="16">
        <f t="shared" si="13"/>
        <v>172.82213218895188</v>
      </c>
      <c r="D268" s="17">
        <f t="shared" si="15"/>
        <v>192.02459132105764</v>
      </c>
      <c r="E268" s="17">
        <f t="shared" si="14"/>
        <v>211.2270504531634</v>
      </c>
      <c r="F268" s="2">
        <v>191.46789999999999</v>
      </c>
      <c r="G268" s="2" t="str">
        <f t="shared" si="12"/>
        <v>Pass</v>
      </c>
      <c r="Y268" s="2">
        <v>253</v>
      </c>
      <c r="Z268" s="2">
        <v>0.33610000000000001</v>
      </c>
      <c r="AA268" s="2">
        <v>0.3493</v>
      </c>
      <c r="AB268" s="2">
        <v>196.20070000000001</v>
      </c>
    </row>
    <row r="269" spans="2:28" x14ac:dyDescent="0.4">
      <c r="B269" s="11">
        <v>252</v>
      </c>
      <c r="C269" s="16">
        <f t="shared" si="13"/>
        <v>174.61626865851116</v>
      </c>
      <c r="D269" s="17">
        <f t="shared" si="15"/>
        <v>194.01807628723461</v>
      </c>
      <c r="E269" s="17">
        <f t="shared" si="14"/>
        <v>213.41988391595805</v>
      </c>
      <c r="F269" s="2">
        <v>194.58879999999999</v>
      </c>
      <c r="G269" s="2" t="str">
        <f t="shared" si="12"/>
        <v>Pass</v>
      </c>
      <c r="Y269" s="2">
        <v>254</v>
      </c>
      <c r="Z269" s="2">
        <v>0.33589999999999998</v>
      </c>
      <c r="AA269" s="2">
        <v>0.34910000000000002</v>
      </c>
      <c r="AB269" s="2">
        <v>197.78049999999999</v>
      </c>
    </row>
    <row r="270" spans="2:28" x14ac:dyDescent="0.4">
      <c r="B270" s="11">
        <v>253</v>
      </c>
      <c r="C270" s="16">
        <f t="shared" si="13"/>
        <v>176.4218215409237</v>
      </c>
      <c r="D270" s="17">
        <f t="shared" si="15"/>
        <v>196.02424615658188</v>
      </c>
      <c r="E270" s="17">
        <f t="shared" si="14"/>
        <v>215.62667077224006</v>
      </c>
      <c r="F270" s="2">
        <v>196.20070000000001</v>
      </c>
      <c r="G270" s="2" t="str">
        <f t="shared" si="12"/>
        <v>Pass</v>
      </c>
      <c r="Y270" s="2">
        <v>255</v>
      </c>
      <c r="Z270" s="2">
        <v>0.3352</v>
      </c>
      <c r="AA270" s="2">
        <v>0.34889999999999999</v>
      </c>
      <c r="AB270" s="2">
        <v>199.57400000000001</v>
      </c>
    </row>
    <row r="271" spans="2:28" x14ac:dyDescent="0.4">
      <c r="B271" s="11">
        <v>254</v>
      </c>
      <c r="C271" s="16">
        <f t="shared" si="13"/>
        <v>178.23881797016389</v>
      </c>
      <c r="D271" s="17">
        <f t="shared" si="15"/>
        <v>198.04313107795988</v>
      </c>
      <c r="E271" s="17">
        <f t="shared" si="14"/>
        <v>217.84744418575588</v>
      </c>
      <c r="F271" s="2">
        <v>197.78049999999999</v>
      </c>
      <c r="G271" s="2" t="str">
        <f t="shared" si="12"/>
        <v>Pass</v>
      </c>
      <c r="H271" s="2" t="e">
        <f>_xlfn.GAMMA(D271)</f>
        <v>#NUM!</v>
      </c>
      <c r="I271" s="2">
        <f>_xlfn.GAMMA(254/255)</f>
        <v>1.0022788562005973</v>
      </c>
      <c r="Y271" s="2" t="s">
        <v>37</v>
      </c>
    </row>
    <row r="272" spans="2:28" x14ac:dyDescent="0.4">
      <c r="B272" s="11">
        <v>255</v>
      </c>
      <c r="C272" s="16">
        <f t="shared" si="13"/>
        <v>179.61660000000001</v>
      </c>
      <c r="D272" s="18">
        <f>C12</f>
        <v>199.57400000000001</v>
      </c>
      <c r="E272" s="17">
        <f t="shared" si="14"/>
        <v>219.53140000000002</v>
      </c>
      <c r="F272" s="2">
        <v>199.57400000000001</v>
      </c>
      <c r="G272" s="2" t="str">
        <f t="shared" si="12"/>
        <v>Pass</v>
      </c>
    </row>
  </sheetData>
  <protectedRanges>
    <protectedRange password="EBF1" sqref="C2:D2 C4:D4" name="範圍1_2"/>
    <protectedRange password="EBF1" sqref="C11:C13" name="範圍1_1_1"/>
  </protectedRanges>
  <mergeCells count="5">
    <mergeCell ref="C2:E2"/>
    <mergeCell ref="C4:E4"/>
    <mergeCell ref="C6:E6"/>
    <mergeCell ref="C8:E8"/>
    <mergeCell ref="C10:E10"/>
  </mergeCells>
  <phoneticPr fontId="2" type="noConversion"/>
  <conditionalFormatting sqref="G17:G272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Gamma 1.8  9300K</vt:lpstr>
      <vt:lpstr>Gamma 2.0  9300K</vt:lpstr>
      <vt:lpstr>Gamma 2.2  9300K</vt:lpstr>
      <vt:lpstr>Gamma 2.6  9300K</vt:lpstr>
      <vt:lpstr>Gamma 1.8  6500K</vt:lpstr>
      <vt:lpstr>Gamma 2.0  6500K</vt:lpstr>
      <vt:lpstr>Gamma 2.2  6500K</vt:lpstr>
      <vt:lpstr>Gamma 2.6 6500K</vt:lpstr>
      <vt:lpstr>Gamma 1.8 5400K</vt:lpstr>
      <vt:lpstr>Gamma 2.0 5400K</vt:lpstr>
      <vt:lpstr>Gamma 2.2 5400K</vt:lpstr>
      <vt:lpstr>Gamma 2.6 5400K</vt:lpstr>
      <vt:lpstr>Gamma 2.2 5400K-長</vt:lpstr>
      <vt:lpstr>Gamma 2.6 5400K-長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宏德 林</dc:creator>
  <cp:lastModifiedBy>user</cp:lastModifiedBy>
  <dcterms:created xsi:type="dcterms:W3CDTF">2026-07-15T06:15:37Z</dcterms:created>
  <dcterms:modified xsi:type="dcterms:W3CDTF">2026-09-29T08:50:14Z</dcterms:modified>
</cp:coreProperties>
</file>